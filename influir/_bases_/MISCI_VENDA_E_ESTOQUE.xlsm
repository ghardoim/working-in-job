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Gabriel Hardoim\Downloads\working-in-job\influir\_bases_\"/>
    </mc:Choice>
  </mc:AlternateContent>
  <xr:revisionPtr revIDLastSave="0" documentId="13_ncr:1_{298D1E56-1743-4EDA-8BB7-78E7B40EC0F2}" xr6:coauthVersionLast="47" xr6:coauthVersionMax="47" xr10:uidLastSave="{00000000-0000-0000-0000-000000000000}"/>
  <bookViews>
    <workbookView xWindow="20370" yWindow="-120" windowWidth="20730" windowHeight="11160" activeTab="2" xr2:uid="{F00BE4E3-DEB4-4F00-9E22-4AA0C0FE69F7}"/>
  </bookViews>
  <sheets>
    <sheet name="BASE_PRODUTOS" sheetId="1" r:id="rId1"/>
    <sheet name="BASE_APOIO" sheetId="4" r:id="rId2"/>
    <sheet name="BASE_VENDAS" sheetId="2" r:id="rId3"/>
    <sheet name="BASE_GIRO" sheetId="5" r:id="rId4"/>
    <sheet name="BASE_RESUMO" sheetId="3" r:id="rId5"/>
  </sheets>
  <functionGroups builtInGroupCount="19"/>
  <definedNames>
    <definedName name="_xlnm._FilterDatabase" localSheetId="3" hidden="1">BASE_GIRO!$A$5:$J$5</definedName>
    <definedName name="_xlnm._FilterDatabase" localSheetId="0" hidden="1">BASE_PRODUTOS!$A$5:$Q$1697</definedName>
    <definedName name="_xlnm._FilterDatabase" localSheetId="4" hidden="1">BASE_RESUMO!#REF!</definedName>
    <definedName name="_xlnm._FilterDatabase" localSheetId="2" hidden="1">BASE_VENDAS!$D$5:$O$5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4" i="2" l="1"/>
  <c r="W4" i="2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1001" i="4"/>
  <c r="B1002" i="4"/>
  <c r="B1003" i="4"/>
  <c r="B1004" i="4"/>
  <c r="B1005" i="4"/>
  <c r="B1006" i="4"/>
  <c r="B1007" i="4"/>
  <c r="B1008" i="4"/>
  <c r="B1009" i="4"/>
  <c r="B1010" i="4"/>
  <c r="B1011" i="4"/>
  <c r="B1012" i="4"/>
  <c r="B1013" i="4"/>
  <c r="B1014" i="4"/>
  <c r="B1015" i="4"/>
  <c r="B1016" i="4"/>
  <c r="B1017" i="4"/>
  <c r="B1018" i="4"/>
  <c r="B1019" i="4"/>
  <c r="B1020" i="4"/>
  <c r="B1021" i="4"/>
  <c r="B1022" i="4"/>
  <c r="B1023" i="4"/>
  <c r="B1024" i="4"/>
  <c r="B1025" i="4"/>
  <c r="B1026" i="4"/>
  <c r="B1027" i="4"/>
  <c r="B1028" i="4"/>
  <c r="B1029" i="4"/>
  <c r="B1030" i="4"/>
  <c r="B1031" i="4"/>
  <c r="B1032" i="4"/>
  <c r="B1033" i="4"/>
  <c r="B1034" i="4"/>
  <c r="B1035" i="4"/>
  <c r="B1036" i="4"/>
  <c r="B1037" i="4"/>
  <c r="B1038" i="4"/>
  <c r="B1039" i="4"/>
  <c r="B1040" i="4"/>
  <c r="B1041" i="4"/>
  <c r="B1042" i="4"/>
  <c r="B1043" i="4"/>
  <c r="B1044" i="4"/>
  <c r="B1045" i="4"/>
  <c r="B1046" i="4"/>
  <c r="B1047" i="4"/>
  <c r="B1048" i="4"/>
  <c r="B1049" i="4"/>
  <c r="B1050" i="4"/>
  <c r="B1051" i="4"/>
  <c r="B1052" i="4"/>
  <c r="B1053" i="4"/>
  <c r="B1054" i="4"/>
  <c r="B1055" i="4"/>
  <c r="B1056" i="4"/>
  <c r="B1057" i="4"/>
  <c r="B1058" i="4"/>
  <c r="B1059" i="4"/>
  <c r="B1060" i="4"/>
  <c r="B1061" i="4"/>
  <c r="B1062" i="4"/>
  <c r="B1063" i="4"/>
  <c r="B1064" i="4"/>
  <c r="B1065" i="4"/>
  <c r="B1066" i="4"/>
  <c r="B1067" i="4"/>
  <c r="B1068" i="4"/>
  <c r="B1069" i="4"/>
  <c r="B1070" i="4"/>
  <c r="B1071" i="4"/>
  <c r="B1072" i="4"/>
  <c r="B1073" i="4"/>
  <c r="B1074" i="4"/>
  <c r="B1075" i="4"/>
  <c r="B1076" i="4"/>
  <c r="B1077" i="4"/>
  <c r="B1078" i="4"/>
  <c r="B1079" i="4"/>
  <c r="B1080" i="4"/>
  <c r="B1081" i="4"/>
  <c r="B1082" i="4"/>
  <c r="B1083" i="4"/>
  <c r="B1084" i="4"/>
  <c r="B1085" i="4"/>
  <c r="B1086" i="4"/>
  <c r="B1087" i="4"/>
  <c r="B1088" i="4"/>
  <c r="B1089" i="4"/>
  <c r="B1090" i="4"/>
  <c r="B1091" i="4"/>
  <c r="B1092" i="4"/>
  <c r="B1093" i="4"/>
  <c r="B1094" i="4"/>
  <c r="B1095" i="4"/>
  <c r="B1096" i="4"/>
  <c r="B1097" i="4"/>
  <c r="B1098" i="4"/>
  <c r="B1099" i="4"/>
  <c r="B1100" i="4"/>
  <c r="B1101" i="4"/>
  <c r="B1102" i="4"/>
  <c r="B1103" i="4"/>
  <c r="B1104" i="4"/>
  <c r="B1105" i="4"/>
  <c r="B1106" i="4"/>
  <c r="B1107" i="4"/>
  <c r="B1108" i="4"/>
  <c r="B1109" i="4"/>
  <c r="B1110" i="4"/>
  <c r="B1111" i="4"/>
  <c r="B1112" i="4"/>
  <c r="B1113" i="4"/>
  <c r="B1114" i="4"/>
  <c r="B1115" i="4"/>
  <c r="B1116" i="4"/>
  <c r="B1117" i="4"/>
  <c r="B1118" i="4"/>
  <c r="B1119" i="4"/>
  <c r="B1120" i="4"/>
  <c r="B1121" i="4"/>
  <c r="B1122" i="4"/>
  <c r="B1123" i="4"/>
  <c r="B1124" i="4"/>
  <c r="B1125" i="4"/>
  <c r="B1126" i="4"/>
  <c r="B1127" i="4"/>
  <c r="B1128" i="4"/>
  <c r="B1129" i="4"/>
  <c r="B1130" i="4"/>
  <c r="B1131" i="4"/>
  <c r="B1132" i="4"/>
  <c r="B1133" i="4"/>
  <c r="B1134" i="4"/>
  <c r="B1135" i="4"/>
  <c r="B1136" i="4"/>
  <c r="B1137" i="4"/>
  <c r="B1138" i="4"/>
  <c r="B1139" i="4"/>
  <c r="B1140" i="4"/>
  <c r="B1141" i="4"/>
  <c r="B1142" i="4"/>
  <c r="B1143" i="4"/>
  <c r="B1144" i="4"/>
  <c r="B1145" i="4"/>
  <c r="B1146" i="4"/>
  <c r="B1147" i="4"/>
  <c r="B1148" i="4"/>
  <c r="B1149" i="4"/>
  <c r="B1150" i="4"/>
  <c r="B1151" i="4"/>
  <c r="B1152" i="4"/>
  <c r="B1153" i="4"/>
  <c r="B1154" i="4"/>
  <c r="B1155" i="4"/>
  <c r="B1156" i="4"/>
  <c r="B1157" i="4"/>
  <c r="B1158" i="4"/>
  <c r="B1159" i="4"/>
  <c r="B1160" i="4"/>
  <c r="B1161" i="4"/>
  <c r="B1162" i="4"/>
  <c r="B1163" i="4"/>
  <c r="B1164" i="4"/>
  <c r="B1165" i="4"/>
  <c r="B1166" i="4"/>
  <c r="B1167" i="4"/>
  <c r="B1168" i="4"/>
  <c r="B1169" i="4"/>
  <c r="B1170" i="4"/>
  <c r="B1171" i="4"/>
  <c r="B1172" i="4"/>
  <c r="B1173" i="4"/>
  <c r="B1174" i="4"/>
  <c r="B1175" i="4"/>
  <c r="B1176" i="4"/>
  <c r="B1177" i="4"/>
  <c r="B1178" i="4"/>
  <c r="B1179" i="4"/>
  <c r="B1180" i="4"/>
  <c r="B1181" i="4"/>
  <c r="B1182" i="4"/>
  <c r="B1183" i="4"/>
  <c r="B1184" i="4"/>
  <c r="B1185" i="4"/>
  <c r="B1186" i="4"/>
  <c r="B1187" i="4"/>
  <c r="B1188" i="4"/>
  <c r="B1189" i="4"/>
  <c r="B1190" i="4"/>
  <c r="B1191" i="4"/>
  <c r="B1192" i="4"/>
  <c r="B1193" i="4"/>
  <c r="B1194" i="4"/>
  <c r="B1195" i="4"/>
  <c r="B1196" i="4"/>
  <c r="B1197" i="4"/>
  <c r="B1198" i="4"/>
  <c r="B1199" i="4"/>
  <c r="B1200" i="4"/>
  <c r="B1201" i="4"/>
  <c r="B1202" i="4"/>
  <c r="B1203" i="4"/>
  <c r="B1204" i="4"/>
  <c r="B1205" i="4"/>
  <c r="B1206" i="4"/>
  <c r="B1207" i="4"/>
  <c r="B1208" i="4"/>
  <c r="B1209" i="4"/>
  <c r="B1210" i="4"/>
  <c r="B1211" i="4"/>
  <c r="B1212" i="4"/>
  <c r="B1213" i="4"/>
  <c r="B1214" i="4"/>
  <c r="B1215" i="4"/>
  <c r="B1216" i="4"/>
  <c r="B1217" i="4"/>
  <c r="B1218" i="4"/>
  <c r="B1219" i="4"/>
  <c r="B1220" i="4"/>
  <c r="B1221" i="4"/>
  <c r="B1222" i="4"/>
  <c r="B1223" i="4"/>
  <c r="B1224" i="4"/>
  <c r="B1225" i="4"/>
  <c r="B1226" i="4"/>
  <c r="B1227" i="4"/>
  <c r="B1228" i="4"/>
  <c r="B1229" i="4"/>
  <c r="B1230" i="4"/>
  <c r="B1231" i="4"/>
  <c r="B1232" i="4"/>
  <c r="B1233" i="4"/>
  <c r="B1234" i="4"/>
  <c r="B1235" i="4"/>
  <c r="B1236" i="4"/>
  <c r="B1237" i="4"/>
  <c r="B1238" i="4"/>
  <c r="B1239" i="4"/>
  <c r="B1240" i="4"/>
  <c r="B1241" i="4"/>
  <c r="B1242" i="4"/>
  <c r="B1243" i="4"/>
  <c r="B1244" i="4"/>
  <c r="B1245" i="4"/>
  <c r="B1246" i="4"/>
  <c r="B1247" i="4"/>
  <c r="B1248" i="4"/>
  <c r="B1249" i="4"/>
  <c r="B1250" i="4"/>
  <c r="B1251" i="4"/>
  <c r="B1252" i="4"/>
  <c r="B1253" i="4"/>
  <c r="B1254" i="4"/>
  <c r="B1255" i="4"/>
  <c r="B1256" i="4"/>
  <c r="B1257" i="4"/>
  <c r="B1258" i="4"/>
  <c r="B1259" i="4"/>
  <c r="B1260" i="4"/>
  <c r="B1261" i="4"/>
  <c r="B1262" i="4"/>
  <c r="B1263" i="4"/>
  <c r="B1264" i="4"/>
  <c r="B1265" i="4"/>
  <c r="B1266" i="4"/>
  <c r="B1267" i="4"/>
  <c r="B1268" i="4"/>
  <c r="B1269" i="4"/>
  <c r="B1270" i="4"/>
  <c r="B1271" i="4"/>
  <c r="B1272" i="4"/>
  <c r="B1273" i="4"/>
  <c r="B1274" i="4"/>
  <c r="B1275" i="4"/>
  <c r="B1276" i="4"/>
  <c r="B1277" i="4"/>
  <c r="B1278" i="4"/>
  <c r="B1279" i="4"/>
  <c r="B1280" i="4"/>
  <c r="B1281" i="4"/>
  <c r="B1282" i="4"/>
  <c r="B1283" i="4"/>
  <c r="B1284" i="4"/>
  <c r="B1285" i="4"/>
  <c r="B1286" i="4"/>
  <c r="B1287" i="4"/>
  <c r="B1288" i="4"/>
  <c r="B1289" i="4"/>
  <c r="B1290" i="4"/>
  <c r="B1291" i="4"/>
  <c r="B1292" i="4"/>
  <c r="B1293" i="4"/>
  <c r="B1294" i="4"/>
  <c r="B1295" i="4"/>
  <c r="B1296" i="4"/>
  <c r="B1297" i="4"/>
  <c r="B1298" i="4"/>
  <c r="B1299" i="4"/>
  <c r="B1300" i="4"/>
  <c r="B1301" i="4"/>
  <c r="B1302" i="4"/>
  <c r="B1303" i="4"/>
  <c r="B1304" i="4"/>
  <c r="B1305" i="4"/>
  <c r="B1306" i="4"/>
  <c r="B1307" i="4"/>
  <c r="B1308" i="4"/>
  <c r="B1309" i="4"/>
  <c r="B1310" i="4"/>
  <c r="B1311" i="4"/>
  <c r="B1312" i="4"/>
  <c r="B1313" i="4"/>
  <c r="B1314" i="4"/>
  <c r="B1315" i="4"/>
  <c r="B1316" i="4"/>
  <c r="B1317" i="4"/>
  <c r="B1318" i="4"/>
  <c r="B1319" i="4"/>
  <c r="B1320" i="4"/>
  <c r="B1321" i="4"/>
  <c r="B1322" i="4"/>
  <c r="B1323" i="4"/>
  <c r="B1324" i="4"/>
  <c r="B1325" i="4"/>
  <c r="B1326" i="4"/>
  <c r="B1327" i="4"/>
  <c r="B1328" i="4"/>
  <c r="B1329" i="4"/>
  <c r="B1330" i="4"/>
  <c r="B1331" i="4"/>
  <c r="B1332" i="4"/>
  <c r="B1333" i="4"/>
  <c r="B1334" i="4"/>
  <c r="B1335" i="4"/>
  <c r="B1336" i="4"/>
  <c r="B1337" i="4"/>
  <c r="B1338" i="4"/>
  <c r="B1339" i="4"/>
  <c r="B1340" i="4"/>
  <c r="B1341" i="4"/>
  <c r="B1342" i="4"/>
  <c r="B1343" i="4"/>
  <c r="B1344" i="4"/>
  <c r="B1345" i="4"/>
  <c r="B1346" i="4"/>
  <c r="B1347" i="4"/>
  <c r="B1348" i="4"/>
  <c r="B1349" i="4"/>
  <c r="B1350" i="4"/>
  <c r="B1351" i="4"/>
  <c r="B1352" i="4"/>
  <c r="B1353" i="4"/>
  <c r="B1354" i="4"/>
  <c r="B1355" i="4"/>
  <c r="B1356" i="4"/>
  <c r="B1357" i="4"/>
  <c r="B1358" i="4"/>
  <c r="B1359" i="4"/>
  <c r="B1360" i="4"/>
  <c r="B1361" i="4"/>
  <c r="B1362" i="4"/>
  <c r="B1363" i="4"/>
  <c r="B1364" i="4"/>
  <c r="B1365" i="4"/>
  <c r="B1366" i="4"/>
  <c r="B1367" i="4"/>
  <c r="B1368" i="4"/>
  <c r="B1369" i="4"/>
  <c r="B1370" i="4"/>
  <c r="B1371" i="4"/>
  <c r="B1372" i="4"/>
  <c r="B1373" i="4"/>
  <c r="B1374" i="4"/>
  <c r="B1375" i="4"/>
  <c r="B1376" i="4"/>
  <c r="B1377" i="4"/>
  <c r="B1378" i="4"/>
  <c r="B1379" i="4"/>
  <c r="B1380" i="4"/>
  <c r="B1381" i="4"/>
  <c r="B1382" i="4"/>
  <c r="B1383" i="4"/>
  <c r="B1384" i="4"/>
  <c r="B1385" i="4"/>
  <c r="B1386" i="4"/>
  <c r="B1387" i="4"/>
  <c r="B1388" i="4"/>
  <c r="B1389" i="4"/>
  <c r="B1390" i="4"/>
  <c r="B1391" i="4"/>
  <c r="B1392" i="4"/>
  <c r="B1393" i="4"/>
  <c r="B1394" i="4"/>
  <c r="B1395" i="4"/>
  <c r="B1396" i="4"/>
  <c r="B1397" i="4"/>
  <c r="B1398" i="4"/>
  <c r="B1399" i="4"/>
  <c r="B1400" i="4"/>
  <c r="B1401" i="4"/>
  <c r="B1402" i="4"/>
  <c r="B1403" i="4"/>
  <c r="B1404" i="4"/>
  <c r="B1405" i="4"/>
  <c r="B1406" i="4"/>
  <c r="B1407" i="4"/>
  <c r="B1408" i="4"/>
  <c r="B1409" i="4"/>
  <c r="B1410" i="4"/>
  <c r="B1411" i="4"/>
  <c r="B1412" i="4"/>
  <c r="B1413" i="4"/>
  <c r="B1414" i="4"/>
  <c r="B1415" i="4"/>
  <c r="B1416" i="4"/>
  <c r="B1417" i="4"/>
  <c r="B1418" i="4"/>
  <c r="B1419" i="4"/>
  <c r="B1420" i="4"/>
  <c r="B1421" i="4"/>
  <c r="B1422" i="4"/>
  <c r="B1423" i="4"/>
  <c r="B1424" i="4"/>
  <c r="B1425" i="4"/>
  <c r="B1426" i="4"/>
  <c r="B1427" i="4"/>
  <c r="B1428" i="4"/>
  <c r="B1429" i="4"/>
  <c r="B1430" i="4"/>
  <c r="B1431" i="4"/>
  <c r="B1432" i="4"/>
  <c r="B1433" i="4"/>
  <c r="B1434" i="4"/>
  <c r="B1435" i="4"/>
  <c r="B1436" i="4"/>
  <c r="B1437" i="4"/>
  <c r="B1438" i="4"/>
  <c r="B1439" i="4"/>
  <c r="B1440" i="4"/>
  <c r="B1441" i="4"/>
  <c r="B1442" i="4"/>
  <c r="B1443" i="4"/>
  <c r="B1444" i="4"/>
  <c r="B1445" i="4"/>
  <c r="B1446" i="4"/>
  <c r="B1447" i="4"/>
  <c r="B1448" i="4"/>
  <c r="B1449" i="4"/>
  <c r="B1450" i="4"/>
  <c r="B1451" i="4"/>
  <c r="B1452" i="4"/>
  <c r="B1453" i="4"/>
  <c r="B1454" i="4"/>
  <c r="B1455" i="4"/>
  <c r="B1456" i="4"/>
  <c r="B1457" i="4"/>
  <c r="B1458" i="4"/>
  <c r="B1459" i="4"/>
  <c r="B1460" i="4"/>
  <c r="B1461" i="4"/>
  <c r="B1462" i="4"/>
  <c r="B1463" i="4"/>
  <c r="B1464" i="4"/>
  <c r="B1465" i="4"/>
  <c r="B1466" i="4"/>
  <c r="B1467" i="4"/>
  <c r="B1468" i="4"/>
  <c r="B1469" i="4"/>
  <c r="B1470" i="4"/>
  <c r="B1471" i="4"/>
  <c r="B1472" i="4"/>
  <c r="B1473" i="4"/>
  <c r="B1474" i="4"/>
  <c r="B1475" i="4"/>
  <c r="B1476" i="4"/>
  <c r="B1477" i="4"/>
  <c r="B1478" i="4"/>
  <c r="B1479" i="4"/>
  <c r="B1480" i="4"/>
  <c r="B1481" i="4"/>
  <c r="B1482" i="4"/>
  <c r="B1483" i="4"/>
  <c r="B1484" i="4"/>
  <c r="B1485" i="4"/>
  <c r="B1486" i="4"/>
  <c r="B1487" i="4"/>
  <c r="B1488" i="4"/>
  <c r="B1489" i="4"/>
  <c r="B1490" i="4"/>
  <c r="B1491" i="4"/>
  <c r="B1492" i="4"/>
  <c r="B1493" i="4"/>
  <c r="B1494" i="4"/>
  <c r="B1495" i="4"/>
  <c r="B1496" i="4"/>
  <c r="B1497" i="4"/>
  <c r="B1498" i="4"/>
  <c r="B1499" i="4"/>
  <c r="B1500" i="4"/>
  <c r="B1501" i="4"/>
  <c r="B1502" i="4"/>
  <c r="B1503" i="4"/>
  <c r="B1504" i="4"/>
  <c r="B1505" i="4"/>
  <c r="B1506" i="4"/>
  <c r="B1507" i="4"/>
  <c r="B1508" i="4"/>
  <c r="B1509" i="4"/>
  <c r="B1510" i="4"/>
  <c r="B1511" i="4"/>
  <c r="B1512" i="4"/>
  <c r="B1513" i="4"/>
  <c r="B1514" i="4"/>
  <c r="B1515" i="4"/>
  <c r="B1516" i="4"/>
  <c r="B1517" i="4"/>
  <c r="B1518" i="4"/>
  <c r="B1519" i="4"/>
  <c r="B1520" i="4"/>
  <c r="B1521" i="4"/>
  <c r="B1522" i="4"/>
  <c r="B1523" i="4"/>
  <c r="B1524" i="4"/>
  <c r="B1525" i="4"/>
  <c r="B1526" i="4"/>
  <c r="B1527" i="4"/>
  <c r="B1528" i="4"/>
  <c r="B1529" i="4"/>
  <c r="B1530" i="4"/>
  <c r="B1531" i="4"/>
  <c r="B1532" i="4"/>
  <c r="B1533" i="4"/>
  <c r="B1534" i="4"/>
  <c r="B1535" i="4"/>
  <c r="B1536" i="4"/>
  <c r="B1537" i="4"/>
  <c r="B1538" i="4"/>
  <c r="B1539" i="4"/>
  <c r="B1540" i="4"/>
  <c r="B1541" i="4"/>
  <c r="B1542" i="4"/>
  <c r="B1543" i="4"/>
  <c r="B1544" i="4"/>
  <c r="B1545" i="4"/>
  <c r="B1546" i="4"/>
  <c r="B1547" i="4"/>
  <c r="B1548" i="4"/>
  <c r="B1549" i="4"/>
  <c r="B1550" i="4"/>
  <c r="B1551" i="4"/>
  <c r="B1552" i="4"/>
  <c r="B1553" i="4"/>
  <c r="B1554" i="4"/>
  <c r="B1555" i="4"/>
  <c r="B1556" i="4"/>
  <c r="B1557" i="4"/>
  <c r="B1558" i="4"/>
  <c r="B1559" i="4"/>
  <c r="B1560" i="4"/>
  <c r="B1561" i="4"/>
  <c r="B1562" i="4"/>
  <c r="B1563" i="4"/>
  <c r="B1564" i="4"/>
  <c r="B1565" i="4"/>
  <c r="B1566" i="4"/>
  <c r="B1567" i="4"/>
  <c r="B1568" i="4"/>
  <c r="B1569" i="4"/>
  <c r="B1570" i="4"/>
  <c r="B1571" i="4"/>
  <c r="B1572" i="4"/>
  <c r="B1573" i="4"/>
  <c r="B1574" i="4"/>
  <c r="B1575" i="4"/>
  <c r="B1576" i="4"/>
  <c r="B1577" i="4"/>
  <c r="B1578" i="4"/>
  <c r="B1579" i="4"/>
  <c r="B1580" i="4"/>
  <c r="B1581" i="4"/>
  <c r="B1582" i="4"/>
  <c r="B1583" i="4"/>
  <c r="B1584" i="4"/>
  <c r="B1585" i="4"/>
  <c r="B1586" i="4"/>
  <c r="B1587" i="4"/>
  <c r="B1588" i="4"/>
  <c r="B1589" i="4"/>
  <c r="B1590" i="4"/>
  <c r="B1591" i="4"/>
  <c r="B1592" i="4"/>
  <c r="B1593" i="4"/>
  <c r="B1594" i="4"/>
  <c r="B1595" i="4"/>
  <c r="B1596" i="4"/>
  <c r="B1597" i="4"/>
  <c r="B1598" i="4"/>
  <c r="B1599" i="4"/>
  <c r="B1600" i="4"/>
  <c r="B1601" i="4"/>
  <c r="B1602" i="4"/>
  <c r="B1603" i="4"/>
  <c r="B1604" i="4"/>
  <c r="B1605" i="4"/>
  <c r="B1606" i="4"/>
  <c r="B1607" i="4"/>
  <c r="B1608" i="4"/>
  <c r="B1609" i="4"/>
  <c r="B1610" i="4"/>
  <c r="B1611" i="4"/>
  <c r="B1612" i="4"/>
  <c r="B1613" i="4"/>
  <c r="B1614" i="4"/>
  <c r="B1615" i="4"/>
  <c r="B1616" i="4"/>
  <c r="B1617" i="4"/>
  <c r="B1618" i="4"/>
  <c r="B1619" i="4"/>
  <c r="B1620" i="4"/>
  <c r="B1621" i="4"/>
  <c r="B1622" i="4"/>
  <c r="B1623" i="4"/>
  <c r="B1624" i="4"/>
  <c r="B1625" i="4"/>
  <c r="B1626" i="4"/>
  <c r="B1627" i="4"/>
  <c r="B1628" i="4"/>
  <c r="B1629" i="4"/>
  <c r="B1630" i="4"/>
  <c r="B1631" i="4"/>
  <c r="B1632" i="4"/>
  <c r="B1633" i="4"/>
  <c r="B1634" i="4"/>
  <c r="B1635" i="4"/>
  <c r="B1636" i="4"/>
  <c r="B1637" i="4"/>
  <c r="B1638" i="4"/>
  <c r="B1639" i="4"/>
  <c r="B1640" i="4"/>
  <c r="B1641" i="4"/>
  <c r="B1642" i="4"/>
  <c r="B1643" i="4"/>
  <c r="B1644" i="4"/>
  <c r="B1645" i="4"/>
  <c r="B1646" i="4"/>
  <c r="B1647" i="4"/>
  <c r="B1648" i="4"/>
  <c r="B1649" i="4"/>
  <c r="B1650" i="4"/>
  <c r="B1651" i="4"/>
  <c r="B1652" i="4"/>
  <c r="B1653" i="4"/>
  <c r="B1654" i="4"/>
  <c r="B1655" i="4"/>
  <c r="B1656" i="4"/>
  <c r="B1657" i="4"/>
  <c r="B1658" i="4"/>
  <c r="B1659" i="4"/>
  <c r="B1660" i="4"/>
  <c r="B1661" i="4"/>
  <c r="B1662" i="4"/>
  <c r="B1663" i="4"/>
  <c r="B1664" i="4"/>
  <c r="B1665" i="4"/>
  <c r="B1666" i="4"/>
  <c r="B1667" i="4"/>
  <c r="B1668" i="4"/>
  <c r="B1669" i="4"/>
  <c r="B1670" i="4"/>
  <c r="B1671" i="4"/>
  <c r="B1672" i="4"/>
  <c r="B1673" i="4"/>
  <c r="B1674" i="4"/>
  <c r="B1675" i="4"/>
  <c r="B1676" i="4"/>
  <c r="B1677" i="4"/>
  <c r="B1678" i="4"/>
  <c r="B1679" i="4"/>
  <c r="B1680" i="4"/>
  <c r="B1681" i="4"/>
  <c r="B1682" i="4"/>
  <c r="B1683" i="4"/>
  <c r="B1684" i="4"/>
  <c r="B1685" i="4"/>
  <c r="B1686" i="4"/>
  <c r="B1687" i="4"/>
  <c r="B1688" i="4"/>
  <c r="B1689" i="4"/>
  <c r="B1690" i="4"/>
  <c r="B1691" i="4"/>
  <c r="B1692" i="4"/>
  <c r="B1693" i="4"/>
  <c r="B1694" i="4"/>
  <c r="B1695" i="4"/>
  <c r="B1696" i="4"/>
  <c r="B1697" i="4"/>
  <c r="B1698" i="4"/>
  <c r="B1699" i="4"/>
  <c r="B1700" i="4"/>
  <c r="B1701" i="4"/>
  <c r="B1702" i="4"/>
  <c r="B1703" i="4"/>
  <c r="B1704" i="4"/>
  <c r="B1705" i="4"/>
  <c r="B1706" i="4"/>
  <c r="B1707" i="4"/>
  <c r="B1708" i="4"/>
  <c r="B1709" i="4"/>
  <c r="B1710" i="4"/>
  <c r="B1711" i="4"/>
  <c r="B1712" i="4"/>
  <c r="B1713" i="4"/>
  <c r="B1714" i="4"/>
  <c r="B1715" i="4"/>
  <c r="B1716" i="4"/>
  <c r="B1717" i="4"/>
  <c r="B1718" i="4"/>
  <c r="B1719" i="4"/>
  <c r="B1720" i="4"/>
  <c r="B1721" i="4"/>
  <c r="B1722" i="4"/>
  <c r="B1723" i="4"/>
  <c r="B1724" i="4"/>
  <c r="B1725" i="4"/>
  <c r="B1726" i="4"/>
  <c r="B1727" i="4"/>
  <c r="B1728" i="4"/>
  <c r="B1729" i="4"/>
  <c r="B1730" i="4"/>
  <c r="B1731" i="4"/>
  <c r="B1732" i="4"/>
  <c r="B1733" i="4"/>
  <c r="B1734" i="4"/>
  <c r="B1735" i="4"/>
  <c r="B1736" i="4"/>
  <c r="B1737" i="4"/>
  <c r="B1738" i="4"/>
  <c r="B1739" i="4"/>
  <c r="B1740" i="4"/>
  <c r="B1741" i="4"/>
  <c r="B1742" i="4"/>
  <c r="B1743" i="4"/>
  <c r="B1744" i="4"/>
  <c r="B1745" i="4"/>
  <c r="B1746" i="4"/>
  <c r="B1747" i="4"/>
  <c r="B1748" i="4"/>
  <c r="B1749" i="4"/>
  <c r="B1750" i="4"/>
  <c r="B1751" i="4"/>
  <c r="B1752" i="4"/>
  <c r="B1753" i="4"/>
  <c r="B1754" i="4"/>
  <c r="B1755" i="4"/>
  <c r="B1756" i="4"/>
  <c r="B1757" i="4"/>
  <c r="B1758" i="4"/>
  <c r="B1759" i="4"/>
  <c r="B1760" i="4"/>
  <c r="B1761" i="4"/>
  <c r="B1762" i="4"/>
  <c r="B1763" i="4"/>
  <c r="B1764" i="4"/>
  <c r="B1765" i="4"/>
  <c r="B1766" i="4"/>
  <c r="B1767" i="4"/>
  <c r="B1768" i="4"/>
  <c r="B1769" i="4"/>
  <c r="B1770" i="4"/>
  <c r="B1771" i="4"/>
  <c r="B1772" i="4"/>
  <c r="B1773" i="4"/>
  <c r="B1774" i="4"/>
  <c r="B1775" i="4"/>
  <c r="B1776" i="4"/>
  <c r="B1777" i="4"/>
  <c r="B1778" i="4"/>
  <c r="B1779" i="4"/>
  <c r="B1780" i="4"/>
  <c r="B1781" i="4"/>
  <c r="B1782" i="4"/>
  <c r="B1783" i="4"/>
  <c r="B1784" i="4"/>
  <c r="B1785" i="4"/>
  <c r="B1786" i="4"/>
  <c r="B1787" i="4"/>
  <c r="B1788" i="4"/>
  <c r="B1789" i="4"/>
  <c r="B1790" i="4"/>
  <c r="B1791" i="4"/>
  <c r="B1792" i="4"/>
  <c r="B1793" i="4"/>
  <c r="B1794" i="4"/>
  <c r="B1795" i="4"/>
  <c r="B1796" i="4"/>
  <c r="B1797" i="4"/>
  <c r="B1798" i="4"/>
  <c r="B1799" i="4"/>
  <c r="B1800" i="4"/>
  <c r="B1801" i="4"/>
  <c r="B1802" i="4"/>
  <c r="B1803" i="4"/>
  <c r="B1804" i="4"/>
  <c r="B1805" i="4"/>
  <c r="B1806" i="4"/>
  <c r="B1807" i="4"/>
  <c r="B1808" i="4"/>
  <c r="B1809" i="4"/>
  <c r="B1810" i="4"/>
  <c r="B1811" i="4"/>
  <c r="B1812" i="4"/>
  <c r="B1813" i="4"/>
  <c r="B1814" i="4"/>
  <c r="B1815" i="4"/>
  <c r="B1816" i="4"/>
  <c r="B1817" i="4"/>
  <c r="B1818" i="4"/>
  <c r="B1819" i="4"/>
  <c r="B1820" i="4"/>
  <c r="B1821" i="4"/>
  <c r="B1822" i="4"/>
  <c r="B1823" i="4"/>
  <c r="B1824" i="4"/>
  <c r="B1825" i="4"/>
  <c r="B1826" i="4"/>
  <c r="B1827" i="4"/>
  <c r="B1828" i="4"/>
  <c r="B1829" i="4"/>
  <c r="B1830" i="4"/>
  <c r="B1831" i="4"/>
  <c r="B1832" i="4"/>
  <c r="B1833" i="4"/>
  <c r="B1834" i="4"/>
  <c r="B1835" i="4"/>
  <c r="B1836" i="4"/>
  <c r="B1837" i="4"/>
  <c r="B1838" i="4"/>
  <c r="B1839" i="4"/>
  <c r="B1840" i="4"/>
  <c r="B1841" i="4"/>
  <c r="B1842" i="4"/>
  <c r="B1843" i="4"/>
  <c r="B1844" i="4"/>
  <c r="B1845" i="4"/>
  <c r="B1846" i="4"/>
  <c r="B1847" i="4"/>
  <c r="B1848" i="4"/>
  <c r="B1849" i="4"/>
  <c r="B1850" i="4"/>
  <c r="B1851" i="4"/>
  <c r="B1852" i="4"/>
  <c r="B1853" i="4"/>
  <c r="B1854" i="4"/>
  <c r="B1855" i="4"/>
  <c r="B1856" i="4"/>
  <c r="B1857" i="4"/>
  <c r="B1858" i="4"/>
  <c r="B1859" i="4"/>
  <c r="B1860" i="4"/>
  <c r="B1861" i="4"/>
  <c r="B1862" i="4"/>
  <c r="B1863" i="4"/>
  <c r="B1864" i="4"/>
  <c r="B1865" i="4"/>
  <c r="B1866" i="4"/>
  <c r="B1867" i="4"/>
  <c r="B1868" i="4"/>
  <c r="B1869" i="4"/>
  <c r="B1870" i="4"/>
  <c r="B1871" i="4"/>
  <c r="B1872" i="4"/>
  <c r="B1873" i="4"/>
  <c r="B1874" i="4"/>
  <c r="B1875" i="4"/>
  <c r="B1876" i="4"/>
  <c r="B1877" i="4"/>
  <c r="B1878" i="4"/>
  <c r="B1879" i="4"/>
  <c r="B1880" i="4"/>
  <c r="B1881" i="4"/>
  <c r="B1882" i="4"/>
  <c r="B1883" i="4"/>
  <c r="B1884" i="4"/>
  <c r="B1885" i="4"/>
  <c r="B1886" i="4"/>
  <c r="B1887" i="4"/>
  <c r="B1888" i="4"/>
  <c r="B1889" i="4"/>
  <c r="B1890" i="4"/>
  <c r="B1891" i="4"/>
  <c r="B1892" i="4"/>
  <c r="B1893" i="4"/>
  <c r="B1894" i="4"/>
  <c r="B1895" i="4"/>
  <c r="B1896" i="4"/>
  <c r="B1897" i="4"/>
  <c r="B1898" i="4"/>
  <c r="B1899" i="4"/>
  <c r="B1900" i="4"/>
  <c r="B1901" i="4"/>
  <c r="B1902" i="4"/>
  <c r="B1903" i="4"/>
  <c r="B1904" i="4"/>
  <c r="B1905" i="4"/>
  <c r="B1906" i="4"/>
  <c r="B1907" i="4"/>
  <c r="B1908" i="4"/>
  <c r="B1909" i="4"/>
  <c r="B1910" i="4"/>
  <c r="B1911" i="4"/>
  <c r="B1912" i="4"/>
  <c r="B1913" i="4"/>
  <c r="B1914" i="4"/>
  <c r="B1915" i="4"/>
  <c r="B1916" i="4"/>
  <c r="B1917" i="4"/>
  <c r="B1918" i="4"/>
  <c r="B1919" i="4"/>
  <c r="B1920" i="4"/>
  <c r="B1921" i="4"/>
  <c r="B1922" i="4"/>
  <c r="B1923" i="4"/>
  <c r="B1924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Gabriel Hardoim</author>
  </authors>
  <commentList>
    <comment ref="F5" authorId="0" shapeId="0" xr:uid="{665E146E-1623-4586-BAAC-92F4D4440338}">
      <text>
        <r>
          <rPr>
            <b/>
            <sz val="9"/>
            <color indexed="81"/>
            <rFont val="Segoe UI"/>
            <charset val="1"/>
          </rPr>
          <t>Gabriel Hardoim:</t>
        </r>
        <r>
          <rPr>
            <sz val="9"/>
            <color indexed="81"/>
            <rFont val="Segoe UI"/>
            <charset val="1"/>
          </rPr>
          <t xml:space="preserve">
preço unitário
base_produtos - col: I</t>
        </r>
      </text>
    </comment>
    <comment ref="H5" authorId="0" shapeId="0" xr:uid="{DEFD2070-37ED-4D0B-8908-CE7C6C9B1402}">
      <text>
        <r>
          <rPr>
            <b/>
            <sz val="9"/>
            <color indexed="81"/>
            <rFont val="Segoe UI"/>
            <charset val="1"/>
          </rPr>
          <t>Gabriel Hardoim:</t>
        </r>
        <r>
          <rPr>
            <sz val="9"/>
            <color indexed="81"/>
            <rFont val="Segoe UI"/>
            <charset val="1"/>
          </rPr>
          <t xml:space="preserve">
cmc unitário
base_produtos - col: k</t>
        </r>
      </text>
    </comment>
  </commentList>
</comments>
</file>

<file path=xl/sharedStrings.xml><?xml version="1.0" encoding="utf-8"?>
<sst xmlns="http://schemas.openxmlformats.org/spreadsheetml/2006/main" count="34878" uniqueCount="5579">
  <si>
    <t>NERI COPO PRAIA PAR</t>
  </si>
  <si>
    <t>BOTAO PY080 TAM.38 COR.26289</t>
  </si>
  <si>
    <t>BOTAO PY158 TAM.44 COR.25800</t>
  </si>
  <si>
    <t>BOTAO PY158 TAM.44 COR.26347</t>
  </si>
  <si>
    <t>100 % VISCOSE</t>
  </si>
  <si>
    <t>Descrição (completa)</t>
  </si>
  <si>
    <t>Marca</t>
  </si>
  <si>
    <t>Modelo</t>
  </si>
  <si>
    <t>Quantidade</t>
  </si>
  <si>
    <t>CMC Unitário</t>
  </si>
  <si>
    <t>CMC Total</t>
  </si>
  <si>
    <t>Descrição</t>
  </si>
  <si>
    <t>Família</t>
  </si>
  <si>
    <t>Estoque (Código)</t>
  </si>
  <si>
    <t>Estoque (Descrição)</t>
  </si>
  <si>
    <t>Estoque (Tipo)</t>
  </si>
  <si>
    <t>Preço Unitário</t>
  </si>
  <si>
    <t>Classificação</t>
  </si>
  <si>
    <t>Cor</t>
  </si>
  <si>
    <t>Produto (Código)</t>
  </si>
  <si>
    <t>Tamanho</t>
  </si>
  <si>
    <t>PP</t>
  </si>
  <si>
    <t>P</t>
  </si>
  <si>
    <t>M</t>
  </si>
  <si>
    <t>G</t>
  </si>
  <si>
    <t>GG</t>
  </si>
  <si>
    <t>U</t>
  </si>
  <si>
    <t>Cliente (Razão Social)</t>
  </si>
  <si>
    <t>CNPJ/CPF</t>
  </si>
  <si>
    <t>Telefone</t>
  </si>
  <si>
    <t>Estado</t>
  </si>
  <si>
    <t>Cidade</t>
  </si>
  <si>
    <t>Operação</t>
  </si>
  <si>
    <t>Situação</t>
  </si>
  <si>
    <t>Categoria</t>
  </si>
  <si>
    <t>Tipo de Pagamento</t>
  </si>
  <si>
    <t>Nota Fiscal</t>
  </si>
  <si>
    <t>Desconto</t>
  </si>
  <si>
    <t>Frete</t>
  </si>
  <si>
    <t>E-mail</t>
  </si>
  <si>
    <t>Data Venda</t>
  </si>
  <si>
    <t>Código Produto</t>
  </si>
  <si>
    <t>Nota Fiscal Devolução</t>
  </si>
  <si>
    <t>Total Nota Fiscal</t>
  </si>
  <si>
    <t>Total Mercadoria</t>
  </si>
  <si>
    <t>Produto - Cor</t>
  </si>
  <si>
    <t>Produto</t>
  </si>
  <si>
    <t>CASACO GARIBALDI VERMELHO</t>
  </si>
  <si>
    <t>CASACO GARIBALDI DOURADO</t>
  </si>
  <si>
    <t>CHEMISE GARIBALDI DOURADO</t>
  </si>
  <si>
    <t>JAQUETA GARIBALDI VERMELHO</t>
  </si>
  <si>
    <t>JAQUETA GARIBALDI DOURADO</t>
  </si>
  <si>
    <t>SAIA GARIBALDI PRETO</t>
  </si>
  <si>
    <t>SAIA GARIBALDI DOURADO</t>
  </si>
  <si>
    <t>SAIA GARIBALDI VERMELHO</t>
  </si>
  <si>
    <t>CHEMISE INHAPIM OFF</t>
  </si>
  <si>
    <t>CHEMISE INHAPIM CINZA</t>
  </si>
  <si>
    <t>JAQUETA JOAO DE BARRO PRETO</t>
  </si>
  <si>
    <t>JAQUETA JOAO DE BARRO OFF</t>
  </si>
  <si>
    <t>JAQUETA JOAO DE BARRO CARAMELO</t>
  </si>
  <si>
    <t>TOP PETRIM ESTP VERMELHO</t>
  </si>
  <si>
    <t>VESTIDO PETRIM VERMELHO</t>
  </si>
  <si>
    <t>VESTIDO PETRIM ESTAMPA VERMELHO</t>
  </si>
  <si>
    <t>VESTIDO PETRIM ESTAMPA CINZA</t>
  </si>
  <si>
    <t>CAMISA PITIGUARI OFF</t>
  </si>
  <si>
    <t>CAMISA PITIGUARI CINZA</t>
  </si>
  <si>
    <t>KIMONO TUIM OFF</t>
  </si>
  <si>
    <t>KIMONO TUIM PRETO</t>
  </si>
  <si>
    <t>TSHIRT TUIM PRETO</t>
  </si>
  <si>
    <t>BLUSA CARDEAL VERMELHO</t>
  </si>
  <si>
    <t>CALCA TRICO - NERI ESSENCIAL PRETO</t>
  </si>
  <si>
    <t>CHEMISE MAPA AZUL</t>
  </si>
  <si>
    <t>CALCA TRICO - NERI ESSENCIAL BEGE</t>
  </si>
  <si>
    <t>CASACO PITIGUARI OFF</t>
  </si>
  <si>
    <t>CASACO PITIGUARI PRETO</t>
  </si>
  <si>
    <t>Data Lançamento</t>
  </si>
  <si>
    <t>Preço Cheio</t>
  </si>
  <si>
    <t>Preço Promocional</t>
  </si>
  <si>
    <t>CALCA TRICO - NERI ESSENCIAL OFF WHITE</t>
  </si>
  <si>
    <t>BLAZER JOAO DE BARRO CINZA</t>
  </si>
  <si>
    <t>BLAZER JOAO DE BARRO CARAMELO</t>
  </si>
  <si>
    <t>CASACO JOAO DE BARRO CARAMELO</t>
  </si>
  <si>
    <t>CASACO JOAO DE BARRO OFF</t>
  </si>
  <si>
    <t>SAIA PLISSADA JOAO DE BARRO CINZA</t>
  </si>
  <si>
    <t>SAIA PLISSADA JOAO DE BARRO CARAMELO</t>
  </si>
  <si>
    <t>TOP JOAO DE BARRO OFF</t>
  </si>
  <si>
    <t>TOP JOAO DE BARRO PRETO</t>
  </si>
  <si>
    <t>TOP JOAO DE BARRO DOURADO</t>
  </si>
  <si>
    <t>TOP JOAO DE BARRO VERMELHO</t>
  </si>
  <si>
    <t>TOP JOAO DE BARRO CINZA</t>
  </si>
  <si>
    <t>TOP JOAO DE BARRO CARAMELO</t>
  </si>
  <si>
    <t>BLUSAO TUIM VERMELHO</t>
  </si>
  <si>
    <t>CASACO JAPUACU PRETO</t>
  </si>
  <si>
    <t>CALCA JOAO DE BARRO CINZA</t>
  </si>
  <si>
    <t>CALCA JOAO DE BARRO CARAMELO</t>
  </si>
  <si>
    <t>CALCA PITIGUARI OFF</t>
  </si>
  <si>
    <t>CALCA PITIGUARI PRETO</t>
  </si>
  <si>
    <t>CALCA PITIGUARI CARAMELO</t>
  </si>
  <si>
    <t>CALCA CARDEAL CARAMELO</t>
  </si>
  <si>
    <t>BLAZER MAU PRETO</t>
  </si>
  <si>
    <t>BLAZER MAU OFF</t>
  </si>
  <si>
    <t>BLAZER MAU VERMELHO</t>
  </si>
  <si>
    <t>CAMISA MAU PRETO</t>
  </si>
  <si>
    <t>CAMISA MAU OFF</t>
  </si>
  <si>
    <t>CAMISA MAU VERMELHO</t>
  </si>
  <si>
    <t>VESTIDO MAU PRETO</t>
  </si>
  <si>
    <t>VESTIDO MAU OFF</t>
  </si>
  <si>
    <t>VESTIDO MAU VERMELHO</t>
  </si>
  <si>
    <t>CALCA MAU PRETO</t>
  </si>
  <si>
    <t>CALCA MAU OFF</t>
  </si>
  <si>
    <t>CALCA MAU VERMELHO</t>
  </si>
  <si>
    <t>VESTIDO PETRIM ROSE</t>
  </si>
  <si>
    <t>ÚNICO</t>
  </si>
  <si>
    <t>CASACO JAIPU PRETO</t>
  </si>
  <si>
    <t>Ref (Produto - Cor)</t>
  </si>
  <si>
    <t>Estoque Atual</t>
  </si>
  <si>
    <t>Vendas 10 dias</t>
  </si>
  <si>
    <t>Vendas 15 dias</t>
  </si>
  <si>
    <t>Vendas 30 dias</t>
  </si>
  <si>
    <t>Vendas 60 dias</t>
  </si>
  <si>
    <t>???</t>
  </si>
  <si>
    <t>Primeira Venda</t>
  </si>
  <si>
    <t>Última Venda</t>
  </si>
  <si>
    <t>Giro 10 dias</t>
  </si>
  <si>
    <t>Giro 15 dias</t>
  </si>
  <si>
    <t>Giro 30 dias</t>
  </si>
  <si>
    <t>Giro 60 dias</t>
  </si>
  <si>
    <t>Custo</t>
  </si>
  <si>
    <t>Estoque Inicial</t>
  </si>
  <si>
    <t>Vendas 7 dias</t>
  </si>
  <si>
    <t>Vendas 20 dias</t>
  </si>
  <si>
    <t>Vendas 40 dias</t>
  </si>
  <si>
    <t>Vendas 45 dias</t>
  </si>
  <si>
    <t>Giro 7 dias</t>
  </si>
  <si>
    <t>Giro 20 dias</t>
  </si>
  <si>
    <t>Giro 40 dias</t>
  </si>
  <si>
    <t>Giro 45 dias</t>
  </si>
  <si>
    <t>Vendas 90 dias</t>
  </si>
  <si>
    <t>Giro 90 dias</t>
  </si>
  <si>
    <t>Dias Lançamento</t>
  </si>
  <si>
    <t>Total Vendas Geral</t>
  </si>
  <si>
    <t>CHEMISE GARIBALDI VER. PC UNICA</t>
  </si>
  <si>
    <t>CALCA PINTASSILGO CAR. PC UNICA</t>
  </si>
  <si>
    <t>LENCO - ESTAMPA VERMELHA</t>
  </si>
  <si>
    <t>LENCO - ESTAMPA CINZA</t>
  </si>
  <si>
    <t>CALCA PETRIM ESTAMPA VERMELHO</t>
  </si>
  <si>
    <t>BLUSAO TUIM CINZA</t>
  </si>
  <si>
    <t>CALCA PETRIM VERMELHO</t>
  </si>
  <si>
    <t>CAMISETA FLAUTIM BASICA PRETO</t>
  </si>
  <si>
    <t>CAMISETA FLAUTIM BASICA VERMELHO</t>
  </si>
  <si>
    <t>CAMISETA FLAUTIM BASICA AREIA</t>
  </si>
  <si>
    <t>CAMISETA FLAUTIM BASICA ROSE</t>
  </si>
  <si>
    <t>CHEMISE GARIBALDI PRETO</t>
  </si>
  <si>
    <t>CHEMISE GARIBALDI OFF</t>
  </si>
  <si>
    <t>TOP PETRIM VERMELHO</t>
  </si>
  <si>
    <t>TOP PETRIM OFF</t>
  </si>
  <si>
    <t>VESTIDO PETRIM OFF</t>
  </si>
  <si>
    <t>VESTIDO PETRIM PRETO</t>
  </si>
  <si>
    <t>VESTIDO CANARIO PRETO</t>
  </si>
  <si>
    <t>VESTIDO CANARIO OFF</t>
  </si>
  <si>
    <t>BLUSA CANARIO OFF</t>
  </si>
  <si>
    <t>BLUSA CANARIO VERMELHO</t>
  </si>
  <si>
    <t>BLUSA CANARIO PRETO</t>
  </si>
  <si>
    <t>VESTIDO ROUXINOL ROSE</t>
  </si>
  <si>
    <t>VESTIDO ROUXINOL PRETO</t>
  </si>
  <si>
    <t>VESTIDO ROUXINOL OFF</t>
  </si>
  <si>
    <t>BLUSA ANAMBE OFF</t>
  </si>
  <si>
    <t>BLUSA ANAMBE PRETO</t>
  </si>
  <si>
    <t>CASACO JAIPU CINZA</t>
  </si>
  <si>
    <t>CASACO JAPUACU VERMELHO</t>
  </si>
  <si>
    <t>SAIA GARIBALDI OFF</t>
  </si>
  <si>
    <t>CALCA JOAO DE BARRO PRETO</t>
  </si>
  <si>
    <t>SAIA PLISSADA JOAO DE BARRO PRETO</t>
  </si>
  <si>
    <t>VESTIDO ALBATROZ BEGE</t>
  </si>
  <si>
    <t>VESTIDO ALBATROZ PRETO</t>
  </si>
  <si>
    <t>TOP PINTASSILGO CARAMELO</t>
  </si>
  <si>
    <t>TOP PINTASSILGO OFF</t>
  </si>
  <si>
    <t>CALCA PINTASSILGO OFF</t>
  </si>
  <si>
    <t>CAMISETA FLAUTIM BASICA OFF</t>
  </si>
  <si>
    <t>TOP PETRIM ROSE</t>
  </si>
  <si>
    <t>MISCI</t>
  </si>
  <si>
    <t>TECIDO WERNER - SEDA PURA 100% - NECTAR (564)</t>
  </si>
  <si>
    <t>TECIDO WERNER - SEDA PURA 100% - LAMA (703)</t>
  </si>
  <si>
    <t>TECIDO WERNER - SEDA PURA 100% - ORGANZA -PANTANAL (254)</t>
  </si>
  <si>
    <t>TECIDO WERNER - SEDA PURA 100%  - CREPE DE CHINA LEVE - GIARDINO (284)</t>
  </si>
  <si>
    <t>TECIDO WERNER - SEDA PURA 100% - CREPE DE CHINE LEVE - CERAMICA (427)</t>
  </si>
  <si>
    <t>TECIDO GVALLONE - CHRISTIE TABACO  - 49% MODAL + 30% ALGODAO + 21% LINHO</t>
  </si>
  <si>
    <t>GRAOS OFF</t>
  </si>
  <si>
    <t>TECIDO WERNER - CREPE FLORA-  68% ACETATO 20% MODAL 12% LIOCEL  - CERAMICA COR 357</t>
  </si>
  <si>
    <t>TECIDO WERNER - ESSENCE -  63%ACETATO 34%POLIAMIDA 3%ELASTANO - CREME 5000</t>
  </si>
  <si>
    <t>TECIDO CASTANHAL - 70% JUTA 30% ALGODAO - CRU</t>
  </si>
  <si>
    <t>TECIDO WERNER - 100% LINHO - MOSTARDA  - FILTRO DE BARRO</t>
  </si>
  <si>
    <t>TECIDO WERNER - 100% LINHO - TABACO (748)</t>
  </si>
  <si>
    <t>TECIDO EVOLVE - COTTONADE SEMOLINA - CRU - 87% VISCOSE + 12% ALGODAO</t>
  </si>
  <si>
    <t>FERRAGENS - CURSOR 5 METAL S/TRAVA RM! NIQUEL C C/VZ - CYKK5-MDFNT2 - CURSO DO ZIPER</t>
  </si>
  <si>
    <t>TECIDO WERNER - TRICOLINE MODAL STRETCH -  85%MODAL 11%POLIAMIDA 4%ELASTANO - CERAMICA COR 357</t>
  </si>
  <si>
    <t>TECIDO WERNER - CUPRO 57% MODAL 43% - AVA - TERRACOTA (357)</t>
  </si>
  <si>
    <t>TECIDO BUDI - MOLETON FLEECE GD-100%ALGODAO</t>
  </si>
  <si>
    <t>TECIDO BUDI - CANELADO PUNHO 2X1  COR MESCLA COTTON - 86% ALGODAO 2% ELASTANO12% POLIESTER</t>
  </si>
  <si>
    <t>TECIDO BUDI - CANELADO RIB 2X1 C/ELAST COR PRETA -  98% ALGODAO 2% ELASTANO</t>
  </si>
  <si>
    <t>FERRAGENS - MOSQUETAO INJETADO #NIQUEL BC/VZ - 104T16-1 - PRENDEDOR COM MOLA</t>
  </si>
  <si>
    <t>TECIDO DI GRECCO - ESTAMPA FUXICO LANCHES - 100% ALGODAO</t>
  </si>
  <si>
    <t>TECIDO DI GRECCO - ESTAMPA KAMA SUTRA - 100% ALGODAO</t>
  </si>
  <si>
    <t>TECIDO GVALLONE - MAXICOTTON - 67% VISCOSE 33% ALGODAO - GOIABA</t>
  </si>
  <si>
    <t>FERRAGENS - PIGENTE INJETADO #NIQUEL B C/VZ - GI6020-13 - GRANDE</t>
  </si>
  <si>
    <t>FERRAGENS - PIGENTE INJETADO #NIQUEL B C/VZ - GI6020-14 - PEQUENO</t>
  </si>
  <si>
    <t>FERRAGENS - ENFEITE INJETADO SILVER FROST - EI5021/32% - BOTAO 23MM</t>
  </si>
  <si>
    <t>TECIDO JB - COTTON FLAME PT (PR. P/TINGIR LISO) - LISTRA CRU</t>
  </si>
  <si>
    <t>Rolo de etiquetas tag adesiva com serrilha 35mm x 50mm x 33 colunas - 36 Metros (1440 etiquetas)</t>
  </si>
  <si>
    <t>CARRINHO BAR CARRIOLA</t>
  </si>
  <si>
    <t>TECIDO GV - MADONNA 100% ALGODAO PRETO</t>
  </si>
  <si>
    <t>BOTAO 90326 TAM.36 RP - COR.523</t>
  </si>
  <si>
    <t>BOTAO 90326 TAM.24 RP - COR.515</t>
  </si>
  <si>
    <t>BOTAO 90326 TAM.24 RP - COR.523</t>
  </si>
  <si>
    <t>BOTAO 90326 TAM.36 RP - COR.520</t>
  </si>
  <si>
    <t>TECIDO GVALLONE - NUSA - CASTOR- 100% ALGODAO</t>
  </si>
  <si>
    <t>TECIDO GVALLONE - COLLINE MARRON AMOSTRA</t>
  </si>
  <si>
    <t>TECIDO ISTAMBUL - ACINZENTADO</t>
  </si>
  <si>
    <t>ARGOLA ABERTURA PUBI GRANDE - BANHO  OURO 18K - PAR</t>
  </si>
  <si>
    <t>ARGOLA ABERTURA PUBI PEQUENA - BANHO  OURO 18K - PAR</t>
  </si>
  <si>
    <t>ARGOLA SONALY GRANDE - BANHO  OURO 18K - PAR</t>
  </si>
  <si>
    <t>BANQUETA MISCI01 COURO WHISKY - "G"</t>
  </si>
  <si>
    <t>BANQUETA MISCI01 COURO WHISKY - "P"</t>
  </si>
  <si>
    <t>BAR CARRIOLA COM MADEIRA JEQUITIBA</t>
  </si>
  <si>
    <t>BERMUDA VICOSE CONHAQUE BROTO - "G"</t>
  </si>
  <si>
    <t>BERMUDA VICOSE CONHAQUE BROTO - "GG"</t>
  </si>
  <si>
    <t>BERMUDA VICOSE CONHAQUE BROTO - "M"</t>
  </si>
  <si>
    <t>BERMUDA VICOSE CONHAQUE BROTO - "P"</t>
  </si>
  <si>
    <t>BERMUDA ALGODAO LISTRA CRU LAI - "G"</t>
  </si>
  <si>
    <t>BERMUDA ALGODAO LISTRA CRU LAI - "M"</t>
  </si>
  <si>
    <t>BERMUDA ALGODAO LISTRA CRU LAI - "P"</t>
  </si>
  <si>
    <t>BIQUINI MISCI + ESC - CERAMICA - "G"</t>
  </si>
  <si>
    <t>BIQUINI MISCI + ESC - CERAMICA - "GG"</t>
  </si>
  <si>
    <t>BIQUINI MISCI + ESC - CERAMICA - "M"</t>
  </si>
  <si>
    <t>BIQUINI MISCI + ESC - CERAMICA - "P"</t>
  </si>
  <si>
    <t>BLUSA MANGA CURTA ELLE PRETA - "G"</t>
  </si>
  <si>
    <t>BLUSA MANGA CURTA ELLE PRETA - "GG"</t>
  </si>
  <si>
    <t>BLUSA MANGA CURTA ELLE PRETA - "P"</t>
  </si>
  <si>
    <t>BLUSA MANGA CURTA ELLE PRETA - "PP"</t>
  </si>
  <si>
    <t>BLUSA MANGA CURTA ELLE PRETA - "M"</t>
  </si>
  <si>
    <t>BLAZER ALFAIATARIA PANTU CHAMPAGNE - "G"</t>
  </si>
  <si>
    <t>BLAZER ALFAIATARIA PANTU CHAMPAGNE - "M"</t>
  </si>
  <si>
    <t>BLAZER ALFAIATARIA PANTU CHAMPAGNE - "P"</t>
  </si>
  <si>
    <t>BLAZER ALFAIATARIA PANTU CHAMPAGNE - "PP"</t>
  </si>
  <si>
    <t>BOLSA COURO BAMBOLE AZUL</t>
  </si>
  <si>
    <t>BOLSA COURO BAMBOLE OFF</t>
  </si>
  <si>
    <t>BOLSA COURO BAMBOLE VERDE</t>
  </si>
  <si>
    <t>BOLSA COURO BAMBOLE COR X</t>
  </si>
  <si>
    <t>BOLSA JAUM DE JUTA</t>
  </si>
  <si>
    <t>BOLSA PALHA E COURO WHISKY GRANDE JAUM  - ''G"</t>
  </si>
  <si>
    <t>BOLSA COURO GRANDE BRANCA NINE  - ''G"</t>
  </si>
  <si>
    <t>BOLSA COURO GRANDE PRETA NINE  - ''G''</t>
  </si>
  <si>
    <t>BOLSA COURO PEQUENA PRETA NINE  - ''P'</t>
  </si>
  <si>
    <t>BOLSA COURO GRANDE WHISKY NINE  - ''G"</t>
  </si>
  <si>
    <t>BOLSA COURO PEQUENA WHISKY NINE - ''P'</t>
  </si>
  <si>
    <t>BRACELETE PUBI - BANHO  OURO 18K - "TU"</t>
  </si>
  <si>
    <t>CADEIRA MISCI01 COURO WHISKY - TU</t>
  </si>
  <si>
    <t>CAMISETA LILAS ESTAMPA BAURU - "G"</t>
  </si>
  <si>
    <t>CAMISETA LILAS ESTAMPA BAURU - "GG"</t>
  </si>
  <si>
    <t>CAMISETA LILAS ESTAMPA BAURU - "M"</t>
  </si>
  <si>
    <t>CAMISETA LILAS ESTAMPA BAURU - "P"</t>
  </si>
  <si>
    <t>CAMISETA LILAS ESTAMPA BAURU - "PP"</t>
  </si>
  <si>
    <t>CAMISETA LILAS ESTAMPA BAURU - "XG"</t>
  </si>
  <si>
    <t>CAMISETA BASICA ALGODAO BRANCA LISA - "M"</t>
  </si>
  <si>
    <t>CAMISETA BRANCA ESTAMPA UNI - "G"</t>
  </si>
  <si>
    <t>CAMISETA BRANCA ESTAMPA UNI - "GG"</t>
  </si>
  <si>
    <t>CAMISETA BRANCA ESTAMPA UNI - "M"</t>
  </si>
  <si>
    <t>CAMISETA BRANCA ESTAMPA UNI - "P"</t>
  </si>
  <si>
    <t>CAMISETA BRANCA ESTAMPA UNI - "PP"</t>
  </si>
  <si>
    <t>CAMISETA BRANCA ESTAMPA UNI - "XG"</t>
  </si>
  <si>
    <t>CHINELO BITA DE COURO WHISKY - "35"</t>
  </si>
  <si>
    <t>CHINELO BITA DE COURO WHISKY - "36"</t>
  </si>
  <si>
    <t>CHINELO BITA DE COURO WHISKY - "37"</t>
  </si>
  <si>
    <t>CHINELO BITA DE COURO WHISKY - "38"</t>
  </si>
  <si>
    <t>CHINELO BITA DE COURO WHISKY - "39"</t>
  </si>
  <si>
    <t>CHINELO BITA DE COURO WHISKY - "40"</t>
  </si>
  <si>
    <t>CHINELO BITA DE COURO WHISKY - "41"</t>
  </si>
  <si>
    <t>CHINELO BITA DE COURO WHISKY - "42"</t>
  </si>
  <si>
    <t>CHINELO BITA DE COURO WHISKY - "43"</t>
  </si>
  <si>
    <t>CHINELO BITA DE COURO WHISKY - "44"</t>
  </si>
  <si>
    <t>CAMISA MANGA CURTA CROCHE LISTRADA AMARELA ATAFONA -  "TU"</t>
  </si>
  <si>
    <t>CAMISA MANGA CURTA MISCI ALGODAO LISTRADA AMARELA CHICO  "G"</t>
  </si>
  <si>
    <t>CAMISA MANGA CURTA MISCI ALGODAO LISTRADA AMARELA CHICO  "GG"</t>
  </si>
  <si>
    <t>CAMISA MANGA CURTA MISCI ALGODAO LISTRADA AMARELA CHICO  "M"</t>
  </si>
  <si>
    <t>CAMISA MANGA CURTA MISCI ALGODAO LISTRADA AMARELA CHICO  "P"</t>
  </si>
  <si>
    <t>CAMISA MANGA CURTA MISCI ALGODAO CHUMBO CHICO -  "G"</t>
  </si>
  <si>
    <t>CAMISA MANGA CURTA MISCI ALGODAO CHUMBO CHICO -  "GG"</t>
  </si>
  <si>
    <t>CAMISA MANGA CURTA MISCI ALGODAO CHUMBO CHICO -  "M"</t>
  </si>
  <si>
    <t>CAMISA MANGA CURTA MISCI ALGODAO CHUMBO CHICO -  "P"</t>
  </si>
  <si>
    <t>CAMISA MANGA CURTA LISTRADADA COLORIDA DEDE - "G"</t>
  </si>
  <si>
    <t>CAMISA MANGA CURTA LISTRADADA COLORIDA DEDE - "GG"</t>
  </si>
  <si>
    <t>CAMISA MANGA CURTA LISTRADADA COLORIDA DEDE - "M"</t>
  </si>
  <si>
    <t>CAMISA MANGA CURTA LISTRADADA COLORIDA DEDE - "P"</t>
  </si>
  <si>
    <t>CAMISA MANGA CURTA MENTA BORDADA FACHADA - "M"</t>
  </si>
  <si>
    <t>CAMISA MANGA CURTA CONHAQUE BORDADA FACHADA - "G"</t>
  </si>
  <si>
    <t>CAMISA MANGA CURTA ALGODAO FILTRO DE BARRO - "G"</t>
  </si>
  <si>
    <t>CAMISA MANGA CURTA ALGODAO FILTRO DE BARRO - "GG"</t>
  </si>
  <si>
    <t>CAMISA MANGA CURTA ALGODAO FILTRO DE BARRO - "M"</t>
  </si>
  <si>
    <t>CAMISA MANGA CURTA ALGODAO FILTRO DE BARRO - "P"</t>
  </si>
  <si>
    <t>CAMISA MANGA CURTA ALGODAO FILTRO DE BARRO - "PP"</t>
  </si>
  <si>
    <t>CAMISA MANGA CURTA JACQUARD ALGODAO NOIS CAPOTA MAS NAO BRECA - "G"</t>
  </si>
  <si>
    <t>CAMISA MANGA CURTA JACQUARD ALGODAO NOIS CAPOTA MAS NAO BRECA - "GG"</t>
  </si>
  <si>
    <t>CAMISA MANGA CURTA JACQUARD ALGODAO NOIS CAPOTA MAS NAO BRECA - "M"</t>
  </si>
  <si>
    <t>CAMISA MANGA CURTA JACQUARD ALGODAO NOIS CAPOTA MAS NAO BRECA - "P"</t>
  </si>
  <si>
    <t>CAMISA MANGA CURTA JACQUARD ALGODAO NOIS CAPOTA MAS NAO BRECA - "PP"</t>
  </si>
  <si>
    <t>CAMISA MANGA CURTA JACQUARD ALGODAO EXISTO PORQUE INSISTO - "G"</t>
  </si>
  <si>
    <t>CAMISA MANGA CURTA JACQUARD ALGODAO EXISTO PORQUE INSISTO - "GG"</t>
  </si>
  <si>
    <t>CAMISA MANGA CURTA JACQUARD ALGODAO EXISTO PORQUE INSISTO - "M"</t>
  </si>
  <si>
    <t>CAMISA MANGA CURTA JACQUARD ALGODAO EXISTO PORQUE INSISTO - "P"</t>
  </si>
  <si>
    <t>CAMISA MANGA CURTA JACQUARD ALGODAO EXISTO PORQUE INSISTO - "PP"</t>
  </si>
  <si>
    <t>CAMISA MANGA CURTA ALGODAO LISTRADA COLORIDO LINO - "G"</t>
  </si>
  <si>
    <t>CAMISA MANGA CURTA ALGODAO LISTRADA COLORIDO LINO - "GG"</t>
  </si>
  <si>
    <t>CAMISA MANGA CURTA ALGODAO LISTRADA COLORIDO LINO - "M"</t>
  </si>
  <si>
    <t>CAMISA MANGA CURTA ALGODAO LISTRADA COLORIDO LINO - "P"</t>
  </si>
  <si>
    <t>CAMISA MANGA CURTA MOQUECA DIJANELA  - "TU (M)"</t>
  </si>
  <si>
    <t>CAMISA MANGA CURTA CETIM DE SEDA ESTAMPADA PRECIADO - "M"</t>
  </si>
  <si>
    <t>CAMISA MANGA CURTA LINHO PEROLA PONTO PICADO REGINALDO - "G"</t>
  </si>
  <si>
    <t>CAMISA MANGA CURTA LINHO PEROLA PONTO PICADO REGINALDO - "GG"</t>
  </si>
  <si>
    <t>CAMISA MANGA CURTA LINHO PEROLA PONTO PICADO REGINALDO - "M"</t>
  </si>
  <si>
    <t>CAMISA MANGA CURTA LINHO PEROLA PONTO PICADO REGINALDO - "P"</t>
  </si>
  <si>
    <t>CAMISA MANGA CURTA LINHO TELHA PONTO PICADO REGINALDO - "M"</t>
  </si>
  <si>
    <t>CAMISA MANGA CURTA SEDA MOSTARDA  - "G"</t>
  </si>
  <si>
    <t>CAMISA MANGA CURTA SEDA MOSTARDA  - "GG"</t>
  </si>
  <si>
    <t>CAMISA MANGA CURTA SEDA MOSTARDA  - "M"</t>
  </si>
  <si>
    <t>CAMISA MANGA CURTA SEDA MOSTARDA  - "P"</t>
  </si>
  <si>
    <t>CAMISA JEANS INDIGO ARI - "G"</t>
  </si>
  <si>
    <t>CAMISA JEANS INDIGO ARI - "GG"</t>
  </si>
  <si>
    <t>CAMISA JEANS INDIGO ARI - "M"</t>
  </si>
  <si>
    <t>CAMISA JEANS INDIGO ARI - "P"</t>
  </si>
  <si>
    <t>CAMISA MANGA LONGA COM PREGAS PRETA PRELA - "G"</t>
  </si>
  <si>
    <t>CAMISA MANGA LONGA COM PREGAS PRETA PRELA - "GG"</t>
  </si>
  <si>
    <t>CAMISA MANGA LONGA COM PREGAS PRETA PRELA - "M"</t>
  </si>
  <si>
    <t>CAMISA MANGA LONGA COM PREGAS PRETA PRELA - "P"</t>
  </si>
  <si>
    <t>CAMISA MANGA LONGA SEDA ESTAMPADA PRECIADO - "M"</t>
  </si>
  <si>
    <t>CAMISA MANGA LONGA LISTRADA VRM/PRE/BCO PUBI - "G"</t>
  </si>
  <si>
    <t>CAMISA MANGA LONGA LISTRADA VRM/PRE/BCO PUBI - "GG"</t>
  </si>
  <si>
    <t>CAMISA MANGA LONGA LISTRADA VRM/PRE/BCO PUBI - "M"</t>
  </si>
  <si>
    <t>CAMISA MANGA LONGA LISTRADA VRM/PRE/BCO PUBI - "P"</t>
  </si>
  <si>
    <t>CAMISA MANGA LONGA LISTRADA PESPONTO VRM/BCO PUBI- "G"</t>
  </si>
  <si>
    <t>CAMISA MANGA LONGA LISTRADA PESPONTO VRM/BCO PUBI- "GG"</t>
  </si>
  <si>
    <t>CAMISA MANGA LONGA LISTRADA PESPONTO VRM/BCO PUBI- "M"</t>
  </si>
  <si>
    <t>CAMISA MANGA LONGA LISTRADA PESPONTO VRM/BCO PUBI- "P"</t>
  </si>
  <si>
    <t>BLAZER ALFAIATARIA PAULA SCAVAZZINI - "M"</t>
  </si>
  <si>
    <t>COLETE D-20 - EXISTO PORQUE INSISTO - "G"</t>
  </si>
  <si>
    <t>COLETE D-20 - EXISTO PORQUE INSISTO - "GG"</t>
  </si>
  <si>
    <t>COLETE D-20 - EXISTO PORQUE INSISTO - "M"</t>
  </si>
  <si>
    <t>COLETE D-20 - EXISTO PORQUE INSISTO - "P"</t>
  </si>
  <si>
    <t>COLETE D-20 - EXISTO PORQUE INSISTO - "PP"</t>
  </si>
  <si>
    <t>COLETE D-20 - EXISTO PORQUE INSISTO - "XG"</t>
  </si>
  <si>
    <t>FERRAGENS - ENFEITE INJETADO #NIQUEL B C/VZ - EI6021-64 - BOTAO LARERAL</t>
  </si>
  <si>
    <t>FERRAGENS - ENFEITE INJETADO #OURO MILANO B C/VZ - EI6021-64 - BOTAO PRESSAO</t>
  </si>
  <si>
    <t>ETIQUETA - bordada premium na cor 1901 - 40 x 65mm fundo Silk Damask Premiun sem dobras - Haco Etiquetas Ltda.</t>
  </si>
  <si>
    <t>ETIQUETA  - GRADE - PP/ S -  4 X 2 MM - HACO</t>
  </si>
  <si>
    <t>ETIQUETA  - GRADE - P/ S -  4 X 2 MM - HACO</t>
  </si>
  <si>
    <t>ETIQUETA  - GRADE - M / M -  4 X 2 MM - HACO</t>
  </si>
  <si>
    <t>ETIQUETA  - GRADE - G / L -  4 X 2 MM - HACO</t>
  </si>
  <si>
    <t>ETIQUETA  - GRADE - GG / XL -  4 X 2 MM - HACO</t>
  </si>
  <si>
    <t>ETIQUETA  - GRADE - 36 -  4 X 2 MM - HACO</t>
  </si>
  <si>
    <t>ETIQUETA  - GRADE - 38 -  4 X 2 MM - HACO</t>
  </si>
  <si>
    <t>ETIQUETA  - GRADE - 40 -  4 X 2 MM - HACO</t>
  </si>
  <si>
    <t>ETIQUETA  - GRADE - 42 -  4 X 2 MM - HACO</t>
  </si>
  <si>
    <t>ETIQUETA  - GRADE - 44 -  4 X 2 MM - HACO</t>
  </si>
  <si>
    <t>ETIQUETA  - GRADE - 46 -  4 X 2 MM - HACO</t>
  </si>
  <si>
    <t>ZIPER YKK 15CM MARINHO</t>
  </si>
  <si>
    <t>CX. PAP.OND.REF.:01 963x998x</t>
  </si>
  <si>
    <t>JAQUETA CRU PRATIGI - "M"</t>
  </si>
  <si>
    <t>JAQUETA MASCAVO INGA - "G"</t>
  </si>
  <si>
    <t>JAQUETA MASCAVO INGA - "GG"</t>
  </si>
  <si>
    <t>JAQUETA MASCAVO INGA - "M"</t>
  </si>
  <si>
    <t>JAQUETA MASCAVO INGA - "P"</t>
  </si>
  <si>
    <t>JAQUETA OLIVA INGA - "G"</t>
  </si>
  <si>
    <t>JAQUETA OLIVA INGA - "GG"</t>
  </si>
  <si>
    <t>JAQUETA OLIVA INGA - "M"</t>
  </si>
  <si>
    <t>JAQUETA OLIVA INGA - "P"</t>
  </si>
  <si>
    <t>LIVRO INFATIL BRASILIDADES MISCI</t>
  </si>
  <si>
    <t>MAIO MISCI + ESC - CERAMICA - "G"</t>
  </si>
  <si>
    <t>MAIO MISCI + ESC - CERAMICA - "GG"</t>
  </si>
  <si>
    <t>MAIO MISCI + ESC - CERAMICA - "M"</t>
  </si>
  <si>
    <t>MAIO MISCI + ESC - CERAMICA - "P"</t>
  </si>
  <si>
    <t>MEIAS LISTRADA COLORIDA COM LOGO MISCI - PAR -"TU (37-42)"</t>
  </si>
  <si>
    <t>OCULOS BOLEIA X VENTURURA - TARTUGA BICOLOR - TAM UNICO</t>
  </si>
  <si>
    <t>PANNEOUX PRECIADO MISCI + ESC - U</t>
  </si>
  <si>
    <t>PERFUME DE AMBIENTE MISCI 250 ml - O BOTO</t>
  </si>
  <si>
    <t>POLO TRICOT - "M"</t>
  </si>
  <si>
    <t>POLO CANELADA VISCOSE CERAMICA TRICOT - "G"</t>
  </si>
  <si>
    <t>POLO CANELADA VISCOSE CERAMICA TRICOT - "GG"</t>
  </si>
  <si>
    <t>POLO CANELADA VISCOSE CERAMICA TRICOT - "M"</t>
  </si>
  <si>
    <t>POLO CANELADA VISCOSE CERAMICA TRICOT - "P"</t>
  </si>
  <si>
    <t>ZIPER</t>
  </si>
  <si>
    <t>PLACA RATAN 1M X 1,20 LARGURA - COR CREME</t>
  </si>
  <si>
    <t>TECIDO CATAGUASES - BIARRITZ AMACIADO - TECIDO ALGODAO-TAFETA - TF034011 - PEROLA COM LISTRAS BRANCAS</t>
  </si>
  <si>
    <t>RASTEIRA COURO WHISKY CHINELAO - "35"</t>
  </si>
  <si>
    <t>RASTEIRA COURO WHISKY CHINELAO - "36"</t>
  </si>
  <si>
    <t>RASTEIRA COURO WHISKY CHINELAO - "37"</t>
  </si>
  <si>
    <t>RASTEIRA COURO WHISKY CHINELAO - "38"</t>
  </si>
  <si>
    <t>RASTEIRA COURO WHISKY CHINELAO - "39"</t>
  </si>
  <si>
    <t>RASTEIRA COURO WHISKY CHINELAO - "40"</t>
  </si>
  <si>
    <t>RASTEIRA COURO WHISKY CHINELAO - "41"</t>
  </si>
  <si>
    <t>RASTEIRA COURO WHISKY CHINELAO - "42"</t>
  </si>
  <si>
    <t>RASTEIRA COURO WHISKY CHINELAO - "43"</t>
  </si>
  <si>
    <t>RASTEIRA COURO WHISKY CHINELAO - "44"</t>
  </si>
  <si>
    <t>REGATAO CASULO SEDA - "PECA UNICA"</t>
  </si>
  <si>
    <t>SAIA ELLE PRETA - "G"</t>
  </si>
  <si>
    <t>SAIA ELLE PRETA - "M"</t>
  </si>
  <si>
    <t>SAIA ELLE PRETA - "P"</t>
  </si>
  <si>
    <t>SAIA ELLE PRETA - "PP"</t>
  </si>
  <si>
    <t>SAIA FENDA PANTU CHAMPAGNE - "G"</t>
  </si>
  <si>
    <t>SAIA FENDA PANTU CHAMPAGNE - "M"</t>
  </si>
  <si>
    <t>SAIA FENDA PANTU CHAMPAGNE - "P"</t>
  </si>
  <si>
    <t>SAIA FENDA PANTU CHAMPAGNE - "PP"</t>
  </si>
  <si>
    <t>SANDALIA DE COURO JESUS WHISKY - "34"</t>
  </si>
  <si>
    <t>SANDALIA DE COURO JESUS WHISKY - "35"</t>
  </si>
  <si>
    <t>SANDALIA DE COURO JESUS WHISKY - "36"</t>
  </si>
  <si>
    <t>SANDALIA DE COURO JESUS WHISKY - "37"</t>
  </si>
  <si>
    <t>SANDALIA DE COURO JESUS WHISKY - "38"</t>
  </si>
  <si>
    <t>SANDALIA DE COURO JESUS WHISKY - "39"</t>
  </si>
  <si>
    <t>SANDALIA DE COURO JESUS WHISKY - "40"</t>
  </si>
  <si>
    <t>SANDALIA DE COURO JESUS WHISKY - "41"</t>
  </si>
  <si>
    <t>SANDALIA DE COURO JESUS WHISKY - "42"</t>
  </si>
  <si>
    <t>SANDALIA DE COURO JESUS WHISKY - "43"</t>
  </si>
  <si>
    <t>SANDALIA DE COURO JESUS WHISKY - "44"</t>
  </si>
  <si>
    <t>SANDALIA DE COURO JESUS WHISKY - "PRODUCAO"</t>
  </si>
  <si>
    <t>SANDALIA BAROA PALHA DE SEDA CREME - "PRODUCAO"</t>
  </si>
  <si>
    <t>SAPATO MULE MISCI COURO WHISKY / PLATAFORMA CONHAQUE MI - "35"</t>
  </si>
  <si>
    <t>SAPATO MULE MISCI COURO WHISKY / PLATAFORMA CONHAQUE MI - "36"</t>
  </si>
  <si>
    <t>SAPATO MULE MISCI COURO WHISKY / PLATAFORMA CONHAQUE MI - "37"</t>
  </si>
  <si>
    <t>SAPATO MULE MISCI COURO WHISKY / PLATAFORMA CONHAQUE MI - "38"</t>
  </si>
  <si>
    <t>SAPATO MULE MISCI COURO WHISKY / PLATAFORMA CONHAQUE MI - "39"</t>
  </si>
  <si>
    <t>SAPATO MULE MISCI COURO WHISKY / PLATAFORMA CONHAQUE MI - "40"</t>
  </si>
  <si>
    <t>SAPATO MULE MISCI COURO WHISKY / PLATAFORMA CONHAQUE MI - "41"</t>
  </si>
  <si>
    <t>SAPATO MULE MISCI COURO WHISKY / PLATAFORMA CONHAQUE MI - "42"</t>
  </si>
  <si>
    <t>SAPATO MULE MISCI COURO WHISKY / PLATAFORMA CONHAQUE MI - "43"</t>
  </si>
  <si>
    <t>SAPATO MULE MISCI COURO WHISKY / PLATAFORMA CONHAQUE MI - "44"</t>
  </si>
  <si>
    <t>SHORTINHOS DOSE - CERAMICA - "36"</t>
  </si>
  <si>
    <t>SHORTINHOS DOSE - CERAMICA - "38"</t>
  </si>
  <si>
    <t>SHORTINHOS DOSE - CERAMICA - "40"</t>
  </si>
  <si>
    <t>SHORTINHOS DOSE - CERAMICA - "42"</t>
  </si>
  <si>
    <t>SHORTINHOS DOSE - CERAMICA - "44"</t>
  </si>
  <si>
    <t>SHORTINHOS DOSE - CERAMICA - "46"</t>
  </si>
  <si>
    <t>SHORTS EXISTO PORQUE INSISTO - "36"</t>
  </si>
  <si>
    <t>SHORTS EXISTO PORQUE INSISTO - "38"</t>
  </si>
  <si>
    <t>SHORTS EXISTO PORQUE INSISTO - "40"</t>
  </si>
  <si>
    <t>SHORTS EXISTO PORQUE INSISTO - "42"</t>
  </si>
  <si>
    <t>SHORTS EXISTO PORQUE INSISTO - "44"</t>
  </si>
  <si>
    <t>SHORTS EXISTO PORQUE INSISTO - "46"</t>
  </si>
  <si>
    <t>SHORTS FILTRO DE BARRO - "36"</t>
  </si>
  <si>
    <t>SHORTS FILTRO DE BARRO - "38"</t>
  </si>
  <si>
    <t>SHORTS FILTRO DE BARRO - "40"</t>
  </si>
  <si>
    <t>SHORTS FILTRO DE BARRO - "42"</t>
  </si>
  <si>
    <t>SHORTS FILTRO DE BARRO - "44"</t>
  </si>
  <si>
    <t>SHORTS FILTRO DE BARRO - "46"</t>
  </si>
  <si>
    <t>SUNGA MISCI + ESC - TELHA - "G"</t>
  </si>
  <si>
    <t>SUNGA MISCI + ESC - TELHA - "GG"</t>
  </si>
  <si>
    <t>SUNGA MISCI + ESC - TELHA - "M"</t>
  </si>
  <si>
    <t>SUNGA MISCI + ESC - TELHA - "P"</t>
  </si>
  <si>
    <t>TECIDO VICUNHA - AMSTERDAM TECIDO CETIM 56% ALGODAO 43% MODAL 1% ELASTANO LAR G 1,48 METROS OFF</t>
  </si>
  <si>
    <t>TECIDO VICUNHA - BRADLEY - INDIGO ALGODAO 100% - JEANS LARG 1,66 METROS</t>
  </si>
  <si>
    <t>TAPETE PUBI 100% ECONYL</t>
  </si>
  <si>
    <t>TECIDO INNOVATIV - TECIDO PARA SACOLAS</t>
  </si>
  <si>
    <t>TOP MAMI GOIABA  - "G"</t>
  </si>
  <si>
    <t>TOP MAMI GOIABA  - "M"</t>
  </si>
  <si>
    <t>TOP MAMI GOIABA  - "P"</t>
  </si>
  <si>
    <t>VESTIDO ALFAIATARIA PHILO MOSTARDA - "G"</t>
  </si>
  <si>
    <t>VESTIDO ALFAIATARIA PHILO MOSTARDA - "M"</t>
  </si>
  <si>
    <t>VESTIDO ALFAIATARIA PHILO MOSTARDA - "P"</t>
  </si>
  <si>
    <t>VESTIDO D-20 - CUPRO - FERRUGEM - "G"</t>
  </si>
  <si>
    <t>VESTIDO D-20 - CUPRO - FERRUGEM - "GG"</t>
  </si>
  <si>
    <t>VESTIDO D-20 - CUPRO - FERRUGEM - "M"</t>
  </si>
  <si>
    <t>VESTIDO D-20 - CUPRO - FERRUGEM - "P"</t>
  </si>
  <si>
    <t>VESTIDO D-20 - CUPRO - FERRUGEM - "PP"</t>
  </si>
  <si>
    <t>VESTIDO CAMELO RETO - TU</t>
  </si>
  <si>
    <t>VESTIDO TRICOT SAUVA CRU - "G"</t>
  </si>
  <si>
    <t>VESTIDO TRICOT SAUVA CRU - "M"</t>
  </si>
  <si>
    <t>VESTIDO TRICOT SAUVA CRU - "P"</t>
  </si>
  <si>
    <t>TECIDO INNOVATIV - 100% ALGODAO - FREVO 550</t>
  </si>
  <si>
    <t>TECIDO INNOVATIV - 100% ALGODAO - FREVO 162</t>
  </si>
  <si>
    <t>TECIDO PARAMOUNT - TWILL FLANEL - A1293 - C7365 - 100% LA - VINHO</t>
  </si>
  <si>
    <t>TECIDO INNOVATIV - 100% ALGODAO - OTTO 152</t>
  </si>
  <si>
    <t>TECIDO INNOVATIV - 100% ALGODAO - EXISTO PORQUE INSISTO  243</t>
  </si>
  <si>
    <t>TECIDO INNOVATIV - 100% ALGODAO - NOS CAPOTA MAS NAO BRECA - COR 275</t>
  </si>
  <si>
    <t>TECIDO INNOVATIV - 100% ALGODAO - ZIGZAG  IRREGULAR COLORIDO - COR 447</t>
  </si>
  <si>
    <t>TECIDO HJ - ANIMALE 100% ALOGDAO - REND 3,6 - PETER MARROM</t>
  </si>
  <si>
    <t>TECIDO FIOBOM - LISO CHUMBO- TEC. 4528 LISO 80/2 - 100% ALGODAO - LARG 150</t>
  </si>
  <si>
    <t>TECIDO FIOBOM - LISO CREME - 5634 LISO 120/2 - LARG 150 - 100% ALGODAO</t>
  </si>
  <si>
    <t>TECIDO HJ - ANIMALE 100% ALGODAO -REND 3,6 -  CALDAS BRANCO</t>
  </si>
  <si>
    <t>CAMISETA ALGODAO BRANCA CANA - "G"</t>
  </si>
  <si>
    <t>CAMISETA ALGODAO BRANCA CANA - "GG"</t>
  </si>
  <si>
    <t>CAMISETA ALGODAO BRANCA CANA - "M"</t>
  </si>
  <si>
    <t>CAMISETA ALGODAO BRANCA CANA - "P"</t>
  </si>
  <si>
    <t>CAMISETA ALGODAO BRANCA CANA - "PP"</t>
  </si>
  <si>
    <t>CAMISETA ALGODAO BRANCA CANA - "XG"</t>
  </si>
  <si>
    <t>CAMISETA ALGODAO MESCLA CANA - "G"</t>
  </si>
  <si>
    <t>CAMISETA ALGODAO MESCLA CANA - "GG"</t>
  </si>
  <si>
    <t>CAMISETA ALGODAO MESCLA CANA - "M"</t>
  </si>
  <si>
    <t>CAMISETA ALGODAO MESCLA CANA - "P"</t>
  </si>
  <si>
    <t>CAMISETA ALGODAO MESCLA CANA - "PP"</t>
  </si>
  <si>
    <t>CAMISETA ALGODAO MESCLA CANA - "XG"</t>
  </si>
  <si>
    <t>CAMISETA ALGODAO PRETA CANA - "G"</t>
  </si>
  <si>
    <t>CAMISETA ALGODAO PRETA CANA - "GG</t>
  </si>
  <si>
    <t>CAMISETA ALGODAO PRETA CANA - "M"</t>
  </si>
  <si>
    <t>CAMISETA ALGODAO PRETA CANA - "P"</t>
  </si>
  <si>
    <t>CAMISETA ALGODAO PRETA CANA - "PP"</t>
  </si>
  <si>
    <t>CAMISETA ALGODAO PRETA CANA - "XG"</t>
  </si>
  <si>
    <t>CAMISETA ALGODAO TAMARA CANA - "G"</t>
  </si>
  <si>
    <t>CAMISETA ALGODAO TAMARA CANA - "GG"</t>
  </si>
  <si>
    <t>CAMISETA ALGODAO TAMARA CANA - "M"</t>
  </si>
  <si>
    <t>CAMISETA ALGODAO TAMARA CANA - "P"</t>
  </si>
  <si>
    <t>CAMISETA BASICA ALGODAO BRANCA LISA - "G"</t>
  </si>
  <si>
    <t>CAMISETA BASICA ALGODAO BRANCA LISA - "GG"</t>
  </si>
  <si>
    <t>CAMISETA BASICA ALGODAO BRANCA LISA - "P"</t>
  </si>
  <si>
    <t>CAMISETA BASICA ALGODAO PRETA LISA - "G"</t>
  </si>
  <si>
    <t>CAMISETA BASICA ALGODAO PRETA LISA - "GG"</t>
  </si>
  <si>
    <t>CAMISETA BASICA ALGODAO PRETA LISA - "M"</t>
  </si>
  <si>
    <t>CAMISETA BASICA ALGODAO PRETA LISA - "P"</t>
  </si>
  <si>
    <t>CAMISETA BASICA ALGODAO PRETA LISA - "PP"</t>
  </si>
  <si>
    <t>CAMISETA BASICA ALGODAO PRETA LISA - "XG"</t>
  </si>
  <si>
    <t>CAMISETA ALGODAO BRANCA LOGO MISCI - "G"</t>
  </si>
  <si>
    <t>CAMISETA ALGODAO BRANCA LOGO MISCI - "GG"</t>
  </si>
  <si>
    <t>CAMISETA ALGODAO BRANCA LOGO MISCI - "M"</t>
  </si>
  <si>
    <t>CAMISETA ALGODAO BRANCA LOGO MISCI - "P"</t>
  </si>
  <si>
    <t>CAMISETA ALGODAO PRETA LOGO MISCI - "G"</t>
  </si>
  <si>
    <t>CAMISETA ALGODAO PRETA LOGO MISCI - "GG"</t>
  </si>
  <si>
    <t>CAMISETA ALGODAO PRETA LOGO MISCI - "M"</t>
  </si>
  <si>
    <t>CAMISETA ALGODAO PRETA LOGO MISCI - "P"</t>
  </si>
  <si>
    <t>CAMISETA ALGODAO PRETA LOGO MISCI - "PP"</t>
  </si>
  <si>
    <t>CAMISETA ALGODAO PRETA LOGO MISCI - "XG"</t>
  </si>
  <si>
    <t>CAMISA MANGA LONGA COM BOLSO ALGODAO PESPONTO BRANCA ROBERTAO - "G"</t>
  </si>
  <si>
    <t>CAMISA MANGA LONGA COM BOLSO ALGODAO PESPONTO BRANCA ROBERTAO - "GG"</t>
  </si>
  <si>
    <t>CAMISA MANGA LONGA COM BOLSO ALGODAO PESPONTO BRANCA ROBERTAO - "M"</t>
  </si>
  <si>
    <t>CAMISA MANGA LONGA COM BOLSO ALGODAO PESPONTO BRANCA ROBERTAO - "P"</t>
  </si>
  <si>
    <t>BOTAO UREIA</t>
  </si>
  <si>
    <t>BOTAO PAPEL</t>
  </si>
  <si>
    <t>TECIDO CATAGUASES - FORRO CAPITU CALANDRADO - CREME - 100% ALGODAO</t>
  </si>
  <si>
    <t>TECIDO CATAGUASES - OXFORD CALANDRADO 100% ALGODAO  - FIO TINTO MARROM</t>
  </si>
  <si>
    <t>TECIDO CATAGUASES - FORRO CAPITU CALANDRADO - 100% ALGODAO</t>
  </si>
  <si>
    <t>VESTIDO ALGODA PALHA CHE - "G"</t>
  </si>
  <si>
    <t>VESTIDO ALGODA PALHA CHE - "M"</t>
  </si>
  <si>
    <t>VESTIDO ALGODA PALHA CHE - "P"</t>
  </si>
  <si>
    <t>VESTIDO REGATA RETO ALGODAO OCRE PINGA - "G/42"</t>
  </si>
  <si>
    <t>VESTIDO REGATA RETO ALGODAO OCRE PINGA - "GG/44"</t>
  </si>
  <si>
    <t>VESTIDO REGATA RETO ALGODAO OCRE PINGA - "M/40"</t>
  </si>
  <si>
    <t>VESTIDO REGATA RETO ALGODAO OCRE PINGA - "P/38"</t>
  </si>
  <si>
    <t>VESTIDO REGATA RETO ALGODAO OCRE PINGA - "PP/36"</t>
  </si>
  <si>
    <t>TECIDO PARAMOUNT -  PRUNEL LEVE SUPER 120'S - 100% LA - CERAMICA - 733</t>
  </si>
  <si>
    <t>TECIDO WERNER - 80% ACETATO 20% VISCOSE - CREPE LEGERE - CAFE (745)</t>
  </si>
  <si>
    <t>TECIDO PARAMOUNT - TWILL FLANEL - A1292 - C742 - 100% LA - CAFE</t>
  </si>
  <si>
    <t>FERRAGENS - ENFEITE INJETADO #NIQUEL B C/VZ - EI6020-71.2 - PE DA BOLSA</t>
  </si>
  <si>
    <t>SUETER TRICOT IRRE CERAMICA - "G"</t>
  </si>
  <si>
    <t>SUETER TRICOT IRRE CERAMICA - "M"</t>
  </si>
  <si>
    <t>SUETER TRICOT IRRE CERAMICA - "P"</t>
  </si>
  <si>
    <t>SUETER TRICOT IRRE CRU - "G"</t>
  </si>
  <si>
    <t>SUETER TRICOT IRRE CRU - "M"</t>
  </si>
  <si>
    <t>SUETER TRICOT IRRE CRU - "P"</t>
  </si>
  <si>
    <t>ETIQUETA - cOs externo em PU pinhAo com queima 40 x 65mm -</t>
  </si>
  <si>
    <t>VESTIDO  SERU  - TU</t>
  </si>
  <si>
    <t>FERRAGENS - REBITE / 0,5 CABECA BOCA LAT NIQUEL C C/VZ - R05CBAL2 - CABECA DE ENCAIXE DO PE DA BOLSA</t>
  </si>
  <si>
    <t>FERRAGENS - ARGOLA DE ACO ACABADO! NIQUEL C - AR1640-1N - 1 /2 ARGOLA GRANDE</t>
  </si>
  <si>
    <t>CACHACA PRATA MISCI + TIE - 500 ML - 42% - GRANDE</t>
  </si>
  <si>
    <t>CACHACA PRATA MISCI + TIE - 140 ML - 42% - PEQUENA</t>
  </si>
  <si>
    <t>CALCA ALFAIATARIA PRETA ALFA - "G"</t>
  </si>
  <si>
    <t>CALCA ALFAIATARIA PRETA ALFA - GG</t>
  </si>
  <si>
    <t>CALCA ALFAIATARIA PRETA ALFA - M</t>
  </si>
  <si>
    <t>CALCA ALFAIATARIA PRETA ALFA - P</t>
  </si>
  <si>
    <t>CALCA JEANS INDIGO ARI - "36/PP"</t>
  </si>
  <si>
    <t>CALCA JEANS INDIGO ARI - "38/P"</t>
  </si>
  <si>
    <t>CALCA JEANS INDIGO ARI - "40/M"</t>
  </si>
  <si>
    <t>CALCA JEANS INDIGO ARI - "42/G"</t>
  </si>
  <si>
    <t>CALCA JEANS INDIGO ARI - "44/GG"</t>
  </si>
  <si>
    <t>CALCA JEANS INDIGO ARI - "46/GGG"</t>
  </si>
  <si>
    <t>CALCA SARJA OCRE ARI - "36/PP"</t>
  </si>
  <si>
    <t>CALCA SARJA OCRE ARI - "38/P"</t>
  </si>
  <si>
    <t>CALCA SARJA OCRE ARI - "40/M"</t>
  </si>
  <si>
    <t>CALCA SARJA OCRE ARI - "42/G"</t>
  </si>
  <si>
    <t>CALCA SARJA OCRE ARI - "44/GG"</t>
  </si>
  <si>
    <t>CALCA SARJA OCRE ARI - "46/GGG"</t>
  </si>
  <si>
    <t>CALCA CUPUACU ELLE  - "G"</t>
  </si>
  <si>
    <t>CALCA CUPUACU ELLE  - "M"</t>
  </si>
  <si>
    <t>CALCA CUPUACU ELLE  - "P"</t>
  </si>
  <si>
    <t>CALCA ALGODAO VELUDO  MASCAVO INGA - "G/42"</t>
  </si>
  <si>
    <t>CALCA ALGODAO VELUDO MASCAVO INGA - "GG/44"</t>
  </si>
  <si>
    <t>CALCA ALGODAO VELUDO MASCAVO INGA - "M/40"</t>
  </si>
  <si>
    <t>CALCA ALGODAO VELUDO MASCAVO INGA - "P/38"</t>
  </si>
  <si>
    <t>CALCA ALGODAO LISTRA CRU LAI - "G/42"</t>
  </si>
  <si>
    <t>CALCA ALGODAO LISTRA CRU LAI - "M/40"</t>
  </si>
  <si>
    <t>CALCA ALGODAO LISTRA CRU LAI - "P/38"</t>
  </si>
  <si>
    <t>CALCA MAMI FLAIRE GOIABA - "G"</t>
  </si>
  <si>
    <t>CALCA MAMI FLAIRE GOIABA - "M"</t>
  </si>
  <si>
    <t>CALCA MAMI FLAIRE GOIABA - "P"</t>
  </si>
  <si>
    <t>CALCA LIESTRA PERU - "M/40"</t>
  </si>
  <si>
    <t>CAMISA MANGA CURTA LINHO - CABACA - TABACO - "G"</t>
  </si>
  <si>
    <t>CAMISA MANGA CURTA LINHO - CABACA - TABACO - "GG"</t>
  </si>
  <si>
    <t>CAMISA MANGA CURTA LINHO - CABACA - TABACO - "M"</t>
  </si>
  <si>
    <t>CAMISA MANGA CURTA LINHO - CABACA - TABACO - "P"</t>
  </si>
  <si>
    <t>CAMISA MANGA CURTA LINHO - CABACA - TABACO - "PP"</t>
  </si>
  <si>
    <t>COLHER CACHACA PRATA MISCI + TIE</t>
  </si>
  <si>
    <t>TAPECARIA LUIZA CALDARI + MISCI</t>
  </si>
  <si>
    <t>MOLETOM CUPUACU ELLE - "G"</t>
  </si>
  <si>
    <t>MOLETOM CUPUACU ELLE - "M"</t>
  </si>
  <si>
    <t>MOLETOM CUPUACU ELLE - "P"</t>
  </si>
  <si>
    <t>ALCA DA BOLSA NINE</t>
  </si>
  <si>
    <t>FERRAGENS - ARGOLA DE ACO ACABADO! NIQUEL C - AI1335-1 - 1/2 ARGOLA BOLSA PEQUENA</t>
  </si>
  <si>
    <t>Fita gomada papel Kraft 80g/m2  - 1 cor Sem reforCo  - 60mm x 180 metros peso rolo: 1,242 kg</t>
  </si>
  <si>
    <t>RASTEIRA COURO WHISKY CHINELAO - "PRODUCAO"</t>
  </si>
  <si>
    <t>SAPATO MULE MISCI COURO WHISKY / PLATAFORMA CONHAQUE MI - "PRODUCAO"</t>
  </si>
  <si>
    <t>TECIDO DESIREE - LINHO BLUE FA -  COR PALHA ( OFF</t>
  </si>
  <si>
    <t>TECIDO WERNER - SEDA PURA 100% - SUDAO CARAMELO</t>
  </si>
  <si>
    <t>TECIDO WERNER - SEDA PURA 100% - GRUTA AZUL</t>
  </si>
  <si>
    <t>TECIDO WERNER - SEDA PURA 100% ROSA</t>
  </si>
  <si>
    <t>TECIDO WERNER - SEDA PURA 100%  - SATIN SILK PREMIUM ROSA</t>
  </si>
  <si>
    <t>TECIDO WERNER - SEDA PURA 100% - GIARDINO  - SATIN  SILK PREMIUM VERDE</t>
  </si>
  <si>
    <t>TECIDO WERNER - SEDA PURA 100% - CREPE DE CHINE LEVE BEGE</t>
  </si>
  <si>
    <t>TECIDO WERNER - SEDA PURA 100% -  SATIN SILK PREMIUM MARROM</t>
  </si>
  <si>
    <t>TECIDO WERNER - SEDA PURA 100% - CREPE DE CHINE LEVE AZUL</t>
  </si>
  <si>
    <t>TECIDO DESIREE - LINHO BLUE FA - COR BEGE</t>
  </si>
  <si>
    <t>TECIDO DESIREE - LINHO BLUE FA - COR NUDE ( ROSA</t>
  </si>
  <si>
    <t>TECIDO STROBEL - 100% ACETATO LISTRADO</t>
  </si>
  <si>
    <t>TECIDO WERNER - 80% ACETATO 20% VISCOSE - CREPE LEGERE AZUL</t>
  </si>
  <si>
    <t>TECIDO WERNER - 80% ACETATO 20% VISCOSE - CREPE LEGERE VERDE</t>
  </si>
  <si>
    <t>TECIDO WERNER - 80% ACETATO 20% VISCOSE - CREPE LEGERE VERMELHO</t>
  </si>
  <si>
    <t>TECIDO WERNER - 80% ACETATO 20% VISCOSE - CREPE LEGERE MARROM</t>
  </si>
  <si>
    <t>TECIDO WERNER - CREPE FLORA-  68% ACETATO 20% MODAL 12% LIOCEL VERDE</t>
  </si>
  <si>
    <t>TECIDO WERNER - CREPE FLORA-  68% ACETATO 20% MODAL 12% LIOCEL MARROM</t>
  </si>
  <si>
    <t>TECIDO WERNER - ESSENCE -  63%ACETATO 34%POLIAMIDA 3%ELASTANO VERDE</t>
  </si>
  <si>
    <t>TECIDO WERNER - ESSENCE-  63% ACETATO 34% POLIAMIDA 34% ELASTANO VERMELHO</t>
  </si>
  <si>
    <t>TECIDO WERNER - ESSENCE-  63% ACETATO 34% POLIAMIDA 34% ELASTANO AZUL</t>
  </si>
  <si>
    <t>TECIDO WERNER - ESSENCE -  63%ACETATO 34%POLIAMIDA 3%ELASTANO MARROM</t>
  </si>
  <si>
    <t>TECIDO WERNER - ESSENCE -  63%ACETATO 34%POLIAMIDA 3%ELASTANO BEGE</t>
  </si>
  <si>
    <t>TECIDO WERNER - ESSENCE-  63% ACETATO 34% POLIAMIDA 34% ELASTANO LARANJA</t>
  </si>
  <si>
    <t>TECIDO WERNER - CREPE PATOU-  71%ACETATO 29% VISCOSE AZUL</t>
  </si>
  <si>
    <t>TECIDO WERNER - CREPE PATOU-  71%ACETATO 29% VISCOSE MARROM</t>
  </si>
  <si>
    <t>TECIDO WERNER - CREPE PATOU-  71%ACETATO 29% VISCOSE BEGE</t>
  </si>
  <si>
    <t>TECIDO INNOVATIV - 100% ALGODAO - AGRESTE BEGE</t>
  </si>
  <si>
    <t>TECIDO INNOVATIV - 100% ALGODAO LISTRADO</t>
  </si>
  <si>
    <t>TECIDO INNOVATIV - 100% ALGODAO -  RELEVO (COSTURA) BEGE</t>
  </si>
  <si>
    <t>TECIDO INNOVATIV - 100% ALGODAO - MOQUECA AZUL</t>
  </si>
  <si>
    <t>TECIDO INNOVATIV - 100% ALGODAO - MOQUECA LARANJA</t>
  </si>
  <si>
    <t>TECIDO GVALLONE - MAXICOTTON -  67% VISCOSE 33% ALGODAO VERDE</t>
  </si>
  <si>
    <t>TECIDO PARAMOUNT - TWILL FLANEL - 1293 MARROM</t>
  </si>
  <si>
    <t>TECIDO INNOVATIV - 100% ALGODAO - MATELASSE LOGO MISCI MARROM</t>
  </si>
  <si>
    <t>TECIDO INNOVATIV - 100% ALGODAO - FAVA MARROM</t>
  </si>
  <si>
    <t>TECIDO WERNER - 100% LINHO OFF</t>
  </si>
  <si>
    <t>TECIDO WERNER - 100% LINHO AZUL</t>
  </si>
  <si>
    <t>TECIDO WERNER - 100% LINHO VERDE</t>
  </si>
  <si>
    <t>TECIDO INNOVATIV - GURU - 100% ALGODAO 00129 VERDE</t>
  </si>
  <si>
    <t>TECIDO INNOVATIV - 100% ALGODAO - SHIVA (IGUAL AMBROSIA) BEGE</t>
  </si>
  <si>
    <t>TECIDO INNOVATIV - 100% ALGODAO - AMBROSIA (IGUAL AO SHIVA) BEGE</t>
  </si>
  <si>
    <t>TECIDO INNOVATIV - 100% ALGODAO - MATELASSE LOGO MISCI OFF</t>
  </si>
  <si>
    <t>TECIDO INNOVATIV - 100% ALGODAO - MATELASSE FUXICO OFF</t>
  </si>
  <si>
    <t>TECIDO INNOVATIV - 100% ALGODAO - FRAJAS CINZA</t>
  </si>
  <si>
    <t>TECIDO INNOVATIV - 100% ALGODAO -  QUADRICULADO/DESFIADO VERMELHO</t>
  </si>
  <si>
    <t>TECIDO INNOVATIV - 100% ALGODAO -  QUADRICULADO/DESFIADO AZUL</t>
  </si>
  <si>
    <t>TECIDO GVALLONE - CHRISTIE AZUL</t>
  </si>
  <si>
    <t>TECIDO WERNER - ALGODAO 52% VISCOSE 45% ELASTANO 3% - COTTON  STRETCH NATE VERMELHO</t>
  </si>
  <si>
    <t>TECIDO WERNER - ALGODAO 52% VISCOSE 45% ELASTANO 3% - COTTON  STRETCH NATE AZUL</t>
  </si>
  <si>
    <t>TECIDO WERNER - ALGODAO 52% VISCOSE 45% ELASTANO 3% - COTTON  STRETCH NATE VERDE</t>
  </si>
  <si>
    <t>TECIDO WERNER - 100% MODAL - BELLA MODAL AZUL</t>
  </si>
  <si>
    <t>TECIDO WERNER - 100% MODAL - BELLA MODAL BRANCO</t>
  </si>
  <si>
    <t>TECIDO WERNER - CUPRO 57% MODAL 43% - AVA VERDE</t>
  </si>
  <si>
    <t>TECIDO STROBEL - SARJA S/D 131 - 100% ACETATO VERMELHO</t>
  </si>
  <si>
    <t>TECIDO HJ - ANIMALE 100% ALGODAO -REND 3,6 - DEMI ROSA</t>
  </si>
  <si>
    <t>TECIDO FIOBOM - MINI-QUADRICULADO BEGE</t>
  </si>
  <si>
    <t>TECIDO GVALLONE - NASSAU 10995 VERDE</t>
  </si>
  <si>
    <t>TECIDO BUDI - RIB 2X1 C/ELAST-98%ALGODAO2%ELASTANO-GD COR OFF</t>
  </si>
  <si>
    <t>TECIDO BUDI - CANELADO RIB 2X1 C/ELAST COR BRANCO</t>
  </si>
  <si>
    <t>TECIDO BUDI - CANELADO RIB 2X1 C/ELAST COR OFF WHITE</t>
  </si>
  <si>
    <t>TECIDO JB - ANTUERPIA (V) BRANCO</t>
  </si>
  <si>
    <t>TECIDO GVALLONE - MARION 10838 100% ALGODAO AZUL</t>
  </si>
  <si>
    <t>TECIDO HJ - ANIMALE 100% ALGODAO -REND 3,6 - PORSHE AZUL</t>
  </si>
  <si>
    <t>TECIDO GVALLONE - KUMARI W299 VERDE</t>
  </si>
  <si>
    <t>TECIDO PARAMOUNT - SUPER TROPICAL- 3453 MARROM</t>
  </si>
  <si>
    <t>TECIDO DI GRECCO - SILK LIGHT ESTAMPADO ROSA</t>
  </si>
  <si>
    <t>TECIDO DI GRECCO - ESTAMPA ROSA</t>
  </si>
  <si>
    <t>TECIDO PARAMOUNT - TROPICAL LEVE - 4009 MARROM</t>
  </si>
  <si>
    <t>TECIDO PARAMOUNT - GABARDINE SUPER 120 S - 4157 MARROM</t>
  </si>
  <si>
    <t>TECIDO PARAMOUNT - GABARDINE SUPER 120 S - 4157 AZUL</t>
  </si>
  <si>
    <t>TECIDO PARAMOUNT - PRUNEL FLANNEL S 120 - A4167 - C707- 100% LA MARROM</t>
  </si>
  <si>
    <t>TECIDO GVALLONE - KUMARI AZUL</t>
  </si>
  <si>
    <t>TECIDO FIOBOM - LISO BRANCO</t>
  </si>
  <si>
    <t>TECIDO FIOBOM - LISO VERMELHO</t>
  </si>
  <si>
    <t>TECIDO FIOBOM - LISO AZUL</t>
  </si>
  <si>
    <t>TECIDO FIOBOM LISTRADO</t>
  </si>
  <si>
    <t>TECIDO FIOBOM - LISO VERDE</t>
  </si>
  <si>
    <t>TECIDO GVALLONE - MARION 8134 100% ALGODAO VERDE</t>
  </si>
  <si>
    <t>TECIDO JB - C.ST.BOTONE (FL)  PT (PR. P/TINGIR LISO) LISTRADO</t>
  </si>
  <si>
    <t>TECIDO JB - C.S.BLACK (MR/TB/PE)  PT (PR. P/TINGIR LISO) PRETO</t>
  </si>
  <si>
    <t>TECIDO JB - C.S.LINEN (V/FM)  PT (PR. P/TINGIR LISO) - CRU COM LISTRAS ROSA</t>
  </si>
  <si>
    <t>TECIDO GVALLONE - MAXICOTTON -  67% VISCOSE 33% ALGODAO OFF WHITE</t>
  </si>
  <si>
    <t>TECIDO GVALLONE - COCONUT LISTRA MISCI HORT/BORDO/ PRETO</t>
  </si>
  <si>
    <t>TECIDO GVALLONE - KUMARI AMARELO</t>
  </si>
  <si>
    <t>TECIDO GVALLONE - COCONUT MESCLA OFF</t>
  </si>
  <si>
    <t>TECIDO GVALLONE - MAXINE ALFAIATARIA - 100% VISVOSE MARROM</t>
  </si>
  <si>
    <t>TECIDO GVALLONE - KUMARI NATURAL</t>
  </si>
  <si>
    <t>TECIDO GVALLONE - ALMA 100% ALGODAO OFF</t>
  </si>
  <si>
    <t>TECIDO GVALLONE DIJON</t>
  </si>
  <si>
    <t>TECIDO GVALLONE - CHRISTIE 10881 VERDE</t>
  </si>
  <si>
    <t>TECIDO GVALLONE - NUSA VERMELHO</t>
  </si>
  <si>
    <t>TECIDO JB - BOTONE BLACK (ML)  PT (PR. P/TINGIR LISO) PRETO</t>
  </si>
  <si>
    <t>TECIDO GVALLONE - MAXINE ALFAIATARIA - 100% VISCOSE OFF</t>
  </si>
  <si>
    <t>TECIDO PARAMOUNT - PRUNEL SUPER LEVE 120 S  - 100% LA CINZA</t>
  </si>
  <si>
    <t>TECIDO PARAMOUNT - PRUNEL S 100 - 100% LA MARROM</t>
  </si>
  <si>
    <t>TECIDO JB - P.F.MESCLA (V/FM)  PT (PR. P/TINGIR LISO) LISTRADO</t>
  </si>
  <si>
    <t>TECIDO PARAMOUNT -  FLANEL LEVE -  A7112 - C502 - 100% LA AZUL</t>
  </si>
  <si>
    <t>TECIDO PARAMOUNT -  PRUNEL LEVE SUPER 120'S - 100% LA VERMELHO</t>
  </si>
  <si>
    <t>TECIDO PARAMOUNT -  PRUNEL LEVE SUPER 120'S - 100% LA AZUL</t>
  </si>
  <si>
    <t>TECIDO EVOLVE - COZY HERB VERDE</t>
  </si>
  <si>
    <t>TECIDO PARAMOUNT - GABARDINE S'120 OFF</t>
  </si>
  <si>
    <t>TECIDO JB - N.S.BOTONE  PT (PR. P/TINGIR LISO) OFF</t>
  </si>
  <si>
    <t>TECIDO JB - NATURE SOFT LISTRADO</t>
  </si>
  <si>
    <t>TECIDO JB - N.S.BOTONE (TB)  PT (PR. P/TINGIR LISO) - NUDE A VERMELHA</t>
  </si>
  <si>
    <t>TECIDO JB - N.S.BOTONE (J)  PT (PR. P/TINGIR LISO) VERDE</t>
  </si>
  <si>
    <t>TECIDO JB -  NATURE SOFT  PT (PR. P/TINGIR LISO) OFF</t>
  </si>
  <si>
    <t>TECIDO PARAMOUNT - PRUNEL BI-STRETCH - 8412 -ESCURO COM RISCA DE GIZ</t>
  </si>
  <si>
    <t>TECIDO PARAMOUNT - RUNEL NATURAL</t>
  </si>
  <si>
    <t>TECIDO PARAMOUNT - TWILL BISTRETCH - 8589 CINZA</t>
  </si>
  <si>
    <t>TECIDO PARAMOUNT - PALETO TWEED LA -  A8634 - C610 - 100% LA AZUL</t>
  </si>
  <si>
    <t>TECIDO PARAMOUNT - JACKET LEVE WOOL SILK -  A8765 - C801 - 52% SEDA + 48% LA BRANCO</t>
  </si>
  <si>
    <t>TECIDO GVALLONE - NUSA BEGE</t>
  </si>
  <si>
    <t>TECIDO PANAMERICANA - IPANEMA VERDE</t>
  </si>
  <si>
    <t>TECIDO PANAMARICANA - VENEZA LISTRADO</t>
  </si>
  <si>
    <t>TECIDO ISTAMBUL BRANCO</t>
  </si>
  <si>
    <t>BANQUETA MISCI01 PALHA NATURAL</t>
  </si>
  <si>
    <t>BANQUETA SEM APOIO MISCI01 PALHA NATURAL</t>
  </si>
  <si>
    <t>BERMUDAO D-20 BEGE</t>
  </si>
  <si>
    <t>BERMUDA ALFAIATARIA FEMININA OFF</t>
  </si>
  <si>
    <t>BERMUDA BROTO LINHO QUADRICULADA BEGE</t>
  </si>
  <si>
    <t>BERMUDA VICOSE OFF</t>
  </si>
  <si>
    <t>BERMUDA VICOSE VERDE</t>
  </si>
  <si>
    <t>BERMUDA PET VERDE</t>
  </si>
  <si>
    <t>BERMUDA MARROM</t>
  </si>
  <si>
    <t>BERMUDA VERDE</t>
  </si>
  <si>
    <t>BERMUDAO D-20 AZUL</t>
  </si>
  <si>
    <t>BERMUDA FLA LISTRADA - "</t>
  </si>
  <si>
    <t>BERMUDA FLA VERDE</t>
  </si>
  <si>
    <t>BERMUDA CINZA</t>
  </si>
  <si>
    <t>BERMUDA SARJA OFF</t>
  </si>
  <si>
    <t>BERMUDA ALGODAO LISTRA ROSA</t>
  </si>
  <si>
    <t>BERMUDAO MAMI AZUL</t>
  </si>
  <si>
    <t>BERMUDAO MAMI - GOIABA - "</t>
  </si>
  <si>
    <t>BERMUDAO MAMI VERDE</t>
  </si>
  <si>
    <t>BERMUDA MISCI + ESC AZUL</t>
  </si>
  <si>
    <t>BERMUDA MISCI + ESC VERDE</t>
  </si>
  <si>
    <t>BERMUDA AZUL</t>
  </si>
  <si>
    <t>BERMUDA ALFAIATARIA PEQUI AZUL</t>
  </si>
  <si>
    <t>BERMUDA ALFAIATARIA PEQUI VERDE</t>
  </si>
  <si>
    <t>BERMUDA LINHO MARROM</t>
  </si>
  <si>
    <t>BERMUDA PET OFF</t>
  </si>
  <si>
    <t>BERMUDA ALGODAO VERDE</t>
  </si>
  <si>
    <t>BERMUDA PET MARROM</t>
  </si>
  <si>
    <t>BLAZER ALFAIATARIA PHILO - 100% LA AZUL</t>
  </si>
  <si>
    <t>BLAZER ALFAIATARIA PHILO - 100% LA OFF</t>
  </si>
  <si>
    <t>BLUSA MANGA CURTA ELLE OFF</t>
  </si>
  <si>
    <t>BLUSA OFF</t>
  </si>
  <si>
    <t>BLUSAO RALADOR LISTRADO</t>
  </si>
  <si>
    <t>BLAZER ALFAIATARIA PANTU CHAMPAGNE -  "</t>
  </si>
  <si>
    <t>BLAZER ALFAIATARIA PANTU MARROM</t>
  </si>
  <si>
    <t>BLAZER ALFAIATARIA PEQUI AZUL</t>
  </si>
  <si>
    <t>BLAZER ALFAIATARIA PEQUI VERDE</t>
  </si>
  <si>
    <t>BLAZER ALFAIATARIA PHILO AZUL</t>
  </si>
  <si>
    <t>BLAZER ALFAIATARIA PHILO MARROM</t>
  </si>
  <si>
    <t>BLAZER ALFAIATARIA PHILO OFF</t>
  </si>
  <si>
    <t>BLAZER ALFAIATARIA PHILO - 100% LA VERMELHO</t>
  </si>
  <si>
    <t>BOLSA COURO BAMBOLE VERMELHA</t>
  </si>
  <si>
    <t>BOLSA COURO PEQUENA AZUL</t>
  </si>
  <si>
    <t>BOLSA COURO PEQUENA OFF</t>
  </si>
  <si>
    <t>BOLSA COURO PEQUENA JAMBO / VERMELHA</t>
  </si>
  <si>
    <t>CADEIRA UNI / MISCI01 COURO PRETO</t>
  </si>
  <si>
    <t>CADEIRA MISCI01 PALHA NATURAL</t>
  </si>
  <si>
    <t>CALCA ALFAIATARIA CLASSICA  FEMININA MARROM</t>
  </si>
  <si>
    <t>CALCA DE ALFAIATARIA CREPE OFF</t>
  </si>
  <si>
    <t>CALCA ALFAIATE MARROM</t>
  </si>
  <si>
    <t>CALCA ALFAIATARIA CLASSICA FEMININA BEGE</t>
  </si>
  <si>
    <t>CALCA ALFAIATARIA BEGE</t>
  </si>
  <si>
    <t>CALCA ALGODAO TREVO LISTRADA OFF</t>
  </si>
  <si>
    <t>CALCA SARJA AZUL</t>
  </si>
  <si>
    <t>CALCA JEANS AZUL</t>
  </si>
  <si>
    <t>CALCA JEANS INDIGO ARI - "</t>
  </si>
  <si>
    <t>CALCA SARJA OFF</t>
  </si>
  <si>
    <t>CALCA JEANS VERDE</t>
  </si>
  <si>
    <t>CALCA ALFAIATARIA BOIA CINZA</t>
  </si>
  <si>
    <t>CALCA VERDE</t>
  </si>
  <si>
    <t>CALCA AZUL</t>
  </si>
  <si>
    <t>CALCA MARROM</t>
  </si>
  <si>
    <t>CALCA OFF</t>
  </si>
  <si>
    <t>CALCA TWEED LISTRADA MARROM</t>
  </si>
  <si>
    <t>CALCA TWEED VERDE</t>
  </si>
  <si>
    <t>CALCA TWEED MESCLA MARINHO</t>
  </si>
  <si>
    <t>CALCA CINZA</t>
  </si>
  <si>
    <t>CALCA ALGODAO LISTRA ROSA</t>
  </si>
  <si>
    <t>CALCA VISCOSE MARROM</t>
  </si>
  <si>
    <t>CALCA VISCOSE VERDE</t>
  </si>
  <si>
    <t>CALCA MAMI FLAIRE GOIABA - "</t>
  </si>
  <si>
    <t>CALCA MAMI FLAIRE VERDE</t>
  </si>
  <si>
    <t>CALCA MOLETOM MINHOCAO AZUL</t>
  </si>
  <si>
    <t>CALCA MOLETOM MINHOCAO OFF</t>
  </si>
  <si>
    <t>CALCA MOLETOM MINHOCAO VERDE</t>
  </si>
  <si>
    <t>CALCA TERNO PHYLO AZUL</t>
  </si>
  <si>
    <t>CALCA TERNO PHYLO OFF</t>
  </si>
  <si>
    <t>CALCA RITA ALFAIATARIA FEMININA MARROM</t>
  </si>
  <si>
    <t>CALCA RITA ALFAIATARIA FEMININA OFF</t>
  </si>
  <si>
    <t>CALCA ALGODAO TREVO VERDE</t>
  </si>
  <si>
    <t>CAMISETA LISTRADA BEGE</t>
  </si>
  <si>
    <t>CAMISETA ALGODAO ROSA</t>
  </si>
  <si>
    <t>CAMISETA ALGODAO VERDE</t>
  </si>
  <si>
    <t>CAMISETA LISTRADA VERDE</t>
  </si>
  <si>
    <t>CAMISETA CARAMELO</t>
  </si>
  <si>
    <t>CAMISETA ALGODAO OFF</t>
  </si>
  <si>
    <t>CAMISETA BRANCA ESTAMPA LOGO MISCI DOURADO</t>
  </si>
  <si>
    <t>CAMISETA MOSSORO MARROM</t>
  </si>
  <si>
    <t>CAMISETA MOSSORO ROSA</t>
  </si>
  <si>
    <t>CAMISETA MOSSORO CORAL</t>
  </si>
  <si>
    <t>CAMISETA AZUL</t>
  </si>
  <si>
    <t>JAQUETA / CASACO ALFAIATARIA AZUL</t>
  </si>
  <si>
    <t>JAQUETA / CASACO ALFAIATARIA CINZA</t>
  </si>
  <si>
    <t>JAQUETA / CASACO ALFAIATARIA BOIA - "REF 06042" MARROM</t>
  </si>
  <si>
    <t>JAQUETA / CASACO ALFAIATARIA MARROM</t>
  </si>
  <si>
    <t>CHEMISE MODAL AZUL</t>
  </si>
  <si>
    <t>CHEMISE MODAL VERDE</t>
  </si>
  <si>
    <t>CHEMISE COM MANGA ALGODAO ROSA</t>
  </si>
  <si>
    <t>CHEMISE COM MANGA LINHO ROSA</t>
  </si>
  <si>
    <t>CHEMISE COM MANGA LINHO OFF</t>
  </si>
  <si>
    <t>CHEMISE SEM MANGA LINHO OFF</t>
  </si>
  <si>
    <t>CHEMISE COM MANGA ALGODAO AZUL</t>
  </si>
  <si>
    <t>CHINELO BITA DE COURO OFF</t>
  </si>
  <si>
    <t>CHINELO MISCIANE - MISCI + THERPOLL - FILTRO DE BARRO - TIRA SEM PO DE MADEIRA OFF</t>
  </si>
  <si>
    <t>CHINELO MISCIANE - MISCI + THERPOLL - ESTAMPA FILTRO AZUL</t>
  </si>
  <si>
    <t>CHINELO MISCIANE - MISCI + THERPOLL - FILTRO DE BARRO - TIRA COM PO DE MADEIRA MARROM</t>
  </si>
  <si>
    <t>CHINELO MISCIANE COM TIRA MARROM</t>
  </si>
  <si>
    <t>CHINELO MISCIANE COM TIRA VERDE</t>
  </si>
  <si>
    <t>CHINELO MISCIANE - MISCI + THERPOLL - ESTAMPA MISCI - TIRA COM PO DE MADEIRA MARROM</t>
  </si>
  <si>
    <t>CAMISA MANGA CURTA BRANCA PONTOS AZUIS AREIA</t>
  </si>
  <si>
    <t>CAMISA MANGA CURTA ALGODAO PIABA LISTRADA AZUL</t>
  </si>
  <si>
    <t>CAMISA MANGA CURTA ALGODAO PIABA LISTRADA VERMELHA</t>
  </si>
  <si>
    <t>CAMISA MANGA CURTA ALGA ORGANZA 100% SEDA ROSA</t>
  </si>
  <si>
    <t>CAMISA MANGA CURTA ALGA ORGANZA 100% SEDA VERDE</t>
  </si>
  <si>
    <t>CAMISA MANGA CURTA AMPLA AZUL</t>
  </si>
  <si>
    <t>CAMISA MANGA CURTA AMPLA BRANCO</t>
  </si>
  <si>
    <t>CAMISA MANGA CURTA BEGE</t>
  </si>
  <si>
    <t>CAMISA MANGA CURTA ALGODAO LISTRADO</t>
  </si>
  <si>
    <t>CAMISA MANGA CURTA BICOLOR AZUL</t>
  </si>
  <si>
    <t>CAMISA MANGA CURTA BICOLOR MARROM</t>
  </si>
  <si>
    <t>CAMISA MANGA CURTA LINHO CINZA</t>
  </si>
  <si>
    <t>CAMISA MANGA CURTA MARROM</t>
  </si>
  <si>
    <t>CAMISA MANGA CURTA VERDE</t>
  </si>
  <si>
    <t>CAMISA MANGA CURTA NATURAL</t>
  </si>
  <si>
    <t>CAMISA MANGA CURTA CINZA</t>
  </si>
  <si>
    <t>CAMISA MANGA CURTA XADREZ</t>
  </si>
  <si>
    <t>CAMISA MANGA CURTA MISCI ALGODAO AZUL</t>
  </si>
  <si>
    <t>CAMISA MANGA CURTA MISCI ALGODAO LISTRADA VERDE</t>
  </si>
  <si>
    <t>CAMISA MANGA CURTA MISCI ALGODAO VERMELHA</t>
  </si>
  <si>
    <t>CAMISA MANGA CURTA ORGANZA SEDA DANI ROSA</t>
  </si>
  <si>
    <t>CAMISA MANGA CURTA FEMININA - JAQUARD ALGODAO - NOIS CAPOTA MAS NAO BRECA - "</t>
  </si>
  <si>
    <t>CAMISA MANGA CURTA ALGODAO FILTRO DE BARRO FUNDO AZUL</t>
  </si>
  <si>
    <t>CAMISA MANGA CURTA PURO LINHO LADY CINZA</t>
  </si>
  <si>
    <t>CAMISA MANGA CURTA VISCOSE LISTRADA AZUL</t>
  </si>
  <si>
    <t>CAMISA MANGA CURTA MISCI LISTRADA MARROM</t>
  </si>
  <si>
    <t>CAMISA MANGA CURTA SEDA VERMELHO</t>
  </si>
  <si>
    <t>CAMISA MANGA CURTA ALGODAO AZUL</t>
  </si>
  <si>
    <t>CAMISA MANGA CURTA ALGODAO BEGE</t>
  </si>
  <si>
    <t>CAMISA MANGA CURTA ALGODAO MARROM</t>
  </si>
  <si>
    <t>CAMISA MANGA CURTA ALGODAO VERDE</t>
  </si>
  <si>
    <t>CAMISA MANGA CURTA LINHO - CABACA - BORDADA OFF</t>
  </si>
  <si>
    <t>CAMISA MANGA CURTA LINHO - CABACA OFF</t>
  </si>
  <si>
    <t>CAMISA MANGA CURTA LINHO - CABACA VERDE</t>
  </si>
  <si>
    <t>CAMISA MANGA CURTA LISA LINHO VERDE</t>
  </si>
  <si>
    <t>CAMISA MANGA CURTA ALGODAO LISTRADA CINZA</t>
  </si>
  <si>
    <t>CAMISA MANGA CURTA AZUL</t>
  </si>
  <si>
    <t>CAMISA MANGA CURTA MONOCOLOR VERDE</t>
  </si>
  <si>
    <t>CAMISA MANGA CURTA - MOQUECA AZUL</t>
  </si>
  <si>
    <t>CAMISA MANGA CURTA - MOQUECA LARANJA</t>
  </si>
  <si>
    <t>CAMISA MANGA CURTA LISTRADA VERDE</t>
  </si>
  <si>
    <t>CAMISA MANGA CURTA MISCI OFF</t>
  </si>
  <si>
    <t>CAMISA MANGA CURTA PET OFF</t>
  </si>
  <si>
    <t>CAMISA MANGA CURTA LINHO OFF</t>
  </si>
  <si>
    <t>CAMISA MANGA CURTA LISTRADA AZUL</t>
  </si>
  <si>
    <t>CAMISA MANGA CURTA VISCOSE BRANCA PONTOS VERMELHO</t>
  </si>
  <si>
    <t>CAMISA MANGA LONGA MISCI ALGODAO PIMA AZUL</t>
  </si>
  <si>
    <t>CAMISA MANGA CURTA OFF</t>
  </si>
  <si>
    <t>CAMISA MANGA LONGA BEGE</t>
  </si>
  <si>
    <t>CAMISA MANGA LONGA SEDA ROSA</t>
  </si>
  <si>
    <t>CAMISA MANGA LONGA SEDA VERDE</t>
  </si>
  <si>
    <t>CAMISA MANGA LONGA MISCI ALGODAO PIMA BRANCO</t>
  </si>
  <si>
    <t>CAMISA MANGA LONGA MISCI COM LAPELA VERDE</t>
  </si>
  <si>
    <t>CAMISA MANGA LONGA VISCOSE LISTRADA AZUL</t>
  </si>
  <si>
    <t>CAMISA MANGA LONGA LINHO - CABACA AZUL</t>
  </si>
  <si>
    <t>CAMISA MANGA LONGA LINHO - CABACA OFF</t>
  </si>
  <si>
    <t>CAMISA MANGA LONGA  LINHO OFF</t>
  </si>
  <si>
    <t>CAMISA MANGA LONGA BORDADA LINHO OFF</t>
  </si>
  <si>
    <t>CAMISA MANGA LONGA COM PREGAS AZUL</t>
  </si>
  <si>
    <t>CAMISA MANGA LONGA COM PREGAS VERDE</t>
  </si>
  <si>
    <t>CAMISA MANGA LONGA MISCI LISTRADA AZUL</t>
  </si>
  <si>
    <t>CAMISA MANGA LONGA MISCI AZUL</t>
  </si>
  <si>
    <t>CAMISA MANGA LONGA MISCI PESPONTO QUADRICULADA VERMELHO</t>
  </si>
  <si>
    <t>CAMISA MANGA LONGA LISTRADA ROSA</t>
  </si>
  <si>
    <t>CAMISA MANGA LONGA MISCI SEM LAPELA VERDE</t>
  </si>
  <si>
    <t>CAMISA MANGA LONGA ALGODAO CINZA</t>
  </si>
  <si>
    <t>CAMISA MANGA LONGA ALGODAO VERDE</t>
  </si>
  <si>
    <t>CAMISETA REGATA ALGODAO CINZA</t>
  </si>
  <si>
    <t>CAMISETA REGATA ALGODAO VERDE</t>
  </si>
  <si>
    <t>CAMISETA REGATA ALGODAO TELADO OFF</t>
  </si>
  <si>
    <t>COLETE D-20 AZUL</t>
  </si>
  <si>
    <t>COLETE D-20 BEGE</t>
  </si>
  <si>
    <t>DUST BAG MAINHAS OFF</t>
  </si>
  <si>
    <t>DUST BAG MAINHAS VERMELHA</t>
  </si>
  <si>
    <t>TAG - ETIQUETA DE ROUPA EM PAPEL CORTA E SILK BEGE</t>
  </si>
  <si>
    <t>TAG - ETIQUETA DE ROUPA EM PAPEL CORTA E SILK PRETO</t>
  </si>
  <si>
    <t>JAQUETA AZUL</t>
  </si>
  <si>
    <t>JAQUETA OFF</t>
  </si>
  <si>
    <t>JAQUETA VERDE</t>
  </si>
  <si>
    <t>JAQUETA ALFAIATARIA BEGE</t>
  </si>
  <si>
    <t>JAQUETA ALFAIATARIA VERDE</t>
  </si>
  <si>
    <t>MOCHILA COURO PRETO</t>
  </si>
  <si>
    <t>MEIAS VERMELHA</t>
  </si>
  <si>
    <t>MOLETOM OFF</t>
  </si>
  <si>
    <t>MOLETOM LOGO MISCI PRETO</t>
  </si>
  <si>
    <t>MOLETOM MINHOCAO AZUL</t>
  </si>
  <si>
    <t>MOLETOM MINHOCAO OFF</t>
  </si>
  <si>
    <t>MOLETOM MINHOCAO VERDE</t>
  </si>
  <si>
    <t>OCULOS BOLEIA X VENTURURA PRETO</t>
  </si>
  <si>
    <t>OCULOS BOLEIA X VENTURURA - TARTUGA MARROM</t>
  </si>
  <si>
    <t>POLO CANELADA VISCOSE AZUL</t>
  </si>
  <si>
    <t>POLO CANELADA VISCOSE OFF</t>
  </si>
  <si>
    <t>POLO CANELADA VISCOSE PRETO</t>
  </si>
  <si>
    <t>POLO CANELADA VISCOSE VERDE</t>
  </si>
  <si>
    <t>TECIDO PARAMOUNT AZUL</t>
  </si>
  <si>
    <t>TAMANCO PALHA NATURAL</t>
  </si>
  <si>
    <t>TECIDO CATAGUASES - CHAMBRAY CALANDRADO - TECIDO ALGODAO-TAFETA TF0157 - 100% ALGODAO BEGE</t>
  </si>
  <si>
    <t>TECIDO CATAGUASES - GALLES MERCERIZADO 100% ALGODAO  TAFETA BRANCO</t>
  </si>
  <si>
    <t>TECIDO CATAGUASES - GALLES MERCERIZADO - ALGODAO-TAFETA - TP015301 - 100% ALGODAO VERDE</t>
  </si>
  <si>
    <t>TECIDO CATAGUASES - BIARRITZ AMACIADO - ALGODAO-TAFETA - TF034011 - 100% ALGODAO AZUL</t>
  </si>
  <si>
    <t>SAIA ELLE OFF</t>
  </si>
  <si>
    <t>SAIA FENDA PANTU CHAMPAGNE -   "</t>
  </si>
  <si>
    <t>SAIA FENDA PANTU MARROM</t>
  </si>
  <si>
    <t>SAIA JACQUARD NOIS CAPOTA MAS NAO BRECA - "</t>
  </si>
  <si>
    <t>SAIA BEGE</t>
  </si>
  <si>
    <t>SAPATO MULE MISCI COURO OFF</t>
  </si>
  <si>
    <t>SAPATO MULE MISCI COURO PRETO</t>
  </si>
  <si>
    <t>SHORTINHOS DOSE AZUL</t>
  </si>
  <si>
    <t>SHORTINHOS DOSE VERDE</t>
  </si>
  <si>
    <t>SHORTS A FIO PEQUI AZUL</t>
  </si>
  <si>
    <t>SHORTS A FIO PEQUI VERDE</t>
  </si>
  <si>
    <t>SUETER TRICOT IRRE VERDE</t>
  </si>
  <si>
    <t>SUETER TRICOT IRRE BRANCO</t>
  </si>
  <si>
    <t>SUNGA MISCI + ESC VERDE</t>
  </si>
  <si>
    <t>TECIDO VICUNHA - WHITE OFF</t>
  </si>
  <si>
    <t>TECIDO VICUNHA - AMSTERDAM TECIDO CETIM 56% ALGODAO 43% MODAL 1% ELASTANO LAR G 1,46 METROS BEGE</t>
  </si>
  <si>
    <t>TECIDO BD - CANELADO - ARTIGO 70090.11 RIB 2 X 1 NA COR OFF WHITE</t>
  </si>
  <si>
    <t>TOP MAMI GOIABA - "</t>
  </si>
  <si>
    <t>TOP MAMI VERDE</t>
  </si>
  <si>
    <t>TOP MAMI TWEED DE SEDA - "</t>
  </si>
  <si>
    <t>TOP A FIO UNO AZUL</t>
  </si>
  <si>
    <t>TOP A FIO UNO VERDE</t>
  </si>
  <si>
    <t>TECIDO SANTA COSTANCIA -  RADIOSA PLUS (LD) - PRODUTOS ELLE - 81%VISCOSE 15%POLIAMIDA 4%ELASTANO OFF</t>
  </si>
  <si>
    <t>VESTIDO ALFAIATARIA PHILO MOSTARDA - "</t>
  </si>
  <si>
    <t>VESTIDO ALFAIATARIA PHILO GOIABA - "</t>
  </si>
  <si>
    <t>VESTIDO ALFAIATARIA PHILO MARROM</t>
  </si>
  <si>
    <t>VESTIDO ALFAIATARIA PHILO VERDE</t>
  </si>
  <si>
    <t>VESTIDO VERMELHO</t>
  </si>
  <si>
    <t>VESTIDO CUPRO VERDE</t>
  </si>
  <si>
    <t>VESTIDO AZUL</t>
  </si>
  <si>
    <t>VESTIDO ALGODA AZUL</t>
  </si>
  <si>
    <t>VESTIDO ALGODA OFF</t>
  </si>
  <si>
    <t>VESTIDO ALGODA PALHA CHE - "</t>
  </si>
  <si>
    <t>VESTIDO D-20 - ALGODAO - PALHA / OFF</t>
  </si>
  <si>
    <t>VESTIDO D-20 ALGODAO OFF</t>
  </si>
  <si>
    <t>VESTIDO D-20 - CUPRO VERDE</t>
  </si>
  <si>
    <t>VESTIDO REGATA TRICOT LISTRADO</t>
  </si>
  <si>
    <t>VESTIDO REGATA RETO ALGODAO AZUL</t>
  </si>
  <si>
    <t>VESTIDO TRICOT SAUVA VERMELHO</t>
  </si>
  <si>
    <t>VESTIDO TRICOT MARROM</t>
  </si>
  <si>
    <t>VESTIDO TRICOT VERDE</t>
  </si>
  <si>
    <t>VESTIDO MARROM</t>
  </si>
  <si>
    <t>000000000140160 - TECIDO SANTA CONSTANCIA - BOUCLE PLUS (CO2) - 57% POLIAMIDA 38% VISCOSE 5% VISCOSE - CHANTILLY (KG)</t>
  </si>
  <si>
    <t>TECIDO SANTA CONSTANCIA - BOUCLE PLUS (CO2) - 57% POLIAMIDA 38% VISCOSE 5% VISCOSE - CHANTILLY</t>
  </si>
  <si>
    <t>TECIDOS</t>
  </si>
  <si>
    <t>Misci - Mateus Grou</t>
  </si>
  <si>
    <t>Estoque próprio da empresa</t>
  </si>
  <si>
    <t>N/D</t>
  </si>
  <si>
    <t>00000000023450 - TECIDO SANTA  CONSTACIA - MODAL PLUS (CO2) 5577 - 83% MODAL + 12% POLIAMIDA + 5% ELASTANO - PRETO (KG)</t>
  </si>
  <si>
    <t>SANTACONSTANCIA</t>
  </si>
  <si>
    <t>000000000239135 - TECIDO SANTA CONSTANCIA - WAY BI STRETCH - 92% POLIAMIDA 8% ELASTANO - BRANCO (M)</t>
  </si>
  <si>
    <t>000000000240014 - TECIDO SANTA CONSTANCIA - FLUITY (CO2) A.O.P  - 87% POLIAMIDA 13% ELASTANO - OCRE VERME (KG)</t>
  </si>
  <si>
    <t>TECIDO SANTA CONSTANCIA - FLUITY (CO2) A.O.P  - 87% POLIAMIDA 13% ELASTANO - OCRE VERME</t>
  </si>
  <si>
    <t>00000000239541 - TECIDO SANTA CONSTANCIA - UP (CO2) SOFT A.O.P - 88% POLIAMIDA 12% ELASTANO - EXERCITO (KG)</t>
  </si>
  <si>
    <t>TECIDO SANTA CONSTANCIA - UP (CO2) SOFT A.O.P - 88% POLIAMIDA 12% ELASTANO - EXERCITO</t>
  </si>
  <si>
    <t>0000000235480 - TECIDO SANTA  CONSTACIA - MODAL PLUS (CO2) 5577 - 83% MODAL + 12% POLIAMIDA + 5% ELASTANO - OFF (KG)</t>
  </si>
  <si>
    <t>DI GRECCO</t>
  </si>
  <si>
    <t>000184 - TECIDO DI GRECCO - NUSA DG NOVA - ESTAMPADO FILTRO DE BARRO 02 - AZUL / BARRO (MT)</t>
  </si>
  <si>
    <t>00018400310133184OW001 - TECIDO DI GRECCO - NUSA DG ESTAMPADO 33184 - FILTRO DE BARRO - BERMUDA - 97% ALGODAO 3% ELASTANO (MT)</t>
  </si>
  <si>
    <t>TECIDO DI GRECCO - NUSA DG ESTAMPADO 33184 - FILTRO DE BARRO - BERMUDA - 97% ALGODAO 3% ELASTANO</t>
  </si>
  <si>
    <t>DI GRECOO</t>
  </si>
  <si>
    <t>0002005 - TAPETE BRASIL IMPUBERE - NIVEL 5 - 1 A 6 CORES BARRA DOBRADA - ESPECIAL - 3,00 X 1,50 M 1.5 X 3 A BARRA DOBRADA (M2)</t>
  </si>
  <si>
    <t>TAPETE BRASIL IMPUBERE - NIVEL 5 - 1 A 6 CORES BARRA DOBRADA - ESPECIAL - 3,00 X 1,50 M 1.5 X 3 A BARRA DOBRADA</t>
  </si>
  <si>
    <t>00024 - TECIDO GILDO - TEC W 10935 - 60% LINHO 40% ALGODAO - CASTANHO OURO (M)</t>
  </si>
  <si>
    <t>TECIDO GILDO - TEC W 10935 - 60% LINHO 40% ALGODAO - CASTANHO OURO</t>
  </si>
  <si>
    <t>0009J - TECIDO VEVETEX- CETIM LIGHT (100% SEDA)  - ESTAMPA IMPUBERE (M)</t>
  </si>
  <si>
    <t>TECIDO VEVETEX- CETIM LIGHT (100% SEDA)  - ESTAMPA IMPUBERE</t>
  </si>
  <si>
    <t>VEVETEX</t>
  </si>
  <si>
    <t>01101000191/000 - TECIDO STROBEL - TAFETA S/D/191 AL - 100% ACETATO - ROSE QUEIMADO (MT)</t>
  </si>
  <si>
    <t>STROBEL</t>
  </si>
  <si>
    <t>01107.00.097 - VELUDO CARAMELO - 100% ALGODAO (M)</t>
  </si>
  <si>
    <t>02014 - TECIDO GILDO - TIRELLA - 74% ALGODAO 26% POLIESTER - BEGE (M)</t>
  </si>
  <si>
    <t>02021 - TECIDO GILDO - TRCIOLINE TEC 4961 - 100% ALGODAO - LISTRADO (M)</t>
  </si>
  <si>
    <t>02150000102/000 - TECIDO STROBEL - SARJA S/D/102 - 100% ACETATO - CRU (MT)</t>
  </si>
  <si>
    <t>TECIDO STROBEL - SARJA S/D/102 - 100% ACETATO - CRU</t>
  </si>
  <si>
    <t>02150000106/000 - TECIDO STROBEL - SARJA S/D/106 VIC - 100% ACETATO - MARROM (MT)</t>
  </si>
  <si>
    <t>02150000107/000 - TECIDO STROBEL - SARJA S/D/107 ARE - 100% ACETATO - ROSE (MT)</t>
  </si>
  <si>
    <t>02150000122/000 - TECIDO STROBEL - SARJA S/D/122 AZU - 100% ACETATO - AZUL (MT)</t>
  </si>
  <si>
    <t>02150000139/000 - TECIDO STROBEL - SARJA S/D/139 KAK - 100% ACETATO - VERDE (MT)</t>
  </si>
  <si>
    <t>02150000194/000 - TECIDO STROBEL - SARJA S/D/194 ARE - 100% ACETATO - ROSE QUEIMADO (MT)</t>
  </si>
  <si>
    <t>048225T7000032011 - TECIDO INNOVATIV - Coconut - 100%ALGODAO 00032 - COR BEGE/NATURAL/CRU - (MT)</t>
  </si>
  <si>
    <t>INNOVATIV</t>
  </si>
  <si>
    <t>0L853000102/000 - TECIDO STROBEL - PONGEE 73G/M S/ - 100% POLIESTER - BEGE CLARO - DUST BAG (MT)</t>
  </si>
  <si>
    <t>10002120104 - TECIDO EVOLVE - COZY WHITE ASPARGUS - CRU/OFF/NATURAL - 92,11% viscose/7,89% poliester (MT)</t>
  </si>
  <si>
    <t>10002181142 - TECIDO EVOLVE - COZY CONHAQUE - 93% VISCOSE + 7% POLIESTER (MT)</t>
  </si>
  <si>
    <t>TECIDO EVOLVE - COZY CONHAQUE - 93% VISCOSE + 7% POLIESTER</t>
  </si>
  <si>
    <t>EVOLVE</t>
  </si>
  <si>
    <t>AVIAMETOS</t>
  </si>
  <si>
    <t>Show Room - Tamanas</t>
  </si>
  <si>
    <t>Produções e Eventos</t>
  </si>
  <si>
    <t>10110 - TECIDO DESIREE - LINHO BLUE FA -  COR PALHA (OFF) 9370-02 / 100% LINHO - BF-TC1207 (M)</t>
  </si>
  <si>
    <t>111019/6 - 380 - TECIDO WERNER - SEDA PURA 100% - SUDAO  - CARAMELO / MARROM / CAFE (M)</t>
  </si>
  <si>
    <t>WERNER</t>
  </si>
  <si>
    <t>111019/6--149 - TECIDO WERNER - SEDA PURA 100% - GRUTA AZUL X (149) (M)</t>
  </si>
  <si>
    <t>111019/6--564 - TECIDO WERNER - SEDA PURA 100% - NECTAR (564) (M)</t>
  </si>
  <si>
    <t>111019/6--703 - TECIDO WERNER - SEDA PURA 100% - LAMA (703) (M)</t>
  </si>
  <si>
    <t>111067 - TECIDO WERNER - SEDA PURA 100% - ROSA DA MANHA (548) (M)</t>
  </si>
  <si>
    <t>111067-O - TECIDO WERNER - SEDA PURA 100% - ORGANZA -PANTANAL (254) (M)</t>
  </si>
  <si>
    <t>111194 (2) - TECIDO WERNER - SEDA PURA 100%  - SATIN SILK PREMIUM- ROSA PORCELANA  (372) (M)</t>
  </si>
  <si>
    <t>111194 - TECIDO WERNER - SEDA PURA 100% - GIARDINO  - SATIN  SILK PREMIUM - VERDE ESCURO (284) (M)</t>
  </si>
  <si>
    <t>111194-706 - TECIDO WERNER - SEDA PURA 100% - CREPE DE CHINE LEVE  - BEGE (706) (M)</t>
  </si>
  <si>
    <t>111194-78 - TECIDO WERNER - SEDA PURA 100% -  SATIN SILK PREMIUM  - MARROM (78) (M)</t>
  </si>
  <si>
    <t>111199--284 - TECIDO WERNER - SEDA PURA 100%  - CREPE DE CHINA LEVE - GIARDINO (284) (M)</t>
  </si>
  <si>
    <t>111199-176 - TECIDO WERNER - SEDA PURA 100% - CREPE DE CHINE LEVE  - AZUL CLARO (176) (M)</t>
  </si>
  <si>
    <t>111199-427 - TECIDO WERNER - SEDA PURA 100% - CREPE DE CHINE LEVE - CERAMICA (427) (M)</t>
  </si>
  <si>
    <t>1141 - TECIDO GVALLONE - CHRISTIE TABACO  - 49% MODAL + 30% ALGODAO + 21% LINHO (M)</t>
  </si>
  <si>
    <t>11427 - TECIDO DESIREE - LINHO BLUE FA - COR BEGE (PEROLA) 9370-03/100% LINHO -  BF-TC1207 (M)</t>
  </si>
  <si>
    <t>11430 - TECIDO DESIREE - LINHO BLUE FA - COR NUDE (ROSA) 9370-06/100% LINHO - BF-TC1207 (M)</t>
  </si>
  <si>
    <t>1172 - TECIDO STROBEL - 100% ACETATO - LISTRADO (M)</t>
  </si>
  <si>
    <t>12 - GRAOS OFF (MT)</t>
  </si>
  <si>
    <t>122003 - 169 - TECIDO WERNER - 80% ACETATO 20% VISCOSE - CREPE LEGERE - AZUL (169) (M)</t>
  </si>
  <si>
    <t>122003 - 295 - TECIDO WERNER - 80% ACETATO 20% VISCOSE - CREPE LEGERE - VERDE  (295) (M)</t>
  </si>
  <si>
    <t>122003 - 431 - TECIDO WERNER - 80% ACETATO 20% VISCOSE - CREPE LEGERE - VERMELHO (431) (M)</t>
  </si>
  <si>
    <t>122003 - 748 - TECIDO WERNER - 80% ACETATO 20% VISCOSE - CREPE LEGERE - MARROM (748) (M)</t>
  </si>
  <si>
    <t>122041 - TECIDO WERNER - CREPE FLORA-  68% ACETATO 20% MODAL 12% LIOCEL  - CERAMICA COR 357 (MT)</t>
  </si>
  <si>
    <t>122041-295 - TECIDO WERNER - CREPE FLORA-  68% ACETATO 20% MODAL 12% LIOCEL  - VERDE MENTA (295) (MT)</t>
  </si>
  <si>
    <t>122041-745 - TECIDO WERNER - CREPE FLORA-  68% ACETATO 20% MODAL 12% LIOCEL  - MARROM (745) (MT)</t>
  </si>
  <si>
    <t>12220 - 295 - TECIDO WERNER - ESSENCE -  63%ACETATO 34%POLIAMIDA 3%ELASTANO - VERDE MENTA (295) (MT)</t>
  </si>
  <si>
    <t>12220 - 431 - TECIDO WERNER - ESSENCE-  63% ACETATO 34% POLIAMIDA 34% ELASTANO - VERMELHO (431) (MT)</t>
  </si>
  <si>
    <t>122220 - 169 - TECIDO WERNER - ESSENCE-  63% ACETATO 34% POLIAMIDA 34% ELASTANO - AZUL (169) (MT)</t>
  </si>
  <si>
    <t>122220 - 5000 - TECIDO WERNER - ESSENCE -  63%ACETATO 34%POLIAMIDA 3%ELASTANO - CREME 5000 (MT)</t>
  </si>
  <si>
    <t>122220 - 745 - TECIDO WERNER - ESSENCE -  63%ACETATO 34%POLIAMIDA 3%ELASTANO - MARROM (745) (MT)</t>
  </si>
  <si>
    <t>122220 - 746 - TECIDO WERNER - ESSENCE -  63%ACETATO 34%POLIAMIDA 3%ELASTANO - BEGE (746) (MT)</t>
  </si>
  <si>
    <t>122220 - TECIDO WERNER - ESSENCE-  63% ACETATO 34% POLIAMIDA 34% ELASTANO - LARANJA QUEIMADO (756) (MT)</t>
  </si>
  <si>
    <t>122448 - 169 - TECIDO WERNER - CREPE PATOU-  71%ACETATO 29% VISCOSE  - AZUL- COR 169 (MT)</t>
  </si>
  <si>
    <t>122448 - 745 - TECIDO WERNER - CREPE PATOU-  71%ACETATO 29% VISCOSE  - MARROM COR 745 (MT)</t>
  </si>
  <si>
    <t>122448 - TECIDO WERNER - CREPE PATOU-  71%ACETATO 29% VISCOSE  - BEGE - COR 746 (MT)</t>
  </si>
  <si>
    <t>12610004 - TECIDO CASTANHAL - 70% JUTA 30% ALGODAO - CRU (MT)</t>
  </si>
  <si>
    <t>1293000716R7 - TECIDO PARAMOUNT - TWILL FLANEL - 1293 - MARROM ESCURO (MT)</t>
  </si>
  <si>
    <t>141000-110084-1 - TECIDO WERNER - 100% LINHO - MOSTARDA  - FILTRO DE BARRO (M)</t>
  </si>
  <si>
    <t>141003--5000 - TECIDO WERNER - 100% LINHO - OFF (5000) (M)</t>
  </si>
  <si>
    <t>141003-180 - TECIDO WERNER - 100% LINHO - AZUL (180) (M)</t>
  </si>
  <si>
    <t>141003-299 - TECIDO WERNER - 100% LINHO - VERDE (299) (M)</t>
  </si>
  <si>
    <t>141003-748 - TECIDO WERNER - 100% LINHO - TABACO (748) (M)</t>
  </si>
  <si>
    <t>148172T7000129011 - TECIDO INNOVATIV - Guru - 100% ALGODAO 00129 - VERDE / OFF LISTRADO (MT)</t>
  </si>
  <si>
    <t>150002151218 - TECIDO EVOLVE - COTTONADE SEMOLINA - CRU - 87% VISCOSE + 12% ALGODAO (MT)</t>
  </si>
  <si>
    <t>15272CMB3 - FERRAGENS - CURSOR 5 METAL S/TRAVA RM! NIQUEL C C/VZ - CYKK5-MDFNT2 - CURSO DO ZIPER (UN)</t>
  </si>
  <si>
    <t>FERRAGENS</t>
  </si>
  <si>
    <t>15589 - TECIDO GVALLONE - CHRISTIE AZUL AMOSTRA - 49% MODAL + 30% ALGODAO + 21% LINHO (M)</t>
  </si>
  <si>
    <t>162014 - TECIDO WERNER - TRICOLINE MODAL STRETCH -  85%MODAL 11%POLIAMIDA 4%ELASTANO - CERAMICA COR 357 (MT)</t>
  </si>
  <si>
    <t>162555 - 433 - TECIDO WERNER - ALGODAO 52% VISCOSE 45% ELASTANO 3% - COTTON  STRETCH NATE - VERMELHO (433) (M)</t>
  </si>
  <si>
    <t>162555-- 169 - TECIDO WERNER - ALGODAO 52% VISCOSE 45% ELASTANO 3% - COTTON  STRETCH NATE - AZUL (169) (MT)</t>
  </si>
  <si>
    <t>162555-- 295 - TECIDO WERNER - ALGODAO 52% VISCOSE 45% ELASTANO 3% - COTTON  STRETCH NATE - VERDE MENTA (295) (MT)</t>
  </si>
  <si>
    <t>191003-- 169 - TECIDO WERNER - 100% MODAL - BELLA MODAL - AZUL (MT)</t>
  </si>
  <si>
    <t>191003--5000 - TECIDO WERNER - 100% MODAL - BELLA MODAL - BRANCO / OFF (MT)</t>
  </si>
  <si>
    <t>192026-- 299 - TECIDO WERNER - CUPRO 57% MODAL 43% - AVA - VERDE (299) (MT)</t>
  </si>
  <si>
    <t>192026-- 357 - TECIDO WERNER - CUPRO 57% MODAL 43% - AVA - TERRACOTA (357) (MT)</t>
  </si>
  <si>
    <t>2150--131 - TECIDO STROBEL - SARJA S/D 131 - 100% ACETATO - VERMELHO (M)</t>
  </si>
  <si>
    <t>2202253026 - TECIDO BUDI - MOLETON FLEECE GD-100%ALGODAO (KG)</t>
  </si>
  <si>
    <t>BUDI</t>
  </si>
  <si>
    <t>HJ</t>
  </si>
  <si>
    <t>2425FT0103 - TECIDO FIOBOM - MINI-QUADRICULADO BEGE E OFF -  2425 FT DES 01 COR 03 - 100% LINHO (M)</t>
  </si>
  <si>
    <t>2569 - TECIDO GVALLONE - NASSAU 10995 - VERDE (MT)</t>
  </si>
  <si>
    <t>2700260154 - TECIDO BUDI - CANELADO PUNHO 2X1  COR MESCLA COTTON - 86% ALGODAO 2% ELASTANO12% POLIESTER (KG)</t>
  </si>
  <si>
    <t>2700903026 - TECIDO BUDI - RIB 2X1 C/ELAST-98%ALGODAO2%ELASTANO-GD COR OFF - PUNHO / BARRA (KG)</t>
  </si>
  <si>
    <t>2700905274 - TECIDO BUDI - CANELADO RIB 2X1 C/ELAST COR BRANCO DM-  98% ALGODAO 2% ELASTANO (KG)</t>
  </si>
  <si>
    <t>2700909956 - TECIDO BUDI - CANELADO RIB 2X1 C/ELAST COR PRETA -  98% ALGODAO 2% ELASTANO (KG)</t>
  </si>
  <si>
    <t>2700909956-OFF - TECIDO BUDI - CANELADO RIB 2X1 C/ELAST COR OFF WHITE -  98% ALGODAO 2% ELASTANO (KG)</t>
  </si>
  <si>
    <t>28798CMB2 - FERRAGENS - MOSQUETAO INJETADO #NIQUEL BC/VZ - 104T16-1 - PRENDEDOR COM MOLA (UN)</t>
  </si>
  <si>
    <t>3047003000101 - TECIDO JB - ANTUERPIA (V)  BRANCO COM PONTINHOS (M)</t>
  </si>
  <si>
    <t>JBESAN</t>
  </si>
  <si>
    <t>G.VALLONE</t>
  </si>
  <si>
    <t>3369 - TECIDO GVALLONE - KUMARI W299 - VERDE - 50% ALGODAO + 30% MODAL + 20% LINHO (MT)</t>
  </si>
  <si>
    <t>34732 - TECIDO DI GRECCO - SILK LIGHT ESTAMPADO ROSA CENTRALIZADA - 70% ALGODAO 30% SEDA (MT)</t>
  </si>
  <si>
    <t>34733 - TECIDO DI GRECCO - ESTAMPA ROSAS - 100% ALGODAO (MT)</t>
  </si>
  <si>
    <t>34734 - TECIDO DI GRECCO - ESTAMPA FUXICO LANCHES - 100% ALGODAO (MT)</t>
  </si>
  <si>
    <t>34735 - TECIDO DI GRECCO - ESTAMPA KAMA SUTRA - 100% ALGODAO (MT)</t>
  </si>
  <si>
    <t>4009111709Q3 - TECIDO PARAMOUNT - TROPICAL LEVE - 4009 - MARROM COM RISCA DE GIZ (MT)</t>
  </si>
  <si>
    <t>4157000774Q3 - TECIDO PARAMOUNT - GABARDINE SUPER 120 S - 4157 - MARROM CLARO / BEGE (MT)</t>
  </si>
  <si>
    <t>4157000868Q3 - TECIDO PARAMOUNT - GABARDINE SUPER 120 S - 4157 - AZUL ESCURO (MT)</t>
  </si>
  <si>
    <t>FIOBOM</t>
  </si>
  <si>
    <t>4645 - TECIDO GVALLONE - MAXICOTTON - 67% VISCOSE 33% ALGODAO - GOIABA (MT)</t>
  </si>
  <si>
    <t>48256CMB2 - FERRAGENS - PIGENTE INJETADO #NIQUEL B C/VZ - GI6020-13 - GRANDE (UN)</t>
  </si>
  <si>
    <t>48424CMB2 - FERRAGENS - PIGENTE INJETADO #NIQUEL B C/VZ - GI6020-14 - PEQUENO (UN)</t>
  </si>
  <si>
    <t>4921021009998 - TECIDO JB - C.ST.BOTONE (FL)  PT (PR. P/TINGIR LISO) - LISTRADO NUDE COM CINZA/AZUL PESPONTO (M)</t>
  </si>
  <si>
    <t>52308C8654 - FERRAGENS - ENFEITE INJETADO SILVER FROST - EI5021/32% - BOTAO 23MM (UN)</t>
  </si>
  <si>
    <t>5258003009998 - TECIDO JB - C.S.BLACK (MR/TB/PE)  PT (PR. P/TINGIR LISO) - PRETO COM LISTRAS BRANCA TAPETE (M)</t>
  </si>
  <si>
    <t>JBESEN</t>
  </si>
  <si>
    <t>5286001009998 - TECIDO JB - COTTON FLAME PT (PR. P/TINGIR LISO) - LISTRA CRU (M)</t>
  </si>
  <si>
    <t>5363007009998 - TECIDO JB - C.S.LINEN (V/FM)  PT (PR. P/TINGIR LISO) - CRU COM LISTRAS ROSAS E VERMELHAS (M)</t>
  </si>
  <si>
    <t>542157 - TECIDO GVALLONE - MAXICOTTON -  67% VISCOSE 33% ALGODAO - OFF WHITE (MT)</t>
  </si>
  <si>
    <t>561397 - TECIDO GVALLONE - COCONUT LISTRA MISCI HORT/BORDO/PRETO/OFF  - 100% ALGODAO (M)</t>
  </si>
  <si>
    <t>5695321 - TECIDO GVALLONE - COCONUT MESCLA OFF/MARINHO - 68% VISCOSE 30% ALGODAO 2% METAL (MT)</t>
  </si>
  <si>
    <t>586-00773 - PILOTO TECIDO HJ - BELISSIMO 82% VISCOSE + 14% LINHO + 4% ELASTANO - REND 4,4 - PABLO LISO MARROM TELHA (KG)</t>
  </si>
  <si>
    <t>5913 - TECIDO GVALLONE - MAXINE ALFAIATARIA - 100% VISVOSE - MARROM 18-1018 (MT)</t>
  </si>
  <si>
    <t>59672700813 - TECIDO GVALLONE - KUMARI - NATURAL - 50% ALGODAO + 30% MODAL + 20% LINHO (M)</t>
  </si>
  <si>
    <t>6010 - Rolo de etiquetas tag adesiva com serrilha 35mm x 50mm x 33 colunas - 36 Metros (1440 etiquetas) (UN)</t>
  </si>
  <si>
    <t>6555 - TECIDO GVALLONE - CHRISTIE 10881 - VERDE - 49% MODAL + 30% ALGODAO + 21% LINHO (M)</t>
  </si>
  <si>
    <t>659362 - TECIDO GVALLONE - NUSA - VERMELHO - 100% ALGODAO (M)</t>
  </si>
  <si>
    <t>6733008009998 - TECIDO JB - BOTONE BLACK (ML)  PT (PR. P/TINGIR LISO) - PRETO COM PONTINHOS BRANCO (M)</t>
  </si>
  <si>
    <t>6892470 - TECIDO GVALLONE - MAXINE ALFAIATARIA - 100% VISCOSE - OFF - (0002) (MT)</t>
  </si>
  <si>
    <t>7013388705R7 - TECIDO PARAMOUNT - PRUNEL SUPER LEVE 120 S  - 100% LA -  CINZA E LILAS (705) (M)</t>
  </si>
  <si>
    <t>703 - CARRINHO BAR CARRIOLA (UN)</t>
  </si>
  <si>
    <t>7065015717R7 - TECIDO PARAMOUNT - PRUNEL S 100 - 100% LA - MARROM C/ FUNDO VINHO (717) (M)</t>
  </si>
  <si>
    <t>7097007009998 - TECIDO JB - P.F.MESCLA (V/FM)  PT (PR. P/TINGIR LISO) - LISTRADO ROSA - VERMELHO E LISTRA FINA CRU (M)</t>
  </si>
  <si>
    <t>7213 - TECIDO GV - MADONNA 100% ALGODAO PRETO (MT)</t>
  </si>
  <si>
    <t>7275 - TECIDO EVOLVE - COZY HERB - VERDE - 93% VISCOSE + POLIESTER (MT)</t>
  </si>
  <si>
    <t>791-01765 - PILOTO TECIDO HJ - TIM 64% MODAL+ 28% LINHO + 9% VISCOSE - REND 4,6 - ESLOVA BEGE COM LISTRA MARROM (KG)</t>
  </si>
  <si>
    <t>8157000003Q3 - TECIDO PARAMOUNT - GABARDINE S'120 - OFF (MT)</t>
  </si>
  <si>
    <t>8257015009998 - TECIDO JB - N.S.BOTONE  PT (PR. P/TINGIR LISO) - OFF COM PONTOS AZUIS PEQUENO (M)</t>
  </si>
  <si>
    <t>J.BESAN</t>
  </si>
  <si>
    <t>8342003009998 - TECIDO JB - N.S.BOTONE (TB)  PT (PR. P/TINGIR LISO) - NUDE AVERMELHADO (M)</t>
  </si>
  <si>
    <t>8342013009998 - TECIDO JB - N.S.BOTONE (J)  PT (PR. P/TINGIR LISO) - VERDE NUDE CLARINHO (M)</t>
  </si>
  <si>
    <t>8354001009998 - TECIDO JB -  NATURE SOFT  PT (PR. P/TINGIR LISO)  - OFF COM LISTRAS ALTO RELEVO - 100% ALGODAO (M)</t>
  </si>
  <si>
    <t>J BESAN</t>
  </si>
  <si>
    <t>8412022701I3 - TECIDO PARAMOUNT - PRUNEL BI-STRETCH - 8412 -ESCURO COM RISCA DE GIZ PESPONTO (MT)</t>
  </si>
  <si>
    <t>847-02013 - PILOTO TECIDO HJ - SUPER BELISSIMO 84% VISCOSE + 12% LINHO + 4% ELASTANO - REND 4,4 - CRU OFF COM PONTOS PRETOS (KG)</t>
  </si>
  <si>
    <t>8589027701Q3 - TECIDO PARAMOUNT - TWILL BISTRETCH - 8589 - CINZA BORDADO BRANCO (MT)</t>
  </si>
  <si>
    <t>90326.523.36 - BOTAO 90326 TAM.36 RP - COR.523 (PC)</t>
  </si>
  <si>
    <t>9032624.515 - BOTAO 90326 TAM.24 RP - COR.515 (PC)</t>
  </si>
  <si>
    <t>9032624.523 - BOTAO 90326 TAM.24 RP - COR.523 (PC)</t>
  </si>
  <si>
    <t>9032636.520 - BOTAO 90326 TAM.36 RP - COR.520 (PC)</t>
  </si>
  <si>
    <t>914527 - TECIDO GVALLONE - NUSA - BEGE- 100% ALGODAO (M)</t>
  </si>
  <si>
    <t>926581 - TECIDO GVALLONE - NUSA - CASTOR- 100% ALGODAO (M)</t>
  </si>
  <si>
    <t>963567 - TECIDO GVALLONE - COLLINE MARRON AMOSTRA (MT)</t>
  </si>
  <si>
    <t>A448030002 - TECIDO PANAMARICANA - VENEZA LISTRADO VERDE / BRANCO E AZUL - 54% ALGODAO + 46% VISCOSE (M)</t>
  </si>
  <si>
    <t>A491720004 - TECIDO ISTAMBUL - ACINZENTADO (M)</t>
  </si>
  <si>
    <t>A491722000 - TECIDO ISTAMBUL - BRANCO (M)</t>
  </si>
  <si>
    <t>ARG-PUB-LAT-18K-G - ARGOLA ABERTURA PUBI GRANDE - BANHO  OURO 18K - PAR (PARES)</t>
  </si>
  <si>
    <t>ACESSÓRIOS</t>
  </si>
  <si>
    <t>ARG-PUB-LAT-18K-P - ARGOLA ABERTURA PUBI PEQUENA - BANHO  OURO 18K - PAR (PARES)</t>
  </si>
  <si>
    <t>ARG-SON-LAT-18K-G - ARGOLA SONALY GRANDE - BANHO  OURO 18K - PAR (PARES)</t>
  </si>
  <si>
    <t>BAN-MIS-COU-WHI-G - BANQUETA MISCI01 COURO WHISKY - "G" (PC)</t>
  </si>
  <si>
    <t>CASA</t>
  </si>
  <si>
    <t>BAN-MIS-COU-WHI-P - BANQUETA MISCI01 COURO WHISKY - "P" (PC)</t>
  </si>
  <si>
    <t>BAN-MIS-PAL-JEQ-G - BANQUETA MISCI01 PALHA NATURAL (RATAN) E MADEIRA JEQUITIBA - "G" (PC)</t>
  </si>
  <si>
    <t>BAN-MIS-PAL-JEQ-P - BANQUETA MISCI01 PALHA NATURAL (RATANE) MADEIRA JEQUITIBA - "P" (PC)</t>
  </si>
  <si>
    <t>BAN-MIS-PAL-JEQ-SA - BANQUETA SEM APOIO MISCI01 PALHA NATURAL (RATAN) MADEIRA JEQUITIBA - "P" (PC)</t>
  </si>
  <si>
    <t>BAR-CAR-MAD-JEQ - BAR CARRIOLA COM MADEIRA JEQUITIBA (UN)</t>
  </si>
  <si>
    <t>BER-ALF-D20-BEG-PIL - BERMUDAO D-20 - BEGE - "PILOTO" (PC)</t>
  </si>
  <si>
    <t>BERMUDA</t>
  </si>
  <si>
    <t>BER-ALF-FEM-OFF-PIL - BERMUDA ALFAIATARIA FEMININA OFF - "PILOTO" (PC)</t>
  </si>
  <si>
    <t>BER-BRO-LIN-BEG-36 - BERMUDA BROTO LINHO QUADRICULADA BEGE - "36" (PC)</t>
  </si>
  <si>
    <t>BER-BRO-LIN-BEG-38 - BERMUDA BROTO LINHO QUADRICULADA BEGE - "38" (PC)</t>
  </si>
  <si>
    <t>BER-BRO-LIN-BEG-40 - BERMUDA BROTO LINHO QUADRICULADA BEGE - "40" (PC)</t>
  </si>
  <si>
    <t>BER-BRO-LIN-BEG-42 - BERMUDA BROTO LINHO QUADRICULADA BEGE - "42" (PC)</t>
  </si>
  <si>
    <t>BER-BRO-LIN-BEG-44 - BERMUDA BROTO LINHO QUADRICULADA BEGE - "44" (PC)</t>
  </si>
  <si>
    <t>BER-BRO-LIN-BEG-46 - BERMUDA BROTO LINHO QUADRICULADA BEGE - "46" (PC)</t>
  </si>
  <si>
    <t>BER-BRO-VIS-CON-G - BERMUDA VICOSE CONHAQUE BROTO - "G" (PC)</t>
  </si>
  <si>
    <t>BER-BRO-VIS-CON-GG - BERMUDA VICOSE CONHAQUE BROTO - "GG" (PC)</t>
  </si>
  <si>
    <t>BER-BRO-VIS-CON-M - BERMUDA VICOSE CONHAQUE BROTO - "M" (PC)</t>
  </si>
  <si>
    <t>BER-BRO-VIS-CON-P - BERMUDA VICOSE CONHAQUE BROTO - "P" (PC)</t>
  </si>
  <si>
    <t>BER-BRO-VIS-OFF-G - BERMUDA VICOSE OFF BROTO - "G" (PC)</t>
  </si>
  <si>
    <t>BER-BRO-VIS-OFF-GG - BERMUDA VICOSE OFF BROTO - "GG" (PC)</t>
  </si>
  <si>
    <t>BER-BRO-VIS-OFF-M - BERMUDA VICOSE OFF BROTO - "M" (PC)</t>
  </si>
  <si>
    <t>BER-BRO-VIS-OFF-P - BERMUDA VICOSE OFF BROTO - "P" (PC)</t>
  </si>
  <si>
    <t>BER-BRO-VIS-VRD-G - BERMUDA VICOSE VERDE BROTO - "G" (PC)</t>
  </si>
  <si>
    <t>BER-BRO-VIS-VRD-GG - BERMUDA VICOSE VERDE BROTO - "GG" (PC)</t>
  </si>
  <si>
    <t>BER-BRO-VIS-VRD-M - BERMUDA VICOSE VERDE BROTO - "M" (PC)</t>
  </si>
  <si>
    <t>BER-BRO-VIS-VRD-P - BERMUDA VICOSE VERDE BROTO - "P" (PC)</t>
  </si>
  <si>
    <t>Loja Pinga - Rua da Consolação</t>
  </si>
  <si>
    <t>Estoque próprio da empresa em poder de terceiros</t>
  </si>
  <si>
    <t>BER-CAD-LIN-MAR-G - BERMUDA  MARROM CADEIRA DE PRAIA - "G'' (PC)</t>
  </si>
  <si>
    <t>BER-CAD-LIN-VRD-G - BERMUDA  VERDE CADEIRA DE PRAIA - "G" (PC)</t>
  </si>
  <si>
    <t>BER-CAD-LIN-VRD-P - BERMUDA  VERDE CADEIRA DE PRAIA - "P" (PC)</t>
  </si>
  <si>
    <t>BER-D20-ALG-AZU-36 - BERMUDAO D-20 - AZUL KUMARI - "PILOTO" (PC)</t>
  </si>
  <si>
    <t>BER-D20-ALG-BEG-36 - BERMUDAO D-20 - BEGE - "36" (PC)</t>
  </si>
  <si>
    <t>BER-D20-ALG-BEG-38 - BERMUDAO D-20 - BEGE - "38" (PC)</t>
  </si>
  <si>
    <t>BER-D20-ALG-BEG-40 - BERMUDAO D-20 - BEGE - "40" (PC)</t>
  </si>
  <si>
    <t>BER-D20-ALG-BEG-42 - BERMUDAO D-20 - BEGE - "42" (PC)</t>
  </si>
  <si>
    <t>BER-D20-ALG-BEG-44 - BERMUDAO D-20 - BEGE - "44" (PC)</t>
  </si>
  <si>
    <t>BER-D20-AML-AZU-36 - BERMUDAO D-20 - AZUL KUMARI - "36" (PC)</t>
  </si>
  <si>
    <t>BER-D20-AML-AZU-38 - BERMUDAO D-20 - AZUL KUMARI - "38" (PC)</t>
  </si>
  <si>
    <t>BER-D20-AML-AZU-40 - BERMUDAO D-20 - AZUL KUMARI - "40" (PC)</t>
  </si>
  <si>
    <t>BER-D20-AML-AZU-42 - BERMUDAO D-20 - AZUL KUMARI - "42" (PC)</t>
  </si>
  <si>
    <t>BER-D20-AML-AZU-44 - BERMUDAO D-20 - AZUL KUMARI - "44" (PC)</t>
  </si>
  <si>
    <t>BER-FLA-ALG-MAR-PIL - BERMUDA FLA LISTRADA - "PILOTO" (PC)</t>
  </si>
  <si>
    <t>CALÇAS</t>
  </si>
  <si>
    <t>BER-FLA-ALG-VRD-PIL - BERMUDA FLA VERDE- "PILOTO" (PC)</t>
  </si>
  <si>
    <t>BER-GIZ-POL-CIN-G - BERMUDA CINZA GIZ  - "G" (PC)</t>
  </si>
  <si>
    <t>BER-GIZ-POL-CIN-M - BERMUDA CINZA GIZ  - "M" (PC)</t>
  </si>
  <si>
    <t>BER-GIZ-POL-CIN-P - BERMUDA CINZA GIZ  - "P" (PC)</t>
  </si>
  <si>
    <t>BER-JUN-ALG-OFF-G - BERMUDA SARJA OFF JUNHO - "G" (PC)</t>
  </si>
  <si>
    <t>BER-JUN-ALG-OFF-GG - BERMUDA SARJA OFF JUNHO - "GG" (PC)</t>
  </si>
  <si>
    <t>BER-JUN-ALG-OFF-M - BERMUDA SARJA OFF JUNHO - "M' (PC)</t>
  </si>
  <si>
    <t>BER-JUN-ALG-OFF-P - BERMUDA SARJA OFF JUNHO - "P'' (PC)</t>
  </si>
  <si>
    <t>BER-LAI-ALG-CRU-G - BERMUDA ALGODAO LISTRA CRU LAI - "G" (PC)</t>
  </si>
  <si>
    <t>BER-LAI-ALG-CRU-M - BERMUDA ALGODAO LISTRA CRU LAI - "M" (PC)</t>
  </si>
  <si>
    <t>BER-LAI-ALG-CRU-P - BERMUDA ALGODAO LISTRA CRU LAI - "P" (PC)</t>
  </si>
  <si>
    <t>BER-LAI-ALG-ROS-G - BERMUDA ALGODAO LISTRA ROSA LAI - "G" (PC)</t>
  </si>
  <si>
    <t>BER-LAI-ALG-ROS-M - BERMUDA ALGODAO LISTRA ROSA LAI - "M" (PC)</t>
  </si>
  <si>
    <t>BER-LAI-ALG-ROS-P - BERMUDA ALGODAO LISTRA ROSA LAI - "P" (PC)</t>
  </si>
  <si>
    <t>BER-MAM-ALG-AZU-PIL - BERMUDAO MAMI - AZUL LISO - "PILOTO" (PC)</t>
  </si>
  <si>
    <t>BER-MAM-ALG-GOI-PIL - BERMUDAO MAMI - GOIABA - "PILOTO" (PC)</t>
  </si>
  <si>
    <t>BER-MAM-ALG-VRD-PIL - BERMUDAO MAMI - VERDE MENTA - "PILOTO" (PC)</t>
  </si>
  <si>
    <t>BER-MAR-ALG-VRD-G - BERMUDA VERDE FLORESTA MARCAO - "G" (PC)</t>
  </si>
  <si>
    <t>BER-MAR-ALG-VRD-GG - BERMUDA VERDE FLORESTA MARCAO - "GG" (PC)</t>
  </si>
  <si>
    <t>BER-MAR-ALG-VRD-M - BERMUDA VERDE FLORESTA MARCAO - "M'' (PC)</t>
  </si>
  <si>
    <t>BER-MAR-ALG-VRD-P - BERMUDA VERDE FLORESTA MARCAO - "P'' (PC)</t>
  </si>
  <si>
    <t>BER-MIS-POE-AZU-G - BERMUDA MISCI + ESC - AZUL - "G" (PC)</t>
  </si>
  <si>
    <t>COLABORAÇÃO</t>
  </si>
  <si>
    <t>BER-MIS-POE-AZU-M - BERMUDA MISCI + ESC - AZUL - "M" (PC)</t>
  </si>
  <si>
    <t>BER-MIS-POE-AZU-P - BERMUDA MISCI + ESC - AZUL - "P" (PC)</t>
  </si>
  <si>
    <t>BER-MIS-POE-AZU-PP - BERMUDA MISCI + ESC - AZUL - "PP" (PC)</t>
  </si>
  <si>
    <t>BER-MIS-POE-VRD-G - BERMUDA MISCI + ESC - VERDE - "G" (PC)</t>
  </si>
  <si>
    <t>BER-MIS-POE-VRD-M - BERMUDA MISCI + ESC - VERDE - "M" (PC)</t>
  </si>
  <si>
    <t>BER-MIS-POE-VRD-P - BERMUDA MISCI + ESC - VERDE - "P" (PC)</t>
  </si>
  <si>
    <t>BER-MIS-POE-VRD-PP - BERMUDA MISCI + ESC - VERDE - "PP" (PC)</t>
  </si>
  <si>
    <t>BER-MOD-MOD-AZU-P - BERMUDA AZUL MODAL - "P'' (PC)</t>
  </si>
  <si>
    <t>BER-MOD-MOD-VRD-G - BERMUDA VERDE MODAL - "G" (PC)</t>
  </si>
  <si>
    <t>BER-MOD-MOD-VRD-M - BERMUDA VERDE MODAL - "M" (PC)</t>
  </si>
  <si>
    <t>BER-MOD-MOD-VRD-P - BERMUDA VERDE MODAL - "P'' (PC)</t>
  </si>
  <si>
    <t>BER-PEQ-AVE-AZU-PIL - BERMUDA ALFAIATARIA PEQUI AZUL - "PILOTO" (PC)</t>
  </si>
  <si>
    <t>BER-PEQ-AVE-VRD-PIL - BERMUDA ALFAIATARIA PEQUI VERDE - "PILOTO" (PC)</t>
  </si>
  <si>
    <t>BER-ZEB-PET-MAR-G - BERMUDA PET MARROM ZEBA - "G'' (PC)</t>
  </si>
  <si>
    <t>BER-ZEB-PET-MAR-M - BERMUDA PET MARROM ZEBA - "M'' (PC)</t>
  </si>
  <si>
    <t>BER-ZEB-PET-MAR-P - BERMUDA PET MARROM ZEBA  - "P'' (PC)</t>
  </si>
  <si>
    <t>BIQ-MIS-POE-CER-G - BIQUINI MISCI + ESC - CERAMICA - "G" (PC)</t>
  </si>
  <si>
    <t>BIQ-MIS-POE-CER-GG - BIQUINI MISCI + ESC - CERAMICA - "GG" (PC)</t>
  </si>
  <si>
    <t>BIQ-MIS-POE-CER-M - BIQUINI MISCI + ESC - CERAMICA - "M" (PC)</t>
  </si>
  <si>
    <t>BIQ-MIS-POE-CER-P - BIQUINI MISCI + ESC - CERAMICA - "P" (PC)</t>
  </si>
  <si>
    <t>BLA-PHI-LA-AZU-36 - BLAZER ALFAIATARIA PHILO - 100% LA - AZUL - "36" (PC)</t>
  </si>
  <si>
    <t>ALFAIATARIA</t>
  </si>
  <si>
    <t>BLA-PHI-LA-AZU-38 - BLAZER ALFAIATARIA PHILO - 100% LA - AZUL - "38" (PC)</t>
  </si>
  <si>
    <t>BLA-PHI-LA-AZU-40 - BLAZER ALFAIATARIA PHILO - 100% LA - AZUL - "40" (PC)</t>
  </si>
  <si>
    <t>BLA-PHI-LA-AZU-42 - BLAZER ALFAIATARIA PHILO - 100% LA - AZUL - "42" (PC)</t>
  </si>
  <si>
    <t>BLA-PHI-LA-AZU-44 - BLAZER ALFAIATARIA PHILO - 100% LA - AZUL - "44" (PC)</t>
  </si>
  <si>
    <t>BLA-PHI-LA-AZU-46 - BLAZER ALFAIATARIA PHILO - 100% LA - AZUL - "46" (PC)</t>
  </si>
  <si>
    <t>BLA-PHI-LA-OFF-36 - BLAZER ALFAIATARIA PHILO - 100% LA - OFF - "36" (PC)</t>
  </si>
  <si>
    <t>BLA-PHI-LA-OFF-38 - BLAZER ALFAIATARIA PHILO - 100% LA - OFF - "38" (PC)</t>
  </si>
  <si>
    <t>BLA-PHI-LA-OFF-40 - BLAZER ALFAIATARIA PHILO - 100% LA - OFF - "40" (PC)</t>
  </si>
  <si>
    <t>BLA-PHI-LA-OFF-42 - BLAZER ALFAIATARIA PHILO - 100% LA - OFF - "42" (PC)</t>
  </si>
  <si>
    <t>BLA-PHI-LA-OFF-44 - BLAZER ALFAIATARIA PHILO - 100% LA - OFF - "44" (PC)</t>
  </si>
  <si>
    <t>BLA-PHI-LA-OFF-46 - BLAZER ALFAIATARIA PHILO - 100% LA - OFF - "46" (PC)</t>
  </si>
  <si>
    <t>BLU-ELL-MPE-OFF-G - BLUSA MANGA CURTA ELLE OFF - "G" (PC)</t>
  </si>
  <si>
    <t>MOLETOM</t>
  </si>
  <si>
    <t>BLU-ELL-MPE-OFF-GG - BLUSA MANGA CURTA ELLE OFF - "GG" (PC)</t>
  </si>
  <si>
    <t>BLU-ELL-MPE-OFF-M - BLUSA MANGA CURTA ELLE OFF - "M" (PC)</t>
  </si>
  <si>
    <t>BLU-ELL-MPE-OFF-P - BLUSA MANGA CURTA ELLE OFF - "P" (PC)</t>
  </si>
  <si>
    <t>BLU-ELL-MPE-OFF-PP - BLUSA MANGA CURTA ELLE OFF - "PP" (PC)</t>
  </si>
  <si>
    <t>BLU-ELL-MPE-OFF-XG - BLUSA MANGA CURTA ELLE OFF - "XG" (PC)</t>
  </si>
  <si>
    <t>BLU-ELL-MPE-PRE-G - BLUSA MANGA CURTA ELLE PRETA - "G" (PC)</t>
  </si>
  <si>
    <t>BLU-ELL-MPE-PRE-GG - BLUSA MANGA CURTA ELLE PRETA - "GG" (PC)</t>
  </si>
  <si>
    <t>BLU-ELL-MPE-PRE-P - BLUSA MANGA CURTA ELLE PRETA - "P" (PC)</t>
  </si>
  <si>
    <t>BLU-ELL-MPE-PRE-PP - BLUSA MANGA CURTA ELLE PRETA - "PP" (PC)</t>
  </si>
  <si>
    <t>BLU-ELLE-MPE-PRE-M - BLUSA MANGA CURTA ELLE PRETA - "M" (PC)</t>
  </si>
  <si>
    <t>BLU-LIN-VIS-OFF-TU - BLUSA OFF LIN - "TU" (PC)</t>
  </si>
  <si>
    <t>CAMISETAS</t>
  </si>
  <si>
    <t>BLU-RAL-ALG-LIS-G - BLUSAO RALADOR LISTRADO ALGODAO - "G" (PC)</t>
  </si>
  <si>
    <t>BLU-RAL-ALG-LIS-M - BLUSAO RALADOR LISTRADO ALGODAO - "M" (PC)</t>
  </si>
  <si>
    <t>BLZ-PAN-CRE-BEG-PIL - BLAZER ALFAIATARIA PANTU CHAMPAGNE -  "PILOTO" (PC)</t>
  </si>
  <si>
    <t>BLZ-PAN-CRE-CHA-G - BLAZER ALFAIATARIA PANTU CHAMPAGNE - "G" (PC)</t>
  </si>
  <si>
    <t>BLZ-PAN-CRE-CHA-M - BLAZER ALFAIATARIA PANTU CHAMPAGNE - "M" (PC)</t>
  </si>
  <si>
    <t>BLZ-PAN-CRE-CHA-P - BLAZER ALFAIATARIA PANTU CHAMPAGNE - "P" (PC)</t>
  </si>
  <si>
    <t>BLZ-PAN-CRE-CHA-PP - BLAZER ALFAIATARIA PANTU CHAMPAGNE - "PP" (PC)</t>
  </si>
  <si>
    <t>BLZ-PAN-CRE-MAR-G - BLAZER ALFAIATARIA PANTU MARROM- "G" (PC)</t>
  </si>
  <si>
    <t>BLZ-PAN-CRE-MAR-M - BLAZER ALFAIATARIA PANTU MARROM- "M" (PC)</t>
  </si>
  <si>
    <t>BLZ-PAN-CRE-MAR-P - BLAZER ALFAIATARIA PANTU MARROM- "P" (PC)</t>
  </si>
  <si>
    <t>BLZ-PAN-CRE-MAR-PP - BLAZER ALFAIATARIA PANTU MARROM- "PP" (PC)</t>
  </si>
  <si>
    <t>BLZ-PEQ-AVE-AZU-G - BLAZER ALFAIATARIA PEQUI AZUL - "G/42" (PC)</t>
  </si>
  <si>
    <t>BLZ-PEQ-AVE-AZU-M - BLAZER ALFAIATARIA PEQUI AZUL - "M/40" (PC)</t>
  </si>
  <si>
    <t>BLZ-PEQ-AVE-AZU-P - BLAZER ALFAIATARIA PEQUI AZUL - "P/38" (PC)</t>
  </si>
  <si>
    <t>BLZ-PEQ-AVE-AZU-PP - BLAZER ALFAIATARIA PEQUI AZUL - "PP/36" (PC)</t>
  </si>
  <si>
    <t>BLZ-PEQ-AVE-VRD-G - BLAZER ALFAIATARIA PEQUI VERDE - "G/42" (PC)</t>
  </si>
  <si>
    <t>BLZ-PEQ-AVE-VRD-M - BLAZER ALFAIATARIA PEQUI VERDE - "M/40" (PC)</t>
  </si>
  <si>
    <t>BLZ-PEQ-AVE-VRD-P - BLAZER ALFAIATARIA PEQUI VERDE - "P/38" (PC)</t>
  </si>
  <si>
    <t>BLZ-PEQ-AVE-VRD-PP - BLAZER ALFAIATARIA PEQUI VERDE - "PP/36" (PC)</t>
  </si>
  <si>
    <t>BLZ-PHI-LA-VRM-36 - BLAZER ALFAIATARIA PHILO - 100% LA - VERMELHO -  "36" (PC)</t>
  </si>
  <si>
    <t>BLZ-PHI-LA-VRM-38 - BLAZER ALFAIATARIA PHILO - 100% LA - VERMELHO - "38" (PC)</t>
  </si>
  <si>
    <t>BLZ-PHI-LA-VRM-40 - BLAZER ALFAIATARIA PHILO - 100% LA - VERMELHO - "40" (PC)</t>
  </si>
  <si>
    <t>BLZ-PHI-LA-VRM-42 - BLAZER ALFAIATARIA PHILO - 100% LA - VERMELHO - "42" (PC)</t>
  </si>
  <si>
    <t>BLZ-PHI-LA-VRM-44 - BLAZER ALFAIATARIA PHILO - 100% LA - VERMELHO - "44" (PC)</t>
  </si>
  <si>
    <t>BLZ-PHI-LA-VRM-46 - BLAZER ALFAIATARIA PHILO - 100% LA - VERMELHO - "46" (PC)</t>
  </si>
  <si>
    <t>BOL-BAM-COU-AZU-TU - BOLSA COURO BAMBOLE AZUL (PC)</t>
  </si>
  <si>
    <t>BOL-BAM-COU-OFF-TU - BOLSA COURO BAMBOLE OFF (PC)</t>
  </si>
  <si>
    <t>BOL-BAM-COU-VRD-TU - BOLSA COURO BAMBOLE VERDE (PC)</t>
  </si>
  <si>
    <t>BOL-BAM-COU-VRM-PIL - BOLSA COURO BAMBOLE VERMELHA - PILOTO (PC)</t>
  </si>
  <si>
    <t>BOL-BAM-COU-X-TU - BOLSA COURO BAMBOLE COR X (PC)</t>
  </si>
  <si>
    <t>BOL-JAU-JUT-WHI-TU - BOLSA JAUM DE JUTA (PC)</t>
  </si>
  <si>
    <t>BOL-JAU-RAN-WHI-G - BOLSA PALHA E COURO WHISKY GRANDE JAUM  - ''G" (PC)</t>
  </si>
  <si>
    <t>BOL-NIN-COU-AZU-P - BOLSA COURO PEQUENA AZUL NINE  - "P" (PC)</t>
  </si>
  <si>
    <t>BOL-NIN-COU-BRA-G - BOLSA COURO GRANDE BRANCA NINE  - ''G" (PC)</t>
  </si>
  <si>
    <t>BOL-NIN-COU-OFF-P - BOLSA COURO PEQUENA OFF NINE  - "P" (PC)</t>
  </si>
  <si>
    <t>BOL-NIN-COU-OFF-PILOTO - BOLSA COURO PEQUENA OFF NINE  - "PILOTO" (PC)</t>
  </si>
  <si>
    <t>BOL-NIN-COU-PRE-G - BOLSA COURO GRANDE PRETA NINE  - ''G'' (PC)</t>
  </si>
  <si>
    <t>BOL-NIN-COU-PRE-P - BOLSA COURO PEQUENA PRETA NINE  - ''P' (PC)</t>
  </si>
  <si>
    <t>BOL-NIN-COU-VRM-P - BOLSA COURO PEQUENA JAMBO / VERMELHA NINE  - "P" (PC)</t>
  </si>
  <si>
    <t>BOL-NIN-COU-WHI-G - BOLSA COURO GRANDE WHISKY NINE  - ''G" (PC)</t>
  </si>
  <si>
    <t>BOL-NIN-COU-WHI-P - BOLSA COURO PEQUENA WHISKY NINE - ''P' (PC)</t>
  </si>
  <si>
    <t>BRA-PUB-LAT-18K-TU - BRACELETE PUBI - BANHO  OURO 18K - "TU" (PC)</t>
  </si>
  <si>
    <t>BEBIDAS</t>
  </si>
  <si>
    <t>CAD-MIS-COU-PRE-TU - CADEIRA UNI / MISCI01 COURO PRETO - TU (PC)</t>
  </si>
  <si>
    <t>CAD-MIS-COU-WHI-TU - CADEIRA MISCI01 COURO WHISKY - TU (PC)</t>
  </si>
  <si>
    <t>MOVEIS</t>
  </si>
  <si>
    <t>CAD-MIS-PAL-JEQ-TU - CADEIRA MISCI01 PALHA NATURAL E MADEIRA JEQUITIBA - TU (PC)</t>
  </si>
  <si>
    <t>CAM-51-ALG-ROS-G - CAMISETA ALGODAO ROSA LISTRADO 51 - "G" (PC)</t>
  </si>
  <si>
    <t>REGATA</t>
  </si>
  <si>
    <t>CAM-51-ALG-ROS-GG - CAMISETA ALGODAO ROSA LISTRADO 51 - "GG" (PC)</t>
  </si>
  <si>
    <t>CAM-51-ALG-ROS-M - CAMISETA ALGODAO ROSA LISTRADO 51 - "M" (PC)</t>
  </si>
  <si>
    <t>CAM-51-ALG-ROS-P - CAMISETA ALGODAO ROSA LISTRADO 51 - "P" (PC)</t>
  </si>
  <si>
    <t>CAM-51-ALG-VRD-G - CAMISETA ALGODAO VERDE  51 - "G" (PC)</t>
  </si>
  <si>
    <t>CAM-51-ALG-VRD-GG - CAMISETA ALGODAO VERDE  51 - "GG" (PC)</t>
  </si>
  <si>
    <t>CAM-51-ALG-VRD-M - CAMISETA ALGODAO VERDE  51 - "M" (PC)</t>
  </si>
  <si>
    <t>CAM-51-ALG-VRD-P - CAMISETA ALGODAO VERDE  51 - "P" (PC)</t>
  </si>
  <si>
    <t>CAM-BAU-ALG-CAR-G - CAMISETA CARAMELO ESTAMPA BAURU - "G" (PC)</t>
  </si>
  <si>
    <t>CAM-BAU-ALG-CAR-GG - CAMISETA CARAMELO ESTAMPA BAURU - "GG" (PC)</t>
  </si>
  <si>
    <t>CAM-BAU-ALG-CAR-M - CAMISETA CARAMELO ESTAMPA BAURU - "M" (PC)</t>
  </si>
  <si>
    <t>CAM-BAU-ALG-CAR-P - CAMISETA CARAMELO ESTAMPA BAURU - "P" (PC)</t>
  </si>
  <si>
    <t>CAM-BAU-ALG-CAR-PP - CAMISETA CARAMELO ESTAMPA BAURU - "PP" (PC)</t>
  </si>
  <si>
    <t>CAM-BAU-ALG-CAR-XG - CAMISETA CARAMELO ESTAMPA BAURU - "XG" (PC)</t>
  </si>
  <si>
    <t>CAM-BAU-ALG-LIL-G - CAMISETA LILAS ESTAMPA BAURU - "G" (PC)</t>
  </si>
  <si>
    <t>CAM-BAU-ALG-LIL-GG - CAMISETA LILAS ESTAMPA BAURU - "GG" (PC)</t>
  </si>
  <si>
    <t>CAM-BAU-ALG-LIL-M - CAMISETA LILAS ESTAMPA BAURU - "M" (PC)</t>
  </si>
  <si>
    <t>CAM-BAU-ALG-LIL-P - CAMISETA LILAS ESTAMPA BAURU - "P" (PC)</t>
  </si>
  <si>
    <t>CAM-BAU-ALG-LIL-PP - CAMISETA LILAS ESTAMPA BAURU - "PP" (PC)</t>
  </si>
  <si>
    <t>CAM-BAU-ALG-LIL-XG - CAMISETA LILAS ESTAMPA BAURU - "XG" (PC)</t>
  </si>
  <si>
    <t>CAM-LIS-ALG-BRA-M - CAMISETA BASICA ALGODAO BRANCA LISA - "M" (PC)</t>
  </si>
  <si>
    <t>CAM-MIS-ALG-BRA-G - CAMISETA BRANCA ESTAMPA LOGO MISCI DOURADO - "G" (PC)</t>
  </si>
  <si>
    <t>CAM-MIS-ALG-BRA-GG - CAMISETA BRANCA ESTAMPA LOGO MISCI DOURADO - "GG" (PC)</t>
  </si>
  <si>
    <t>CAM-MIS-ALG-BRA-M - CAMISETA BRANCA ESTAMPA LOGO MISCI DOURADO - "M" (PC)</t>
  </si>
  <si>
    <t>CAM-MIS-ALG-BRA-P - CAMISETA BRANCA ESTAMPA LOGO MISCI DOURADO - "P" (PC)</t>
  </si>
  <si>
    <t>CAM-MIS-ALG-BRA-PP - CAMISETA BRANCA ESTAMPA LOGO MISCI DOURADO - "PP" (PC)</t>
  </si>
  <si>
    <t>CAM-MIS-ALG-BRA-XG - CAMISETA BRANCA ESTAMPA LOGO MISCI DOURADO - "XG" (PC)</t>
  </si>
  <si>
    <t>CAM-UNI-ALG-AZU-G - CAMISETA AZUL ESTAMPA UNI - "G" (PC)</t>
  </si>
  <si>
    <t>CAM-UNI-ALG-AZU-GG - CAMISETA AZUL ESTAMPA UNI - "GG" (PC)</t>
  </si>
  <si>
    <t>CAM-UNI-ALG-AZU-M - CAMISETA AZUL ESTAMPA UNI - "M" (PC)</t>
  </si>
  <si>
    <t>CAM-UNI-ALG-AZU-P - CAMISETA AZUL ESTAMPA UNI - "P" (PC)</t>
  </si>
  <si>
    <t>CAM-UNI-ALG-AZU-PP - CAMISETA AZUL ESTAMPA UNI - "PP" (PC)</t>
  </si>
  <si>
    <t>CAM-UNI-ALG-AZU-XG - CAMISETA AZUL ESTAMPA UNI - "XG" (PC)</t>
  </si>
  <si>
    <t>CAM-UNI-ALG-BRA-G - CAMISETA BRANCA ESTAMPA UNI - "G" (PC)</t>
  </si>
  <si>
    <t>CAM-UNI-ALG-BRA-GG - CAMISETA BRANCA ESTAMPA UNI - "GG" (PC)</t>
  </si>
  <si>
    <t>CAM-UNI-ALG-BRA-M - CAMISETA BRANCA ESTAMPA UNI - "M" (PC)</t>
  </si>
  <si>
    <t>CAM-UNI-ALG-BRA-P - CAMISETA BRANCA ESTAMPA UNI - "P" (PC)</t>
  </si>
  <si>
    <t>CAM-UNI-ALG-BRA-PP - CAMISETA BRANCA ESTAMPA UNI - "PP" (PC)</t>
  </si>
  <si>
    <t>CAM-UNI-ALG-BRA-XG - CAMISETA BRANCA ESTAMPA UNI - "XG" (PC)</t>
  </si>
  <si>
    <t>CAS-BOI-LA-AZU-G - JAQUETA / CASACO ALFAIATARIA AZUL BOIA - "G" (PC)</t>
  </si>
  <si>
    <t>JAQUETA</t>
  </si>
  <si>
    <t>CAS-BOI-LA-AZU-M - JAQUETA / CASACO ALFAIATARIA AZUL BOIA - "M" (PC)</t>
  </si>
  <si>
    <t>CAS-BOI-LA-AZU-P - JAQUETA / CASACO ALFAIATARIA AZUL BOIA - "P" (PC)</t>
  </si>
  <si>
    <t>CAS-BOI-LA-AZU-PP - JAQUETA / CASACO ALFAIATARIA AZUL BOIA - "PP" (PC)</t>
  </si>
  <si>
    <t>CAS-BOI-LA-LIS-M - JAQUETA / CASACO ALFAIATARIA CINZA COM LISTRA BRANCA BOIA - "M" (PC)</t>
  </si>
  <si>
    <t>CAS-BOI-LA-LIS-P - JAQUETA / CASACO ALFAIATARIA CINZA COM LISTRA BRANCA BOIA - "P" (PC)</t>
  </si>
  <si>
    <t>CAS-BOI-LA-LIS-PP - JAQUETA / CASACO ALFAIATARIA CINZA COM LISTRA BRANCA BOIA - "PP" (PC)</t>
  </si>
  <si>
    <t>CAS-BOI-LA-MAR-06042 - JAQUETA / CASACO ALFAIATARIA BOIA - "REF 06042" - MARROM (PC)</t>
  </si>
  <si>
    <t>CAS-BOI-LA-MAR-G - JAQUETA / CASACO ALFAIATARIA MARROM BOIA - "G" (PC)</t>
  </si>
  <si>
    <t>CAS-BOI-LA-MAR-GG - JAQUETA / CASACO ALFAIATARIA MARROM BOIA - "GG" (PC)</t>
  </si>
  <si>
    <t>CAS-BOI-LA-MAR-M - JAQUETA / CASACO ALFAIATARIA MARROM BOIA - "M" (PC)</t>
  </si>
  <si>
    <t>CAS-BOI-LA-MAR-P - JAQUETA / CASACO ALFAIATARIA MARROM BOIA - "P" (PC)</t>
  </si>
  <si>
    <t>CAS-BOI-LA-MAR-PP - JAQUETA / CASACO ALFAIATARIA MARROM BOIA - "PP" (PC)</t>
  </si>
  <si>
    <t>CHE-MOD-MOD-AZU-M - CHEMISE MODAL AZUL - "M" (PC)</t>
  </si>
  <si>
    <t>CHEMISE</t>
  </si>
  <si>
    <t>CHE-MOD-MOD-VRD-M - CHEMISE MODAL VERDE - "M" (PC)</t>
  </si>
  <si>
    <t>CHE-MOR-ALG-LIS-G - CHEMISE COM MANGA ALGODAO ROSA LISTRADO MORERE - "G" (PC)</t>
  </si>
  <si>
    <t>CHE-MOR-ALG-LIS-M - CHEMISE COM MANGA ALGODAO ROSA LISTRADO MORERE - "M" (PC)</t>
  </si>
  <si>
    <t>CHE-MOR-ALG-LIS-P - CHEMISE COM MANGA ALGODAO ROSA LISTRADO MORERE - "P" (PC)</t>
  </si>
  <si>
    <t>CHE-MOR-LIN-BOR-G - CHEMISE COM MANGA LINHO ROSA BORDADO MORERE - "G" (PC)</t>
  </si>
  <si>
    <t>CHE-MOR-LIN-BOR-P - CHEMISE COM MANGA LINHO ROSA BORDADO MORERE - "P" (PC)</t>
  </si>
  <si>
    <t>CHE-MOR-LIN-BOR-TU - CHEMISE COM MANGA LINHO ROSA BORDADO MORERE - "M" (PC)</t>
  </si>
  <si>
    <t>CHE-MOR-LIN-FIL-TU - CHEMISE COM MANGA LINHO ROSA BORDADO FILTRO DE BARRO MORERE- "TU" (PC)</t>
  </si>
  <si>
    <t>CHE-MOR-LIN-OFF-M - CHEMISE COM MANGA LINHO OFF MORERE - "M" (PC)</t>
  </si>
  <si>
    <t>CHE-MOR-LIN-ROS-TU - CHEMISE COM MANGA LINHO ROSA LISO MORERE - "TU" (PC)</t>
  </si>
  <si>
    <t>CHE-MORSM-LIN-OFF-M - CHEMISE SEM MANGA LINHO OFF MORERE - "M" (PC)</t>
  </si>
  <si>
    <t>CHE-PIM-ALG-AZU-M - CHEMISE COM MANGA ALGODAO AZUL PIMA - "M" (PC)</t>
  </si>
  <si>
    <t>CHI-BIT-COR-OFF-35 - CHINELO BITA DE COURO OFF - "35" (PARES)</t>
  </si>
  <si>
    <t>CALÇADOS</t>
  </si>
  <si>
    <t>CHI-BIT-COR-OFF-36 - CHINELO BITA DE COURO OFF - "36" (PARES)</t>
  </si>
  <si>
    <t>CHI-BIT-COR-OFF-37 - CHINELO BITA DE COURO OFF - "37" (PARES)</t>
  </si>
  <si>
    <t>CHI-BIT-COR-OFF-38 - CHINELO BITA DE COURO OFF - "38" (PARES)</t>
  </si>
  <si>
    <t>CHI-BIT-COR-OFF-39 - CHINELO BITA DE COURO OFF - "39" (PARES)</t>
  </si>
  <si>
    <t>CHI-BIT-COR-OFF-40 - CHINELO BITA DE COURO OFF - "40" (PARES)</t>
  </si>
  <si>
    <t>CHI-BIT-COR-OFF-41 - CHINELO BITA DE COURO OFF - "41" (PARES)</t>
  </si>
  <si>
    <t>CHI-BIT-COR-OFF-42 - CHINELO BITA DE COURO OFF - "42" (PARES)</t>
  </si>
  <si>
    <t>CHI-BIT-COR-OFF-43 - CHINELO BITA DE COURO OFF - "43" (PARES)</t>
  </si>
  <si>
    <t>CHI-BIT-COR-OFF-44 - CHINELO BITA DE COURO OFF - "44" (PARES)</t>
  </si>
  <si>
    <t>CHI-BIT-COR-OFF-PRO - CHINELO BITA DE COURO OFF - "PRODUCAO" (PARES)</t>
  </si>
  <si>
    <t>CHI-BIT-COR-WHI-35 - CHINELO BITA DE COURO WHISKY - "35" (PARES)</t>
  </si>
  <si>
    <t>CHI-BIT-COR-WHI-36 - CHINELO BITA DE COURO WHISKY - "36" (PARES)</t>
  </si>
  <si>
    <t>CHI-BIT-COR-WHI-37 - CHINELO BITA DE COURO WHISKY - "37" (PARES)</t>
  </si>
  <si>
    <t>CHI-BIT-COR-WHI-38 - CHINELO BITA DE COURO WHISKY - "38" (PARES)</t>
  </si>
  <si>
    <t>CHI-BIT-COR-WHI-39 - CHINELO BITA DE COURO WHISKY - "39" (PARES)</t>
  </si>
  <si>
    <t>CHI-BIT-COR-WHI-40 - CHINELO BITA DE COURO WHISKY - "40" (PARES)</t>
  </si>
  <si>
    <t>CHI-BIT-COR-WHI-41 - CHINELO BITA DE COURO WHISKY - "41" (PARES)</t>
  </si>
  <si>
    <t>CHI-BIT-COR-WHI-42 - CHINELO BITA DE COURO WHISKY - "42" (PARES)</t>
  </si>
  <si>
    <t>CHI-BIT-COR-WHI-43 - CHINELO BITA DE COURO WHISKY - "43" (PARES)</t>
  </si>
  <si>
    <t>CHI-BIT-COR-WHI-44 - CHINELO BITA DE COURO WHISKY - "44" (PARES)</t>
  </si>
  <si>
    <t>CHI-MIS-BOR-MAR-35 - CHINELO MISCIANE COM TIRA MARROM - "35/36" (PARES)</t>
  </si>
  <si>
    <t>CHI-MIS-BOR-MAR-37 - CHINELO MISCIANE COM TIRA MARROM - "37/38" (PARES)</t>
  </si>
  <si>
    <t>CHI-MIS-BOR-MAR-39 - CHINELO MISCIANE COM TIRA MARROM - "39/40" (PARES)</t>
  </si>
  <si>
    <t>CHI-MIS-BOR-MAR-41 - CHINELO MISCIANE COM TIRA MARROM - "41/42" (PARES)</t>
  </si>
  <si>
    <t>CHI-MIS-BOR-MAR-43 - CHINELO MISCIANE COM TIRA MARROM - "43/44" (PARES)</t>
  </si>
  <si>
    <t>CHI-MIS-BOR-VRD-35 - CHINELO MISCIANE COM TIRA VERDE- "35/36" (PARES)</t>
  </si>
  <si>
    <t>CHI-MIS-BOR-VRD-37 - CHINELO MISCIANE COM TIRA VERDE- "37/38" (PARES)</t>
  </si>
  <si>
    <t>CHI-MIS-BOR-VRD-39 - CHINELO MISCIANE COM TIRA VERDE- "39/40" (PARES)</t>
  </si>
  <si>
    <t>CHI-MIS-BOR-VRD-41 - CHINELO MISCIANE COM TIRA VERDE- "41/42" (PARES)</t>
  </si>
  <si>
    <t>CHI-MIS-BOR-VRD-43 - CHINELO MISCIANE COM TIRA VERDE- "43/44" (PARES)</t>
  </si>
  <si>
    <t>CMC-ABR-ALG-BRA-G - CAMISA MANGA CURTA BRANCA PONTOS AZUIS AREIA BRANCA - "G" (PC)</t>
  </si>
  <si>
    <t>CAMISA MANGA CURTA</t>
  </si>
  <si>
    <t>CMC-ABR-ALG-BRA-GG - CAMISA MANGA CURTA BRANCA PONTOS AZUIS AREIA BRANCA - "GG" (PC)</t>
  </si>
  <si>
    <t>CMC-ABR-ALG-BRA-M - CAMISA MANGA CURTA BRANCA PONTOS AZUIS AREIA BRANCA - "M" (PC)</t>
  </si>
  <si>
    <t>CMC-ABR-ALG-BRA-P - CAMISA MANGA CURTA BRANCA PONTOS AZUIS AREIA BRANCA - "P" (PC)</t>
  </si>
  <si>
    <t>CMC-ALG-PIA-AZU-G - CAMISA MANGA CURTA ALGODAO PIABA LISTRADA AZUL  - "G" (PC)</t>
  </si>
  <si>
    <t>CMC-ALG-PIA-AZU-GG - CAMISA MANGA CURTA ALGODAO PIABA LISTRADA AZUL  - "GG" (PC)</t>
  </si>
  <si>
    <t>CMC-ALG-PIA-AZU-M - CAMISA MANGA CURTA ALGODAO PIABA LISTRADA AZUL  - "M" (PC)</t>
  </si>
  <si>
    <t>CMC-ALG-PIA-AZU-P - CAMISA MANGA CURTA ALGODAO PIABA LISTRADA AZUL  - "P" (PC)</t>
  </si>
  <si>
    <t>CMC-ALG-PIA-AZU-PP - CAMISA MANGA CURTA ALGODAO PIABA LISTRADA AZUL  - "PP" (PC)</t>
  </si>
  <si>
    <t>CMC-ALG-PIA-VRM-G - CAMISA MANGA CURTA ALGODAO PIABA LISTRADA VERMELHA  - "G" (PC)</t>
  </si>
  <si>
    <t>CMC-ALG-PIA-VRM-GG - CAMISA MANGA CURTA ALGODAO PIABA LISTRADA VERMELHA  - "GG" (PC)</t>
  </si>
  <si>
    <t>CMC-ALG-PIA-VRM-M - CAMISA MANGA CURTA ALGODAO PIABA LISTRADA VERMELHA  - "M" (PC)</t>
  </si>
  <si>
    <t>CMC-ALG-PIA-VRM-P - CAMISA MANGA CURTA ALGODAO PIABA LISTRADA VERMELHA  - "P" (PC)</t>
  </si>
  <si>
    <t>CMC-ALG-PIA-VRM-PP - CAMISA MANGA CURTA ALGODAO PIABA LISTRADA VERMELHA  - "PP" (PC)</t>
  </si>
  <si>
    <t>CMC-ALG-SED-ROS-P - CAMISA MANGA CURTA ALGA ORGANZA 100% SEDA ROSA - "M" (PC)</t>
  </si>
  <si>
    <t>CMC-ALG-SED-VRD-M - CAMISA MANGA CURTA ALGA ORGANZA 100% SEDA VERDE - "M" (PC)</t>
  </si>
  <si>
    <t>CMC-AMP-MOD-AZU-G - CAMISA MANGA CURTA AMPLA AZUL - 100%  MODAL - "G" (PC)</t>
  </si>
  <si>
    <t>CMC-AMP-MOD-AZU-GG - CAMISA MANGA CURTA AMPLA AZUL - 100%  MODAL - "GG" (PC)</t>
  </si>
  <si>
    <t>CMC-AMP-MOD-AZU-M - CAMISA MANGA CURTA AMPLA AZUL - 100%  MODAL - "M" (PC)</t>
  </si>
  <si>
    <t>CMC-AMP-MOD-AZU-P - CAMISA MANGA CURTA AMPLA AZUL - 100%  MODAL - "P" (PC)</t>
  </si>
  <si>
    <t>CMC-AMP-MOD-AZU-PP - CAMISA MANGA CURTA AMPLA AZUL - 100%  MODAL - "PP" (PC)</t>
  </si>
  <si>
    <t>CMC-AMP-MOD-BRA-G - CAMISA MANGA CURTA AMPLA BRANCO- 100%  MODAL - "G" (PC)</t>
  </si>
  <si>
    <t>CMC-AMP-MOD-BRA-GG - CAMISA MANGA CURTA AMPLA BRANCO- 100%  MODAL - "GG" (PC)</t>
  </si>
  <si>
    <t>CMC-AMP-MOD-BRA-M - CAMISA MANGA CURTA AMPLA BRANCO- 100%  MODAL - "M" (PC)</t>
  </si>
  <si>
    <t>CMC-AMP-MOD-BRA-P - CAMISA MANGA CURTA AMPLA BRANCO- 100%  MODAL - "P" (PC)</t>
  </si>
  <si>
    <t>CMC-AMP-MOD-BRA-PP - CAMISA MANGA CURTA AMPLA BRANCO- 100%  MODAL - "PP" (PC)</t>
  </si>
  <si>
    <t>CMC-ARE-ALG-BEG-G - CAMISA MANGA CURTA BEGE AREIA - "G" (PC)</t>
  </si>
  <si>
    <t>CMC-ATA-CRO-AMA-TU - CAMISA MANGA CURTA CROCHE LISTRADA AMARELA ATAFONA -  "TU" (PC)</t>
  </si>
  <si>
    <t>CMC-BAR-ALG-AZU-G - CAMISA MANGA CURTA ALGODAO LISTRADO AZUL BARAUNA - "G" (PC)</t>
  </si>
  <si>
    <t>CMC-BAR-ALG-AZU-GG - CAMISA MANGA CURTA ALGODAO LISTRADO AZUL BARAUNA - "GG" (PC)</t>
  </si>
  <si>
    <t>CMC-BAR-ALG-AZU-M - CAMISA MANGA CURTA ALGODAO LISTRADO AZUL BARAUNA - "M" (PC)</t>
  </si>
  <si>
    <t>CMC-BAR-ALG-AZU-P - CAMISA MANGA CURTA ALGODAO LISTRADO AZUL BARAUNA - "P" (PC)</t>
  </si>
  <si>
    <t>CMC-BIC-MAL-AZM-G - CAMISA MANGA CURTA BICOLOR AZUL/MARROM - "G" (PC)</t>
  </si>
  <si>
    <t>CMC-BIC-MAL-AZM-GG - CAMISA MANGA CURTA BICOLOR AZUL/MARROM - "GG" (PC)</t>
  </si>
  <si>
    <t>CMC-BIC-MAL-AZM-M - CAMISA MANGA CURTA BICOLOR AZUL/MARROM - "M" (PC)</t>
  </si>
  <si>
    <t>CMC-BIC-MAL-AZM-P - CAMISA MANGA CURTA BICOLOR AZUL/MARROM - "P" (PC)</t>
  </si>
  <si>
    <t>CMC-BIC-MAL-AZM-PP - CAMISA MANGA CURTA BICOLOR AZUL/MARROM - "PP" (PC)</t>
  </si>
  <si>
    <t>CMC-BIC-MAL-MAZ-G - CAMISA MANGA CURTA BICOLOR MARROM/AZUL - "G" (PC)</t>
  </si>
  <si>
    <t>CMC-BIC-MAL-MAZ-GG - CAMISA MANGA CURTA BICOLOR MARROM/AZUL - "GG" (PC)</t>
  </si>
  <si>
    <t>CMC-BIC-MAL-MAZ-M - CAMISA MANGA CURTA BICOLOR MARROM/AZUL - "M" (PC)</t>
  </si>
  <si>
    <t>CMC-BIC-MAL-MAZ-P - CAMISA MANGA CURTA BICOLOR MARROM/AZUL - "P" (PC)</t>
  </si>
  <si>
    <t>CMC-BIC-MAL-MAZ-PIL - CAMISA MANGA CURTA BICOLOR MARROM/AZUL - "PILOTO" (PC)</t>
  </si>
  <si>
    <t>CMC-BIC-MAL-MAZ-PP - CAMISA MANGA CURTA BICOLOR MARROM/AZUL - "PP" (PC)</t>
  </si>
  <si>
    <t>CMC-CAD-LIN-CIN-TU - CAMISA MANGA CURTA LINHO CINZA CADEIRUDA - "TU" (PC)</t>
  </si>
  <si>
    <t>CMC-CAD-LIN-MAR-M - CAMISA MANGA CURTA MARROM CADEIRA DE PRAIA - "M" (PC)</t>
  </si>
  <si>
    <t>CMC-CAD-LIN-VRD-G - CAMISA MANGA CURTA VERDE CADEIRA DE PRAIA - "G" (PC)</t>
  </si>
  <si>
    <t>CMC-CAD-LIN-VRD-M - CAMISA MANGA CURTA VERDE CADEIRA DE PRAIA - "M" (PC)</t>
  </si>
  <si>
    <t>CMC-CAN-ALG-BEG-G - CAMISA MANGA CURTA NATURAL LISTRA BEGE CANOA QUEBRADA - "G" (PC)</t>
  </si>
  <si>
    <t>CMC-CAN-ALG-BEG-GG - CAMISA MANGA CURTA NATURAL LISTRA BEGE CANOA QUEBRADA - "GG" (PC)</t>
  </si>
  <si>
    <t>CMC-CAN-ALG-BEG-M - CAMISA MANGA CURTA NATURAL LISTRA BEGE CANOA QUEBRADA - "M" (PC)</t>
  </si>
  <si>
    <t>CMC-CAN-ALG-BEG-P - CAMISA MANGA CURTA NATURAL LISTRA BEGE CANOA QUEBRADA - "P" (PC)</t>
  </si>
  <si>
    <t>CMC-CAN-CAN-CIN-G - CAMISA MANGA CURTA CINZA BORDADA CANHAMO - "G" (PC)</t>
  </si>
  <si>
    <t>CMC-CAN-CAN-CIN-M - CAMISA MANGA CURTA CINZA BORDADA CANHAMO - "M" (PC)</t>
  </si>
  <si>
    <t>CMC-CAN-CAN-CIN-P - CAMISA MANGA CURTA CINZA BORDADA CANHAMO - "P" (PC)</t>
  </si>
  <si>
    <t>CMC-CAR-ALG-XAD-G - CAMISA MANGA CURTA XADREZ CARUARU - "G" (PC)</t>
  </si>
  <si>
    <t>CMC-CAR-ALG-XAD-GG - CAMISA MANGA CURTA XADREZ CARUARU - "GG" (PC)</t>
  </si>
  <si>
    <t>CMC-CAR-ALG-XAD-M - CAMISA MANGA CURTA XADREZ CARUARU - "M" (PC)</t>
  </si>
  <si>
    <t>CMC-CAR-ALG-XAD-P - CAMISA MANGA CURTA XADREZ CARUARU - "P" (PC)</t>
  </si>
  <si>
    <t>CMC-CHI-ALG-AMA-G - CAMISA MANGA CURTA MISCI ALGODAO LISTRADA AMARELA CHICO  "G" (PC)</t>
  </si>
  <si>
    <t>CMC-CHI-ALG-AMA-GG - CAMISA MANGA CURTA MISCI ALGODAO LISTRADA AMARELA CHICO  "GG" (PC)</t>
  </si>
  <si>
    <t>CMC-CHI-ALG-AMA-M - CAMISA MANGA CURTA MISCI ALGODAO LISTRADA AMARELA CHICO  "M" (PC)</t>
  </si>
  <si>
    <t>CMC-CHI-ALG-AMA-P - CAMISA MANGA CURTA MISCI ALGODAO LISTRADA AMARELA CHICO  "P" (PC)</t>
  </si>
  <si>
    <t>CMC-CHI-ALG-AZU-G - CAMISA MANGA CURTA MISCI ALGODAO AZUL CLARO CHICO -  "G" (PC)</t>
  </si>
  <si>
    <t>CMC-CHI-ALG-AZU-GG - CAMISA MANGA CURTA MISCI ALGODAO AZUL CLARO CHICO -  "GG" (PC)</t>
  </si>
  <si>
    <t>CMC-CHI-ALG-AZU-M - CAMISA MANGA CURTA MISCI ALGODAO AZUL CLARO CHICO -  "M" (PC)</t>
  </si>
  <si>
    <t>CMC-CHI-ALG-AZU-P - CAMISA MANGA CURTA MISCI ALGODAO AZUL CLARO CHICO -  "P" (PC)</t>
  </si>
  <si>
    <t>CMC-CHI-ALG-CHU-G - CAMISA MANGA CURTA MISCI ALGODAO CHUMBO CHICO -  "G" (PC)</t>
  </si>
  <si>
    <t>CMC-CHI-ALG-CHU-GG - CAMISA MANGA CURTA MISCI ALGODAO CHUMBO CHICO -  "GG" (PC)</t>
  </si>
  <si>
    <t>CMC-CHI-ALG-CHU-M - CAMISA MANGA CURTA MISCI ALGODAO CHUMBO CHICO -  "M" (PC)</t>
  </si>
  <si>
    <t>CMC-CHI-ALG-CHU-P - CAMISA MANGA CURTA MISCI ALGODAO CHUMBO CHICO -  "P" (PC)</t>
  </si>
  <si>
    <t>CMC-CHI-ALG-VRD-G - CAMISA MANGA CURTA MISCI ALGODAO LISTRADA VERDE CHICO "G" (PC)</t>
  </si>
  <si>
    <t>CMC-CHI-ALG-VRD-GG - CAMISA MANGA CURTA MISCI ALGODAO LISTRADA VERDE CHICO "GG" (PC)</t>
  </si>
  <si>
    <t>CMC-CHI-ALG-VRD-M - CAMISA MANGA CURTA MISCI ALGODAO LISTRADA VERDE CHICO "M" (PC)</t>
  </si>
  <si>
    <t>CMC-CHI-ALG-VRD-P - CAMISA MANGA CURTA MISCI ALGODAO LISTRADA VERDE CHICO "P" (PC)</t>
  </si>
  <si>
    <t>CMC-CHI-ALG-VRM-G - CAMISA MANGA CURTA MISCI ALGODAO VERMELHA CHICO -  "G" (PC)</t>
  </si>
  <si>
    <t>CMC-CHI-ALG-VRM-GG - CAMISA MANGA CURTA MISCI ALGODAO VERMELHA CHICO -  "GG" (PC)</t>
  </si>
  <si>
    <t>CMC-CHI-ALG-VRM-M - CAMISA MANGA CURTA MISCI ALGODAO VERMELHA CHICO -  "M" (PC)</t>
  </si>
  <si>
    <t>CMC-CHI-ALG-VRM-P - CAMISA MANGA CURTA MISCI ALGODAO VERMELHA CHICO -  "P" (PC)</t>
  </si>
  <si>
    <t>CMC-CIN--LIN-LIN-M - CAMISA MANGA CURTA CINZA LINHO - "M" (PC)</t>
  </si>
  <si>
    <t>CMC-DAN-SED-ROS-TU - CAMISA MANGA CURTA ORGANZA SEDA DANI ROSA - "TU" (PC)</t>
  </si>
  <si>
    <t>CMC-DED-ALG-LIS-G - CAMISA MANGA CURTA LISTRADADA COLORIDA DEDE - "G" (PC)</t>
  </si>
  <si>
    <t>CMC-DED-ALG-LIS-GG - CAMISA MANGA CURTA LISTRADADA COLORIDA DEDE - "GG" (PC)</t>
  </si>
  <si>
    <t>CMC-DED-ALG-LIS-M - CAMISA MANGA CURTA LISTRADADA COLORIDA DEDE - "M" (PC)</t>
  </si>
  <si>
    <t>CMC-DED-ALG-LIS-P - CAMISA MANGA CURTA LISTRADADA COLORIDA DEDE - "P" (PC)</t>
  </si>
  <si>
    <t>CMC-FCH-ALG-VRD-M - CAMISA MANGA CURTA MENTA BORDADA FACHADA - "M" (PC)</t>
  </si>
  <si>
    <t>CMC-FCH-ALG-VRM-G - CAMISA MANGA CURTA CONHAQUE BORDADA FACHADA - "G" (PC)</t>
  </si>
  <si>
    <t>CMC-FEM-JAC-ALG-CAP-PIL - CAMISA MANGA CURTA FEMININA - JAQUARD ALGODAO - NOIS CAPOTA MAS NAO BRECA - "PILOTO" (PC)</t>
  </si>
  <si>
    <t>CMC-FIL-ALG-AZU-G - CAMISA MANGA CURTA ALGODAO FILTRO DE BARRO FUNDO AZUL - "G" (PC)</t>
  </si>
  <si>
    <t>CMC-FIL-ALG-AZU-GG - CAMISA MANGA CURTA ALGODAO FILTRO DE BARRO FUNDO AZUL - "GG" (PC)</t>
  </si>
  <si>
    <t>CMC-FIL-ALG-AZU-M - CAMISA MANGA CURTA ALGODAO FILTRO DE BARRO FUNDO AZUL - "M" (PC)</t>
  </si>
  <si>
    <t>CMC-FIL-ALG-AZU-P - CAMISA MANGA CURTA ALGODAO FILTRO DE BARRO FUNDO AZUL - "P" (PC)</t>
  </si>
  <si>
    <t>CMC-FIL-ALG-AZU-PP - CAMISA MANGA CURTA ALGODAO FILTRO DE BARRO FUNDO AZUL - "PP" (PC)</t>
  </si>
  <si>
    <t>CMC-FIL-ALG-EST-G - CAMISA MANGA CURTA ALGODAO FILTRO DE BARRO - "G" (PC)</t>
  </si>
  <si>
    <t>CMC-FIL-ALG-EST-GG - CAMISA MANGA CURTA ALGODAO FILTRO DE BARRO - "GG" (PC)</t>
  </si>
  <si>
    <t>CMC-FIL-ALG-EST-M - CAMISA MANGA CURTA ALGODAO FILTRO DE BARRO - "M" (PC)</t>
  </si>
  <si>
    <t>CMC-FIL-ALG-EST-P - CAMISA MANGA CURTA ALGODAO FILTRO DE BARRO - "P" (PC)</t>
  </si>
  <si>
    <t>CMC-FIL-ALG-EST-PP - CAMISA MANGA CURTA ALGODAO FILTRO DE BARRO - "PP" (PC)</t>
  </si>
  <si>
    <t>CMC-HT-LIN-CIN-M - CAMISA MANGA CURTA PURO LINHO LADY CINZA  HT - "M" (PC)</t>
  </si>
  <si>
    <t>CMC-JAC-ALG-CAP-G - CAMISA MANGA CURTA JACQUARD ALGODAO NOIS CAPOTA MAS NAO BRECA - "G" (PC)</t>
  </si>
  <si>
    <t>CMC-JAC-ALG-CAP-GG - CAMISA MANGA CURTA JACQUARD ALGODAO NOIS CAPOTA MAS NAO BRECA - "GG" (PC)</t>
  </si>
  <si>
    <t>CMC-JAC-ALG-CAP-M - CAMISA MANGA CURTA JACQUARD ALGODAO NOIS CAPOTA MAS NAO BRECA - "M" (PC)</t>
  </si>
  <si>
    <t>CMC-JAC-ALG-CAP-P - CAMISA MANGA CURTA JACQUARD ALGODAO NOIS CAPOTA MAS NAO BRECA - "P" (PC)</t>
  </si>
  <si>
    <t>CMC-JAC-ALG-CAP-PP - CAMISA MANGA CURTA JACQUARD ALGODAO NOIS CAPOTA MAS NAO BRECA - "PP" (PC)</t>
  </si>
  <si>
    <t>CMC-JAC-ALG-EPI-G - CAMISA MANGA CURTA JACQUARD ALGODAO EXISTO PORQUE INSISTO - "G" (PC)</t>
  </si>
  <si>
    <t>CMC-JAC-ALG-EPI-GG - CAMISA MANGA CURTA JACQUARD ALGODAO EXISTO PORQUE INSISTO - "GG" (PC)</t>
  </si>
  <si>
    <t>CMC-JAC-ALG-EPI-M - CAMISA MANGA CURTA JACQUARD ALGODAO EXISTO PORQUE INSISTO - "M" (PC)</t>
  </si>
  <si>
    <t>CMC-JAC-ALG-EPI-P - CAMISA MANGA CURTA JACQUARD ALGODAO EXISTO PORQUE INSISTO - "P" (PC)</t>
  </si>
  <si>
    <t>CMC-JAC-ALG-EPI-PP - CAMISA MANGA CURTA JACQUARD ALGODAO EXISTO PORQUE INSISTO - "PP" (PC)</t>
  </si>
  <si>
    <t>CMC-JEG-VIC-AZU-G - CAMISA MANGA CURTA VISCOSE LISTRADA AZUL JEGUE - "G" (PC)</t>
  </si>
  <si>
    <t>CMC-JEG-VIC-AZU-M - CAMISA MANGA CURTA VISCOSE LISTRADA AZUL JEGUE - "M" (PC)</t>
  </si>
  <si>
    <t>CMC-JEG-VIC-AZU-P - CAMISA MANGA CURTA VISCOSE LISTRADA AZUL JEGUE - "P" (PC)</t>
  </si>
  <si>
    <t>CMC-JUA-LIN-MAR-G - CAMISA MANGA CURTA MISCI LISTRADA MARROM  JUAZEIRO - "G" (PC)</t>
  </si>
  <si>
    <t>CMC-JUA-LIN-MAR-GG - CAMISA MANGA CURTA MISCI LISTRADA MARROM  JUAZEIRO - "GG" (PC)</t>
  </si>
  <si>
    <t>CMC-JUA-LIN-MAR-M - CAMISA MANGA CURTA MISCI LISTRADA MARROM  JUAZEIRO - "M" (PC)</t>
  </si>
  <si>
    <t>CMC-JUA-LIN-MAR-P - CAMISA MANGA CURTA MISCI LISTRADA MARROM  JUAZEIRO - "P" (PC)</t>
  </si>
  <si>
    <t>CMC-LAV-SED-VRM-G - CAMISA MANGA CURTA SEDA VERMELHO LAVA - "G" (PC)</t>
  </si>
  <si>
    <t>CMC-LAV-SED-VRM-GG - CAMISA MANGA CURTA SEDA VERMELHO LAVA - "GG" (PC)</t>
  </si>
  <si>
    <t>CMC-LAV-SED-VRM-M - CAMISA MANGA CURTA SEDA VERMELHO LAVA - "M" (PC)</t>
  </si>
  <si>
    <t>CMC-LAV-SED-VRM-P - CAMISA MANGA CURTA SEDA VERMELHO LAVA - "P" (PC)</t>
  </si>
  <si>
    <t>CMC-LIN-ALG-AZU-G - CAMISA MANGA CURTA ALGODAO AZUL LINO - "G" (PC)</t>
  </si>
  <si>
    <t>CMC-LIN-ALG-AZU-GG - CAMISA MANGA CURTA ALGODAO AZUL LINO - "GG" (PC)</t>
  </si>
  <si>
    <t>CMC-LIN-ALG-AZU-M - CAMISA MANGA CURTA ALGODAO AZUL LINO - "M" (PC)</t>
  </si>
  <si>
    <t>CMC-LIN-ALG-AZU-P - CAMISA MANGA CURTA ALGODAO AZUL LINO - "P" (PC)</t>
  </si>
  <si>
    <t>CMC-LIN-ALG-AZU-PP - CAMISA MANGA CURTA ALGODAO AZUL LINO - "PP" (PC)</t>
  </si>
  <si>
    <t>CMC-LIN-ALG-BEG-G - CAMISA MANGA CURTA ALGODAO BEGE LINO - "G" (PC)</t>
  </si>
  <si>
    <t>CMC-LIN-ALG-BEG-GG - CAMISA MANGA CURTA ALGODAO BEGE LINO - "GG" (PC)</t>
  </si>
  <si>
    <t>CMC-LIN-ALG-BEG-M - CAMISA MANGA CURTA ALGODAO BEGE LINO - "M" (PC)</t>
  </si>
  <si>
    <t>CMC-LIN-ALG-BEG-P - CAMISA MANGA CURTA ALGODAO BEGE LINO - "P" (PC)</t>
  </si>
  <si>
    <t>CMC-LIN-ALG-BEG-PP - CAMISA MANGA CURTA ALGODAO BEGE LINO - "PP (PC)</t>
  </si>
  <si>
    <t>CMC-LIN-ALG-COL-G - CAMISA MANGA CURTA ALGODAO LISTRADA COLORIDO LINO - "G" (PC)</t>
  </si>
  <si>
    <t>CMC-LIN-ALG-COL-GG - CAMISA MANGA CURTA ALGODAO LISTRADA COLORIDO LINO - "GG" (PC)</t>
  </si>
  <si>
    <t>CMC-LIN-ALG-COL-M - CAMISA MANGA CURTA ALGODAO LISTRADA COLORIDO LINO - "M" (PC)</t>
  </si>
  <si>
    <t>CMC-LIN-ALG-COL-P - CAMISA MANGA CURTA ALGODAO LISTRADA COLORIDO LINO - "P" (PC)</t>
  </si>
  <si>
    <t>CMC-LIN-ALG-MAR-G - CAMISA MANGA CURTA ALGODAO MARROM TERRACOTA LINO - "G" (PC)</t>
  </si>
  <si>
    <t>CMC-LIN-ALG-MAR-GG - CAMISA MANGA CURTA ALGODAO MARROM TERRACOTA LINO - "GG" (PC)</t>
  </si>
  <si>
    <t>CMC-LIN-ALG-MAR-M - CAMISA MANGA CURTA ALGODAO MARROM TERRACOTA LINO- "M" (PC)</t>
  </si>
  <si>
    <t>CMC-LIN-ALG-MAR-P - CAMISA MANGA CURTA ALGODAO MARROM TERRACOTA LINO - "P" (PC)</t>
  </si>
  <si>
    <t>CMC-LIN-ALG-VRD-P - CAMISA MANGA CURTA ALGODAO VERDE MILITAR LINO - "P" (PC)</t>
  </si>
  <si>
    <t>CMC-LIN-VRD-PILOTO - CAMISA MANGA CURTA LISA LINHO VERDE - "PILOTO" (PC)</t>
  </si>
  <si>
    <t>CMC-LIS-ALG-CIN-G - CAMISA MANGA CURTA ALGODAO LISTRADA CINZA LIS - "G" (PC)</t>
  </si>
  <si>
    <t>CMC-LIS-ALG-CIN-GG - CAMISA MANGA CURTA ALGODAO LISTRADA CINZA LIS - "GG" (PC)</t>
  </si>
  <si>
    <t>CMC-LIS-ALG-CIN-M - CAMISA MANGA CURTA ALGODAO LISTRADA CINZA LIS - "M" (PC)</t>
  </si>
  <si>
    <t>CMC-LIS-ALG-CIN-P - CAMISA MANGA CURTA ALGODAO LISTRADA CINZA LIS - "P" (PC)</t>
  </si>
  <si>
    <t>CMC-MOD-MOD-AZU-G - CAMISA MANGA CURTA AZUL MODAL - "G" (PC)</t>
  </si>
  <si>
    <t>CMC-MOD-MOD-AZU-GG - CAMISA MANGA CURTA AZUL MODAL - "GG" (PC)</t>
  </si>
  <si>
    <t>CMC-MOD-MOD-AZU-M - CAMISA MANGA CURTA AZUL MODAL - "M" (PC)</t>
  </si>
  <si>
    <t>CMC-MOD-MOD-AZU-P - CAMISA MANGA CURTA AZUL MODAL - "P" (PC)</t>
  </si>
  <si>
    <t>CMC-MOD-MOD-AZU-PP - CAMISA MANGA CURTA AZUL MODAL - "PP" (PC)</t>
  </si>
  <si>
    <t>CMC-MOD-MOD-VRD-G - CAMISA MANGA CURTA VERDE MODAL - "G" (PC)</t>
  </si>
  <si>
    <t>CMC-MOD-MOD-VRD-M - CAMISA MANGA CURTA VERDE MODAL - "M" (PC)</t>
  </si>
  <si>
    <t>CMC-MOD-MOD-VRD-P - CAMISA MANGA CURTA VERDE MODAL - "P" (PC)</t>
  </si>
  <si>
    <t>CMC-MON-MAL-VRD-G - CAMISA MANGA CURTA MONOCOLOR VERDE - "G" (PC)</t>
  </si>
  <si>
    <t>CMC-MON-MAL-VRD-GG - CAMISA MANGA CURTA MONOCOLOR VERDE - "GG" (PC)</t>
  </si>
  <si>
    <t>CMC-MON-MAL-VRD-M - CAMISA MANGA CURTA MONOCOLOR VERDE - "M" (PC)</t>
  </si>
  <si>
    <t>CMC-MON-MAL-VRD-P - CAMISA MANGA CURTA MONOCOLOR VERDE - "P" (PC)</t>
  </si>
  <si>
    <t>CMC-MON-MAL-VRD-PP - CAMISA MANGA CURTA MONOCOLOR VERDE - "PP" (PC)</t>
  </si>
  <si>
    <t>CMC-MOQ-ALG-AZU-G - CAMISA MANGA CURTA - MOQUECA - AZUL INDIGO - "G" (PC)</t>
  </si>
  <si>
    <t>CMC-MOQ-ALG-AZU-GG - CAMISA MANGA CURTA - MOQUECA - AZUL INDIGO - "GG" (PC)</t>
  </si>
  <si>
    <t>CMC-MOQ-ALG-AZU-M - CAMISA MANGA CURTA - MOQUECA - AZUL INDIGO - "M" (PC)</t>
  </si>
  <si>
    <t>CMC-MOQ-ALG-AZU-P - CAMISA MANGA CURTA - MOQUECA - AZUL INDIGO - "P" (PC)</t>
  </si>
  <si>
    <t>CMC-MOQ-ALG-AZU-PP - CAMISA MANGA CURTA - MOQUECA - AZUL INDIGO - "PP" (PC)</t>
  </si>
  <si>
    <t>CMC-MOQ-ALG-CRU-M - CAMISA MANGA CURTA MOQUECA DIJANELA  - "TU (M)" (PC)</t>
  </si>
  <si>
    <t>CMC-MOQ-ALG-LAR-G - CAMISA MANGA CURTA - MOQUECA - LARANJA QUEIMADO - "G" (PC)</t>
  </si>
  <si>
    <t>CMC-MOQ-ALG-LAR-GG - CAMISA MANGA CURTA - MOQUECA - LARANJA QUEIMADO - "GG" (PC)</t>
  </si>
  <si>
    <t>CMC-MOQ-ALG-LAR-M - CAMISA MANGA CURTA - MOQUECA - LARANJA QUEIMADO - "M" (PC)</t>
  </si>
  <si>
    <t>CMC-MOQ-ALG-LAR-P - CAMISA MANGA CURTA - MOQUECA - LARANJA QUEIMADO - "P" (PC)</t>
  </si>
  <si>
    <t>CMC-MOQ-ALG-LAR-PP - CAMISA MANGA CURTA - MOQUECA - LARANJA QUEIMADO - "PP" (PC)</t>
  </si>
  <si>
    <t>CMC-PAR-ALG-VRD-G - CAMISA MANGA CURTA LISTRADA VERDE PARAIBA - "G" (PC)</t>
  </si>
  <si>
    <t>CMC-PAR-ALG-VRD-GG - CAMISA MANGA CURTA LISTRADA VERDE PARAIBA - "GG" (PC)</t>
  </si>
  <si>
    <t>CMC-PAR-ALG-VRD-M - CAMISA MANGA CURTA LISTRADA VERDE PARAIBA - "M" (PC)</t>
  </si>
  <si>
    <t>CMC-PAR-ALG-VRD-P - CAMISA MANGA CURTA LISTRADA VERDE PARAIBA - "P" (PC)</t>
  </si>
  <si>
    <t>CMC-PAR-ALG-VRD-PP - CAMISA MANGA CURTA LISTRADA VERDE PARAIBA - "PP" (PC)</t>
  </si>
  <si>
    <t>CMC-PAR-LIN-OFF-G - CAMISA MANGA CURTA MISCI OFF PARDAL - "G" (PC)</t>
  </si>
  <si>
    <t>CMC-PAR-LIN-OFF-GG - CAMISA MANGA CURTA MISCI OFF PARDAL - "GG" (PC)</t>
  </si>
  <si>
    <t>CMC-PAR-LIN-OFF-M - CAMISA MANGA CURTA MISCI OFF PARDAL - "M" (PC)</t>
  </si>
  <si>
    <t>CMC-PAR-LIN-OFF-P - CAMISA MANGA CURTA MISCI OFF PARDAL - "P" (PC)</t>
  </si>
  <si>
    <t>CMC-PRA-ALG-VRD-G - CAMISA MANGA CURTA LISTRADA VERDE PRAINHA - "G" (PC)</t>
  </si>
  <si>
    <t>CMC-PRA-ALG-VRD-M - CAMISA MANGA CURTA LISTRADA VERDE PRAINHA - "M" (PC)</t>
  </si>
  <si>
    <t>CMC-PRA-ALG-VRD-P - CAMISA MANGA CURTA LISTRADA VERDE PRAINHA - "P" (PC)</t>
  </si>
  <si>
    <t>CMC-PRE-SED-OFF-M - CAMISA MANGA CURTA CETIM DE SEDA ESTAMPADA PRECIADO - "M" (PC)</t>
  </si>
  <si>
    <t>CAMISA MANGA LONGA</t>
  </si>
  <si>
    <t>CMC-REG-LIN-OFF-G - CAMISA MANGA CURTA LINHO OFF PONTO PICADO REGINALDO - "G" (PC)</t>
  </si>
  <si>
    <t>CMC-REG-LIN-OFF-GG - CAMISA MANGA CURTA LINHO OFF PONTO PICADO REGINALDO - "GG" (PC)</t>
  </si>
  <si>
    <t>CMC-REG-LIN-OFF-M - CAMISA MANGA CURTA LINHO OFF PONTO PICADO REGINALDO - "M" (PC)</t>
  </si>
  <si>
    <t>CMC-REG-LIN-OFF-P - CAMISA MANGA CURTA LINHO OFF PONTO PICADO REGINALDO - "P" (PC)</t>
  </si>
  <si>
    <t>CMC-REG-LIN-PER-G - CAMISA MANGA CURTA LINHO PEROLA PONTO PICADO REGINALDO - "G" (PC)</t>
  </si>
  <si>
    <t>CMC-REG-LIN-PER-GG - CAMISA MANGA CURTA LINHO PEROLA PONTO PICADO REGINALDO - "GG" (PC)</t>
  </si>
  <si>
    <t>CMC-REG-LIN-PER-M - CAMISA MANGA CURTA LINHO PEROLA PONTO PICADO REGINALDO - "M" (PC)</t>
  </si>
  <si>
    <t>CMC-REG-LIN-PER-P - CAMISA MANGA CURTA LINHO PEROLA PONTO PICADO REGINALDO - "P" (PC)</t>
  </si>
  <si>
    <t>CMC-REG-LIN-TEL-P - CAMISA MANGA CURTA LINHO TELHA PONTO PICADO REGINALDO - "M" (PC)</t>
  </si>
  <si>
    <t>CMC-ROB-ALG-LIS-G - CAMISA MANGA CURTA LISTRADA AZUL ALGODAO ROBERTINHO - "G" (PC)</t>
  </si>
  <si>
    <t>CMC-ROB-ALG-LIS-GG - CAMISA MANGA CURTA LISTRADA AZUL ALGODAO ROBERTINHO - "GG" (PC)</t>
  </si>
  <si>
    <t>CMC-ROB-ALG-LIS-M - CAMISA MANGA CURTA LISTRADA AZUL ALGODAO ROBERTINHO - "M" (PC)</t>
  </si>
  <si>
    <t>CMC-ROB-ALG-LIS-P - CAMISA MANGA CURTA LISTRADA AZUL ALGODAO ROBERTINHO - "P" (PC)</t>
  </si>
  <si>
    <t>CMC-SED-SED-AMA-G - CAMISA MANGA CURTA SEDA MOSTARDA  - "G" (PC)</t>
  </si>
  <si>
    <t>CMC-SED-SED-AMA-GG - CAMISA MANGA CURTA SEDA MOSTARDA  - "GG" (PC)</t>
  </si>
  <si>
    <t>CMC-SED-SED-AMA-M - CAMISA MANGA CURTA SEDA MOSTARDA  - "M" (PC)</t>
  </si>
  <si>
    <t>CMC-SED-SED-AMA-P - CAMISA MANGA CURTA SEDA MOSTARDA  - "P" (PC)</t>
  </si>
  <si>
    <t>CMC-SER-VIS-BRA-G - CAMISA MANGA CURTA VISCOSE BRANCA PONTOS VERMELHOS SERRA DO MEL - "G" (PC)</t>
  </si>
  <si>
    <t>CMC-SER-VIS-BRA-GG - CAMISA MANGA CURTA VISCOSE BRANCA PONTOS VERMELHOS SERRA DO MEL - "GG" (PC)</t>
  </si>
  <si>
    <t>CMC-SER-VIS-BRA-M - CAMISA MANGA CURTA VISCOSE BRANCA PONTOS VERMELHOS SERRA DO MEL - "M" (PC)</t>
  </si>
  <si>
    <t>CMC-SER-VIS-BRA-P - CAMISA MANGA CURTA VISCOSE BRANCA PONTOS VERMELHOS SERRA DO MEL - "P" (PC)</t>
  </si>
  <si>
    <t>CMC-VIS-VIS-OFF-G - CAMISA MANGA CURTA OFF VISCOSE - "G" (PC)</t>
  </si>
  <si>
    <t>CMC-VIS-VIS-OFF-M - CAMISA MANGA CURTA OFF VISCOSE - "M" (PC)</t>
  </si>
  <si>
    <t>CMC-VIS-VIS-OFF-P - CAMISA MANGA CURTA OFF VISCOSE - "P" (PC)</t>
  </si>
  <si>
    <t>CMl-JUA-ALG-BEG-G - CAMISA MANGA LONGA BEGE JUARA- "G" (PC)</t>
  </si>
  <si>
    <t>CMl-JUA-ALG-BEG-GG - CAMISA MANGA LONGA BEGE JUARA- "GG" (PC)</t>
  </si>
  <si>
    <t>CMl-JUA-ALG-BEG-M - CAMISA MANGA LONGA BEGE JUARA- "M" (PC)</t>
  </si>
  <si>
    <t>CMl-JUA-ALG-BEG-P - CAMISA MANGA LONGA BEGE JUARA- "P" (PC)</t>
  </si>
  <si>
    <t>CML-ALI-SED-ROS-G - CAMISA MANGA LONGA SEDA ROSA PORCELANA ALICE - "G" (PC)</t>
  </si>
  <si>
    <t>CML-ALI-SED-ROS-GG - CAMISA MANGA LONGA SEDA ROSA PORCELANA ALICE - "GG" (PC)</t>
  </si>
  <si>
    <t>CML-ALI-SED-ROS-M - CAMISA MANGA LONGA SEDA ROSA PORCELANA ALICE - "M" (PC)</t>
  </si>
  <si>
    <t>CML-ALI-SED-ROS-P - CAMISA MANGA LONGA SEDA ROSA PORCELANA ALICE - "P" (PC)</t>
  </si>
  <si>
    <t>CML-ALI-SED-ROS-PP - CAMISA MANGA LONGA SEDA ROSA PORCELANA ALICE - "PP" (PC)</t>
  </si>
  <si>
    <t>CML-ALI-SED-ROS-X - CAMISA MANGA LONGA SEDA ROSA PORCELANA ALICE - PILOTO (PC)</t>
  </si>
  <si>
    <t>CML-ALI-SED-VRD-G - CAMISA MANGA LONGA SEDA VERDE ESCURO ALICE - "G" (PC)</t>
  </si>
  <si>
    <t>CML-ALI-SED-VRD-GG - CAMISA MANGA LONGA SEDA VERDE ESCURO ALICE - "GG" (PC)</t>
  </si>
  <si>
    <t>CML-ALI-SED-VRD-M - CAMISA MANGA LONGA SEDA VERDE ESCURO ALICE - "M" (PC)</t>
  </si>
  <si>
    <t>CML-ALI-SED-VRD-P - CAMISA MANGA LONGA SEDA VERDE ESCURO ALICE - "P" (PC)</t>
  </si>
  <si>
    <t>CML-ALI-SED-VRD-PIL - CAMISA MANGA LONGA SEDA VERDE ESCURO ALICE - "PILOTO" (PC)</t>
  </si>
  <si>
    <t>CML-ALI-SED-VRD-PP - CAMISA MANGA LONGA SEDA VERDE ESCURO ALICE - "PP" (PC)</t>
  </si>
  <si>
    <t>CML-ARI-ALG-ING-G - CAMISA JEANS INDIGO ARI - "G" (PC)</t>
  </si>
  <si>
    <t>CML-ARI-ALG-ING-GG - CAMISA JEANS INDIGO ARI - "GG" (PC)</t>
  </si>
  <si>
    <t>CML-ARI-ALG-ING-M - CAMISA JEANS INDIGO ARI - "M" (PC)</t>
  </si>
  <si>
    <t>CML-ARI-ALG-ING-P - CAMISA JEANS INDIGO ARI - "P" (PC)</t>
  </si>
  <si>
    <t>CML-CLP-MOD-VRD-M - CAMISA MANGA LONGA MISCI COM LAPELA VERDE MODAL - "M" (PC)</t>
  </si>
  <si>
    <t>CML-JEG-VIS-AZU-G - CAMISA MANGA LONGA VISCOSE LISTRADA AZUL JEGUE - "G" (PC)</t>
  </si>
  <si>
    <t>CML-JEG-VIS-AZU-M - CAMISA MANGA LONGA VISCOSE LISTRADA AZUL JEGUE - "M" (PC)</t>
  </si>
  <si>
    <t>CML-JEG-VIS-AZU-P - CAMISA MANGA LONGA VISCOSE LISTRADA AZUL JEGUE - "P" (PC)</t>
  </si>
  <si>
    <t>CML-LIN-OFF-MOR-M - CAMISA MANGA LONGA  LINHO OFF MORERE  - M (PC)</t>
  </si>
  <si>
    <t>CML-MOB-LIN-OFF-G - CAMISA MANGA LONGA BORDADA LINHO OFF MORERE  - G (PC)</t>
  </si>
  <si>
    <t>CML-MOB-LIN-OFF-M - CAMISA MANGA LONGA BORDADA LINHO OFF MORERE  - M (PC)</t>
  </si>
  <si>
    <t>CML-MOB-LIN-OFF-P - CAMISA MANGA LONGA BORDADA LINHO OFF MORERE  - "P" (PC)</t>
  </si>
  <si>
    <t>CML-PRE-ALG-AZU-G - CAMISA MANGA LONGA COM PREGAS AZUL PRELA - "G" (PC)</t>
  </si>
  <si>
    <t>CML-PRE-ALG-AZU-M - CAMISA MANGA LONGA COM PREGAS AZUL PRELA - "M" (PC)</t>
  </si>
  <si>
    <t>CML-PRE-ALG-AZU-P - CAMISA MANGA LONGA COM PREGAS AZUL PRELA - "P" (PC)</t>
  </si>
  <si>
    <t>CML-PRE-ALG-PRE-G - CAMISA MANGA LONGA COM PREGAS PRETA PRELA - "G" (PC)</t>
  </si>
  <si>
    <t>CML-PRE-ALG-PRE-GG - CAMISA MANGA LONGA COM PREGAS PRETA PRELA - "GG" (PC)</t>
  </si>
  <si>
    <t>CML-PRE-ALG-PRE-M - CAMISA MANGA LONGA COM PREGAS PRETA PRELA - "M" (PC)</t>
  </si>
  <si>
    <t>CML-PRE-ALG-PRE-P - CAMISA MANGA LONGA COM PREGAS PRETA PRELA - "P" (PC)</t>
  </si>
  <si>
    <t>CML-PRE-ALG-VRD-G - CAMISA MANGA LONGA COM PREGAS VERDE PRELA - "G" (PC)</t>
  </si>
  <si>
    <t>CML-PRE-ALG-VRD-GG - CAMISA MANGA LONGA COM PREGAS VERDE PRELA - "GG" (PC)</t>
  </si>
  <si>
    <t>CML-PRE-ALG-VRD-M - CAMISA MANGA LONGA COM PREGAS VERDE PRELA - "M" (PC)</t>
  </si>
  <si>
    <t>CML-PRE-ALG-VRD-P - CAMISA MANGA LONGA COM PREGAS VERDE PRELA - "P" (PC)</t>
  </si>
  <si>
    <t>CML-PRE-SED-OFF-M - CAMISA MANGA LONGA SEDA ESTAMPADA PRECIADO - "M" (PC)</t>
  </si>
  <si>
    <t>CML-PUB-ALG-AZB-G - CAMISA MANGA LONGA MISCI LISTRADA AZUL/BRANCO PUBI - "G" (PC)</t>
  </si>
  <si>
    <t>CML-PUB-ALG-AZB-GG - CAMISA MANGA LONGA MISCI LISTRADA AZUL/BRANCO PUBI - "GG" (PC)</t>
  </si>
  <si>
    <t>CML-PUB-ALG-AZB-M - CAMISA MANGA LONGA MISCI LISTRADA AZUL/BRANCO PUBI - "M" (PC)</t>
  </si>
  <si>
    <t>CML-PUB-ALG-AZB-P - CAMISA MANGA LONGA MISCI LISTRADA AZUL/BRANCO PUBI - "P" (PC)</t>
  </si>
  <si>
    <t>CML-PUB-ALG-AZU-G - CAMISA MANGA LONGA MISCI AZUL DANUBIO GOLA BRANCA PUBI - "G" (PC)</t>
  </si>
  <si>
    <t>CML-PUB-ALG-AZU-GG - CAMISA MANGA LONGA MISCI AZUL DANUBIO GOLA BRANCA PUBI - "GG" (PC)</t>
  </si>
  <si>
    <t>CML-PUB-ALG-AZU-M - CAMISA MANGA LONGA MISCI AZUL DANUBIO GOLA BRANCA PUBI - "M" (PC)</t>
  </si>
  <si>
    <t>CML-PUB-ALG-AZU-P - CAMISA MANGA LONGA MISCI AZUL DANUBIO GOLA BRANCA PUBI - "P" (PC)</t>
  </si>
  <si>
    <t>CML-PUB-ALG-QUA-G - CAMISA MANGA LONGA MISCI PESPONTO QUADRICULADA VERMELHO PUBI - "G" (PC)</t>
  </si>
  <si>
    <t>CML-PUB-ALG-QUA-GG - CAMISA MANGA LONGA MISCI PESPONTO QUADRICULADA VERMELHO PUBI- "GG" (PC)</t>
  </si>
  <si>
    <t>CML-PUB-ALG-QUA-M - CAMISA MANGA LONGA MISCI PESPONTO QUADRICULADA VERMELHO PUBI - "M" (PC)</t>
  </si>
  <si>
    <t>CML-PUB-ALG-QUA-P - CAMISA MANGA LONGA MISCI PESPONTO QUADRICULADA VERMELHO PUBI - "P" (PC)</t>
  </si>
  <si>
    <t>CML-PUB-ALG-VPB-G - CAMISA MANGA LONGA LISTRADA VRM/PRE/BCO PUBI - "G" (PC)</t>
  </si>
  <si>
    <t>CML-PUB-ALG-VPB-GG - CAMISA MANGA LONGA LISTRADA VRM/PRE/BCO PUBI - "GG" (PC)</t>
  </si>
  <si>
    <t>CML-PUB-ALG-VPB-M - CAMISA MANGA LONGA LISTRADA VRM/PRE/BCO PUBI - "M" (PC)</t>
  </si>
  <si>
    <t>CML-PUB-ALG-VPB-P - CAMISA MANGA LONGA LISTRADA VRM/PRE/BCO PUBI - "P" (PC)</t>
  </si>
  <si>
    <t>CML-PUB-ALG-VRB-G - CAMISA MANGA LONGA LISTRADA PESPONTO VRM/BCO PUBI- "G" (PC)</t>
  </si>
  <si>
    <t>CML-PUB-ALG-VRB-GG - CAMISA MANGA LONGA LISTRADA PESPONTO VRM/BCO PUBI- "GG" (PC)</t>
  </si>
  <si>
    <t>CML-PUB-ALG-VRB-M - CAMISA MANGA LONGA LISTRADA PESPONTO VRM/BCO PUBI- "M" (PC)</t>
  </si>
  <si>
    <t>CML-PUB-ALG-VRB-P - CAMISA MANGA LONGA LISTRADA PESPONTO VRM/BCO PUBI- "P" (PC)</t>
  </si>
  <si>
    <t>CML-SLP-MOD-VRD-M - CAMISA MANGA LONGA MISCI SEM LAPELA VERDE MODAL - "M" (PC)</t>
  </si>
  <si>
    <t>CMR-51-ALG-CIN-G - CAMISETA REGATA ALGODAO CINZA 51 - "G" (PC)</t>
  </si>
  <si>
    <t>CMR-51-ALG-CIN-GG - CAMISETA REGATA ALGODAO CINZA 51 - "GG" (PC)</t>
  </si>
  <si>
    <t>CMR-51-ALG-CIN-M - CAMISETA REGATA ALGODAO CINZA 51 -  "M " (PC)</t>
  </si>
  <si>
    <t>CMR-51-ALG-CIN-P - CAMISETA REGATA ALGODAO CINZA 51 - "P" (PC)</t>
  </si>
  <si>
    <t>CMR-51-ALG-VRD-G - CAMISETA REGATA ALGODAO VERDE  51 - "G" (PC)</t>
  </si>
  <si>
    <t>CMR-51-ALG-VRD-GG - CAMISETA REGATA ALGODAO VERDE  51 - "GG" (PC)</t>
  </si>
  <si>
    <t>CMR-51-ALG-VRD-M - CAMISETA REGATA ALGODAO VERDE  51 - "M" (PC)</t>
  </si>
  <si>
    <t>CMR-51-ALG-VRD-P - CAMISETA REGATA ALGODAO VERDE  51 - "P" (PC)</t>
  </si>
  <si>
    <t>CMR-51-LIN-OFF-G - CAMISETA REGATA ALGODAO TELADO OFF 51 - "G" (PC)</t>
  </si>
  <si>
    <t>CMR-51-LIN-OFF-GG - CAMISETA REGATA ALGODAO TELADO OFF 51 - "GG" (PC)</t>
  </si>
  <si>
    <t>CMR-51-LIN-OFF-M - CAMISETA REGATA ALGODAO TELADO OFF 51 - "M" (PC)</t>
  </si>
  <si>
    <t>CMR-51-LIN-OFF-P - CAMISETA REGATA ALGODAO TELADO OFF 51 - "P" (PC)</t>
  </si>
  <si>
    <t>COL-BLZ-PAS-M - BLAZER ALFAIATARIA PAULA SCAVAZZINI - "M" (PC)</t>
  </si>
  <si>
    <t>COL-D20-ALG-AZU-G - COLETE D-20 AZUL- "G" (PC)</t>
  </si>
  <si>
    <t>COL-D20-ALG-AZU-GG - COLETE D-20 AZUL- "GG" (PC)</t>
  </si>
  <si>
    <t>COL-D20-ALG-AZU-M - COLETE D-20 AZUL- "M" (PC)</t>
  </si>
  <si>
    <t>COL-D20-ALG-AZU-P - COLETE D-20 AZUL- "P" (PC)</t>
  </si>
  <si>
    <t>COL-D20-ALG-AZU-PIL - COLETE D-20 AZUL- "PILOTO" (PC)</t>
  </si>
  <si>
    <t>COL-D20-ALG-AZU-PP - COLETE D-20 AZUL- "PP" (PC)</t>
  </si>
  <si>
    <t>COL-D20-ALG-AZU-XG - COLETE D-20 AZUL- "XG" (PC)</t>
  </si>
  <si>
    <t>COL-D20-ALG-BEG-G - COLETE D-20 BEGE - "G" (PC)</t>
  </si>
  <si>
    <t>COL-D20-ALG-BEG-GG - COLETE D-20 BEGE - "GG" (PC)</t>
  </si>
  <si>
    <t>COL-D20-ALG-BEG-M - COLETE D-20 BEGE - "M" (PC)</t>
  </si>
  <si>
    <t>COL-D20-ALG-BEG-P - COLETE D-20 BEGE - "P" (PC)</t>
  </si>
  <si>
    <t>COL-D20-ALG-BEG-PIL - COLETE D-20 BEGE - "PILOTO" (PC)</t>
  </si>
  <si>
    <t>COL-D20-ALG-BEG-PP - COLETE D-20 BEGE - "PP" (PC)</t>
  </si>
  <si>
    <t>COL-D20-ALG-BEG-XG - COLETE D-20 BEGE - "XG" (PC)</t>
  </si>
  <si>
    <t>COL-D20-ALG-EPI-G - COLETE D-20 - EXISTO PORQUE INSISTO - "G" (PC)</t>
  </si>
  <si>
    <t>COL-D20-ALG-EPI-GG - COLETE D-20 - EXISTO PORQUE INSISTO - "GG" (PC)</t>
  </si>
  <si>
    <t>COL-D20-ALG-EPI-M - COLETE D-20 - EXISTO PORQUE INSISTO - "M" (PC)</t>
  </si>
  <si>
    <t>COL-D20-ALG-EPI-P - COLETE D-20 - EXISTO PORQUE INSISTO - "P" (PC)</t>
  </si>
  <si>
    <t>COL-D20-ALG-EPI-PP - COLETE D-20 - EXISTO PORQUE INSISTO - "PP" (PC)</t>
  </si>
  <si>
    <t>COL-D20-ALG-EPI-XG - COLETE D-20 - EXISTO PORQUE INSISTO - "XG" (PC)</t>
  </si>
  <si>
    <t>Luiza Caldari + Misci</t>
  </si>
  <si>
    <t>DUS-MAI-POL-OFF-G - DUST BAG MAINHAS OFF GRANDE - "G" (PC)</t>
  </si>
  <si>
    <t>DUS-MAI-POL-OFF-M - DUST BAG MAINHAS OFF MEDIA  "M¿ (PC)</t>
  </si>
  <si>
    <t>DUS-MAI-POL-OFF-P - DUST BAG MAINHAS OFF PEQUENA - "P" (PC)</t>
  </si>
  <si>
    <t>DUS-MAI-POL-VRM-G - DUST BAG MAINHAS VERMELHA GRANDE - "G" (PC)</t>
  </si>
  <si>
    <t>DUS-MAI-POL-VRM-P - DUST BAG MAINHAS VERMELHA PEQUENA - "P" (PC)</t>
  </si>
  <si>
    <t>EI6021-64 - 52821/2 - FERRAGENS - ENFEITE INJETADO #NIQUEL B C/VZ - EI6021-64 - BOTAO LARERAL (UN)</t>
  </si>
  <si>
    <t>EI6021-64 - 52821/814 - FERRAGENS - ENFEITE INJETADO #OURO MILANO B C/VZ - EI6021-64 - BOTAO PRESSAO (UN)</t>
  </si>
  <si>
    <t>ET001 - ETIQUETA - bordada premium na cor 1901 - 40 x 65mm fundo Silk Damask Premiun sem dobras - Haco Etiquetas Ltda. (UN)</t>
  </si>
  <si>
    <t>haco</t>
  </si>
  <si>
    <t>ET002 - ETIQUETA  - GRADE - PP/ S -  4 X 2 MM - HACO (UN)</t>
  </si>
  <si>
    <t>ET003 - ETIQUETA  - GRADE - P/ S -  4 X 2 MM - HACO (UN)</t>
  </si>
  <si>
    <t>ET004 - ETIQUETA  - GRADE - M / M -  4 X 2 MM - HACO (UN)</t>
  </si>
  <si>
    <t>ET005 - ETIQUETA  - GRADE - G / L -  4 X 2 MM - HACO (UN)</t>
  </si>
  <si>
    <t>ET006 - ETIQUETA  - GRADE - GG / XL -  4 X 2 MM - HACO (UN)</t>
  </si>
  <si>
    <t>ET007 - ETIQUETA  - GRADE - 36 -  4 X 2 MM - HACO (UN)</t>
  </si>
  <si>
    <t>ET008 - ETIQUETA  - GRADE - 38 -  4 X 2 MM - HACO (UN)</t>
  </si>
  <si>
    <t>ET009 - ETIQUETA  - GRADE - 40 -  4 X 2 MM - HACO (UN)</t>
  </si>
  <si>
    <t>ET010 - ETIQUETA  - GRADE - 42 -  4 X 2 MM - HACO (UN)</t>
  </si>
  <si>
    <t>ET011 - ETIQUETA  - GRADE - 44 -  4 X 2 MM - HACO (UN)</t>
  </si>
  <si>
    <t>ET012 - ETIQUETA  - GRADE - 46 -  4 X 2 MM - HACO (UN)</t>
  </si>
  <si>
    <t>ETI-TAG-PAP-SIL-B - TAG - Etiqueta de roupa em papel corta e silk - bege (UN)</t>
  </si>
  <si>
    <t>ETI-TAG-PAP-SIL-P - TAG - Etiqueta de roupa em papel corta e silk - preto (UN)</t>
  </si>
  <si>
    <t>FER-ZIP-YKK-MAR - ZIPER YKK 15CM MARINHO (UN)</t>
  </si>
  <si>
    <t>FT8086156 - CX. PAP.OND.REF.:01 963x998x (PC)</t>
  </si>
  <si>
    <t>JAQ-ALG-CRU-PRA-M - JAQUETA CRU PRATIGI - "M" (PC)</t>
  </si>
  <si>
    <t>JAQ-ELL-MOD-AZU-M - JAQUETA AZUL ELLE - "M" (PC)</t>
  </si>
  <si>
    <t>JAQ-ELL-MOD-OFF-M - JAQUETA OFF ELLE - "M" (PC)</t>
  </si>
  <si>
    <t>JAQ-ELL-MOD-VRD-M - JAQUETA VERDE ELLE - "M" (PC)</t>
  </si>
  <si>
    <t>JAQ-ING-COT-MAS-G - JAQUETA MASCAVO INGA - "G" (PC)</t>
  </si>
  <si>
    <t>JAQ-ING-COT-MAS-GG - JAQUETA MASCAVO INGA - "GG" (PC)</t>
  </si>
  <si>
    <t>JAQ-ING-COT-MAS-M - JAQUETA MASCAVO INGA - "M" (PC)</t>
  </si>
  <si>
    <t>JAQ-ING-COT-MAS-P - JAQUETA MASCAVO INGA - "P" (PC)</t>
  </si>
  <si>
    <t>JAQ-ING-COT-OLI-G - JAQUETA OLIVA INGA - "G" (PC)</t>
  </si>
  <si>
    <t>JAQ-ING-COT-OLI-GG - JAQUETA OLIVA INGA - "GG" (PC)</t>
  </si>
  <si>
    <t>JAQ-ING-COT-OLI-M - JAQUETA OLIVA INGA - "M" (PC)</t>
  </si>
  <si>
    <t>JAQ-ING-COT-OLI-P - JAQUETA OLIVA INGA - "P" (PC)</t>
  </si>
  <si>
    <t>JAQ-MI-CET-BEG-G - JAQUETA ALFAIATARIA BEGE MI - "G" (PC)</t>
  </si>
  <si>
    <t>JAQ-MI-CET-BEG-GG - JAQUETA ALFAIATARIA BEGE MI - "GG" (PC)</t>
  </si>
  <si>
    <t>JAQ-MI-CET-BEG-M - JAQUETA ALFAIATARIA BEGE MI - "M" (PC)</t>
  </si>
  <si>
    <t>JAQ-MI-CET-BEG-P - JAQUETA ALFAIATARIA BEGE MI - "P" (PC)</t>
  </si>
  <si>
    <t>JAQ-MI-CET-VRD-G - JAQUETA ALFAIATARIA VERDE MI - "G" (PC)</t>
  </si>
  <si>
    <t>JAQ-MI-CET-VRD-GG - JAQUETA ALFAIATARIA VERDE MI - "GG" (PC)</t>
  </si>
  <si>
    <t>JAQ-MI-CET-VRD-M - JAQUETA ALFAIATARIA VERDE MI - "M" (PC)</t>
  </si>
  <si>
    <t>JAQ-MI-CET-VRD-P - JAQUETA ALFAIATARIA VERDE MI - "P" (PC)</t>
  </si>
  <si>
    <t>LIV-BRA-FEL-COL-TU - LIVRO INFATIL BRASILIDADES MISCI (UN)</t>
  </si>
  <si>
    <t>MAI-MIS-POE-CER-G - MAIO MISCI + ESC - CERAMICA - "G" (PC)</t>
  </si>
  <si>
    <t>MAI-MIS-POE-CER-GG - MAIO MISCI + ESC - CERAMICA - "GG" (PC)</t>
  </si>
  <si>
    <t>MAI-MIS-POE-CER-M - MAIO MISCI + ESC - CERAMICA - "M" (PC)</t>
  </si>
  <si>
    <t>MAI-MIS-POE-CER-P - MAIO MISCI + ESC - CERAMICA - "P" (PC)</t>
  </si>
  <si>
    <t>MCH-PIP-COU-PRE-TU - MOCHILA COURO PRETO PIPA - "TU" (PC)</t>
  </si>
  <si>
    <t>MEI-MIS-ALG-COL-TU - MEIAS LISTRADA COLORIDA COM LOGO MISCI - PAR -"TU (37-42)" (PARES)</t>
  </si>
  <si>
    <t>MEI-MIS-ALG-VRM-TU - MEIAS VERMELHA E MARROM COM LOGO MISCI - PAR -"TU (37-42)" (PARES)</t>
  </si>
  <si>
    <t>MOL-ELL-RAD-OFF-G - MOLETOM OFF ELLE - "G" (PC)</t>
  </si>
  <si>
    <t>MOL-ELL-RAD-OFF-M - MOLETOM OFF ELLE - "M" (PC)</t>
  </si>
  <si>
    <t>MOL-ELL-RAD-OFF-P - MOLETOM OFF ELLE - "P" (PC)</t>
  </si>
  <si>
    <t>MOL-LOG-ALG-PRE-G - MOLETOM LOGO MISCI PRETO - "G" (PC)</t>
  </si>
  <si>
    <t>MOL-LOG-ALG-PRE-M - MOLETOM LOGO MISCI PRETO - "M" (PC)</t>
  </si>
  <si>
    <t>MOL-LOG-ALG-PRE-P - MOLETOM LOGO MISCI PRETO - "P" (PC)</t>
  </si>
  <si>
    <t>MOL-MIN-ALG-AZU-G - MOLETOM MINHOCAO AZUL - "G" (PC)</t>
  </si>
  <si>
    <t>MOL-MIN-ALG-AZU-GG - MOLETOM MINHOCAO AZUL - "GG" (PC)</t>
  </si>
  <si>
    <t>MOL-MIN-ALG-AZU-M - MOLETOM MINHOCAO AZUL - "M" (PC)</t>
  </si>
  <si>
    <t>MOL-MIN-ALG-AZU-P - MOLETOM MINHOCAO AZUL - "P" (PC)</t>
  </si>
  <si>
    <t>MOL-MIN-ALG-AZU-PP - MOLETOM MINHOCAO AZUL - "PP" (PC)</t>
  </si>
  <si>
    <t>MOL-MIN-ALG-OFF-G - MOLETOM MINHOCAO OFF - "G" (PC)</t>
  </si>
  <si>
    <t>MOL-MIN-ALG-OFF-GG - MOLETOM MINHOCAO OFF - "GG" (PC)</t>
  </si>
  <si>
    <t>MOL-MIN-ALG-OFF-M - MOLETOM MINHOCAO OFF - "M" (PC)</t>
  </si>
  <si>
    <t>MOL-MIN-ALG-OFF-P - MOLETOM MINHOCAO OFF - "P" (PC)</t>
  </si>
  <si>
    <t>MOL-MIN-ALG-OFF-PP - MOLETOM MINHOCAO OFF - "PP" (PC)</t>
  </si>
  <si>
    <t>MOL-MIN-ALG-VRD-G - MOLETOM MINHOCAO VERDE - "G" (PC)</t>
  </si>
  <si>
    <t>MOL-MIN-ALG-VRD-GG - MOLETOM MINHOCAO VERDE - "GG" (PC)</t>
  </si>
  <si>
    <t>MOL-MIN-ALG-VRD-M - MOLETOM MINHOCAO VERDE - "M" (PC)</t>
  </si>
  <si>
    <t>MOL-MIN-ALG-VRD-P - MOLETOM MINHOCAO VERDE - "P" (PC)</t>
  </si>
  <si>
    <t>MOL-MIN-ALG-VRD-PP - MOLETOM MINHOCAO VERDE - "PP" (PC)</t>
  </si>
  <si>
    <t>OCU-VEN-ACET-PRE-TU - OCULOS BOLEIA X VENTURURA - PRETO - TAM UNICO (PC)</t>
  </si>
  <si>
    <t>OCU-VEN-ACET-TAB-TU - OCULOS BOLEIA X VENTURURA - TARTUGA BICOLOR - TAM UNICO (PC)</t>
  </si>
  <si>
    <t>OCU-VEN-ACET-TAM-TU - OCULOS BOLEIA X VENTURURA - TARTUGA MARROM - TAM UNICO (PC)</t>
  </si>
  <si>
    <t>PAN-MIS-POE-PRE-U - PANNEOUX PRECIADO MISCI + ESC - U (PC)</t>
  </si>
  <si>
    <t>PER-BOT-250 - PERFUME DE AMBIENTE MISCI 250 ml - O BOTO (UN)</t>
  </si>
  <si>
    <t>POL-POL-TRI-AZU-M - POLO TRICOT - "M" (PC)</t>
  </si>
  <si>
    <t>POL-TRI-VIS-AZU-G - POLO CANELADA VISCOSE AZUL TRICOT - "G" (PC)</t>
  </si>
  <si>
    <t>POLOS</t>
  </si>
  <si>
    <t>POL-TRI-VIS-AZU-GG - POLO CANELADA VISCOSE AZUL TRICOT - "GG" (PC)</t>
  </si>
  <si>
    <t>POL-TRI-VIS-AZU-M - POLO CANELADA VISCOSE AZUL TRICOT - "M" (PC)</t>
  </si>
  <si>
    <t>POL-TRI-VIS-AZU-P - POLO CANELADA VISCOSE AZUL TRICOT - "P" (PC)</t>
  </si>
  <si>
    <t>POL-TRI-VIS-CER-G - POLO CANELADA VISCOSE CERAMICA TRICOT - "G" (PC)</t>
  </si>
  <si>
    <t>POL-TRI-VIS-CER-GG - POLO CANELADA VISCOSE CERAMICA TRICOT - "GG" (PC)</t>
  </si>
  <si>
    <t>POL-TRI-VIS-CER-M - POLO CANELADA VISCOSE CERAMICA TRICOT - "M" (PC)</t>
  </si>
  <si>
    <t>POL-TRI-VIS-CER-P - POLO CANELADA VISCOSE CERAMICA TRICOT - "P" (PC)</t>
  </si>
  <si>
    <t>POL-TRI-VIS-OFF-G - POLO CANELADA VISCOSE OFF TRICOT - "G" (PC)</t>
  </si>
  <si>
    <t>POL-TRI-VIS-OFF-GG - POLO CANELADA VISCOSE OFF TRICOT - "GG" (PC)</t>
  </si>
  <si>
    <t>POL-TRI-VIS-OFF-M - POLO CANELADA VISCOSE OFF TRICOT - "M" (PC)</t>
  </si>
  <si>
    <t>POL-TRI-VIS-OFF-P - POLO CANELADA VISCOSE OFF TRICOT - "P" (PC)</t>
  </si>
  <si>
    <t>POL-TRI-VIS-PRE-G - POLO CANELADA VISCOSE PRETO TRICOT - "G" (PC)</t>
  </si>
  <si>
    <t>POL-TRI-VIS-PRE-GG - POLO CANELADA VISCOSE PRETO TRICOT - "GG" (PC)</t>
  </si>
  <si>
    <t>POL-TRI-VIS-PRE-M - POLO CANELADA VISCOSE PRETO TRICOT - "M" (PC)</t>
  </si>
  <si>
    <t>POL-TRI-VIS-PRE-P - POLO CANELADA VISCOSE PRETO TRICOT - "P" (PC)</t>
  </si>
  <si>
    <t>POL-TRI-VIS-VRD-G - POLO CANELADA VISCOSE VERDE MILITAR TRICOT - "G" (PC)</t>
  </si>
  <si>
    <t>POL-TRI-VIS-VRD-GG - POLO CANELADA VISCOSE VERDE MILITAR TRICOT - "GG" (PC)</t>
  </si>
  <si>
    <t>POL-TRI-VIS-VRD-M - POLO CANELADA VISCOSE VERDE MILITAR TRICOT - "M" (PC)</t>
  </si>
  <si>
    <t>POL-TRI-VIS-VRD-P - POLO CANELADA VISCOSE VERDE MILITAR TRICOT - "P" (PC)</t>
  </si>
  <si>
    <t>PRD00002 - ZIPER (UN)</t>
  </si>
  <si>
    <t>PRD00008 - TECIDO PARAMOUNT - AZUL CLARO (MT)</t>
  </si>
  <si>
    <t>PRD00010 - TAMANCO PALHA NATURAL WHISKY CARRIOLA - "38" - PRODUCAO" (PARES)</t>
  </si>
  <si>
    <t>ESCRITORIO</t>
  </si>
  <si>
    <t>PRD00012 - PLACA RATAN 1M X 1,20 LARGURA - COR CREME (PC)</t>
  </si>
  <si>
    <t>CATAGUASES</t>
  </si>
  <si>
    <t>R329897 - TECIDO CATAGUASES - CHAMBRAY CALANDRADO - TECIDO ALGODAO-TAFETA TF0157 - 100% ALGODAO - BEGE / AMARELO LISO (M)</t>
  </si>
  <si>
    <t>R363323 - TECIDO CATAGUASES - BIARRITZ AMACIADO - ALGODAO-TAFETA - TF034011 - 100% ALGODAO - AZUL CLARO COM LISTRAS BRANCAS (M)</t>
  </si>
  <si>
    <t>R363325 - TECIDO CATAGUASES - BIARRITZ AMACIADO - TECIDO ALGODAO-TAFETA - TF034011 - PEROLA COM LISTRAS BRANCAS (M)</t>
  </si>
  <si>
    <t>RAS-CHI-COR-WHI-35 - RASTEIRA COURO WHISKY CHINELAO - "35" (PARES)</t>
  </si>
  <si>
    <t>RAS-CHI-COR-WHI-36 - RASTEIRA COURO WHISKY CHINELAO - "36" (PARES)</t>
  </si>
  <si>
    <t>RAS-CHI-COR-WHI-37 - RASTEIRA COURO WHISKY CHINELAO - "37" (PARES)</t>
  </si>
  <si>
    <t>RAS-CHI-COR-WHI-38 - RASTEIRA COURO WHISKY CHINELAO - "38" (PARES)</t>
  </si>
  <si>
    <t>RAS-CHI-COR-WHI-39 - RASTEIRA COURO WHISKY CHINELAO - "39" (PARES)</t>
  </si>
  <si>
    <t>RAS-CHI-COR-WHI-40 - RASTEIRA COURO WHISKY CHINELAO - "40" (PARES)</t>
  </si>
  <si>
    <t>RAS-CHI-COR-WHI-41 - RASTEIRA COURO WHISKY CHINELAO - "41" (PARES)</t>
  </si>
  <si>
    <t>RAS-CHI-COR-WHI-42 - RASTEIRA COURO WHISKY CHINELAO - "42" (PARES)</t>
  </si>
  <si>
    <t>RAS-CHI-COR-WHI-43 - RASTEIRA COURO WHISKY CHINELAO - "43" (PARES)</t>
  </si>
  <si>
    <t>RAS-CHI-COR-WHI-44 - RASTEIRA COURO WHISKY CHINELAO - "44" (PARES)</t>
  </si>
  <si>
    <t>REG-CAS-SED-PCU - REGATAO CASULO SEDA - "PECA UNICA" (PC)</t>
  </si>
  <si>
    <t>SAI-ELL-MPE-OFF-G - SAIA ELLE OFF - "G" (PC)</t>
  </si>
  <si>
    <t>SAIA</t>
  </si>
  <si>
    <t>SAI-ELL-MPE-OFF-M - SAIA ELLE OFF - "M" (PC)</t>
  </si>
  <si>
    <t>SAI-ELL-MPE-OFF-P - SAIA ELLE OFF - "P" (PC)</t>
  </si>
  <si>
    <t>SAI-ELL-MPE-OFF-PP - SAIA ELLE OFF - "PP" (PC)</t>
  </si>
  <si>
    <t>SAI-ELL-MPE-PRE-G - SAIA ELLE PRETA - "G" (PC)</t>
  </si>
  <si>
    <t>SAI-ELL-MPE-PRE-M - SAIA ELLE PRETA - "M" (PC)</t>
  </si>
  <si>
    <t>SAI-ELL-MPE-PRE-P - SAIA ELLE PRETA - "P" (PC)</t>
  </si>
  <si>
    <t>SAI-ELL-MPE-PRE-PP - SAIA ELLE PRETA - "PP" (PC)</t>
  </si>
  <si>
    <t>SAI-FEN-PAN-BEG-PIL - SAIA FENDA PANTU CHAMPAGNE -   "PILOTO" (PC)</t>
  </si>
  <si>
    <t>SAI-FEN-PAN-CHA-G - SAIA FENDA PANTU CHAMPAGNE - "G" (PC)</t>
  </si>
  <si>
    <t>SAI-FEN-PAN-CHA-M - SAIA FENDA PANTU CHAMPAGNE - "M" (PC)</t>
  </si>
  <si>
    <t>SAI-FEN-PAN-CHA-P - SAIA FENDA PANTU CHAMPAGNE - "P" (PC)</t>
  </si>
  <si>
    <t>SAI-FEN-PAN-CHA-PP - SAIA FENDA PANTU CHAMPAGNE - "PP" (PC)</t>
  </si>
  <si>
    <t>SAI-FEN-PAN-MAR-G - SAIA FENDA PANTU MARROM - "G" (PC)</t>
  </si>
  <si>
    <t>SAI-FEN-PAN-MAR-M - SAIA FENDA PANTU MARROM - "M" (PC)</t>
  </si>
  <si>
    <t>SAI-FEN-PAN-MAR-P - SAIA FENDA PANTU MARROM - "P" (PC)</t>
  </si>
  <si>
    <t>SAI-FEN-PAN-MAR-PP - SAIA FENDA PANTU MARROM - "PP" (PC)</t>
  </si>
  <si>
    <t>SAI-JAC-ALG-CAP-PIL - SAIA JACQUARD NOIS CAPOTA MAS NAO BRECA - "PILOTO" (PC)</t>
  </si>
  <si>
    <t>SAI-MAF-ALG-BEG-TU - SAIA BEGE MAFE - TU (PC)</t>
  </si>
  <si>
    <t>VESTIDO</t>
  </si>
  <si>
    <t>SAN-JES-COR-WHI-34 - SANDALIA DE COURO JESUS WHISKY - "34" (PARES)</t>
  </si>
  <si>
    <t>SAN-JES-COR-WHI-35 - SANDALIA DE COURO JESUS WHISKY - "35" (PARES)</t>
  </si>
  <si>
    <t>SAN-JES-COR-WHI-36 - SANDALIA DE COURO JESUS WHISKY - "36" (PARES)</t>
  </si>
  <si>
    <t>SAN-JES-COR-WHI-37 - SANDALIA DE COURO JESUS WHISKY - "37" (PARES)</t>
  </si>
  <si>
    <t>SAN-JES-COR-WHI-38 - SANDALIA DE COURO JESUS WHISKY - "38" (PARES)</t>
  </si>
  <si>
    <t>SAN-JES-COR-WHI-39 - SANDALIA DE COURO JESUS WHISKY - "39" (PARES)</t>
  </si>
  <si>
    <t>SAN-JES-COR-WHI-40 - SANDALIA DE COURO JESUS WHISKY - "40" (PARES)</t>
  </si>
  <si>
    <t>SAN-JES-COR-WHI-41 - SANDALIA DE COURO JESUS WHISKY - "41" (PARES)</t>
  </si>
  <si>
    <t>SAN-JES-COR-WHI-42 - SANDALIA DE COURO JESUS WHISKY - "42" (PARES)</t>
  </si>
  <si>
    <t>SAN-JES-COR-WHI-43 - SANDALIA DE COURO JESUS WHISKY - "43" (PARES)</t>
  </si>
  <si>
    <t>SAN-JES-COR-WHI-44 - SANDALIA DE COURO JESUS WHISKY - "44" (PARES)</t>
  </si>
  <si>
    <t>SAN-JES-COR-WHI-PRO - SANDALIA DE COURO JESUS WHISKY - "PRODUCAO" (PARES)</t>
  </si>
  <si>
    <t>SAN-ROA-LHA-SED-CRE - SANDALIA BAROA PALHA DE SEDA CREME - "PRODUCAO" (PARES)</t>
  </si>
  <si>
    <t>SAP-MI-COR-WHI-35 - SAPATO MULE MISCI COURO WHISKY / PLATAFORMA CONHAQUE MI - "35" (PARES)</t>
  </si>
  <si>
    <t>SAP-MI-COR-WHI-36 - SAPATO MULE MISCI COURO WHISKY / PLATAFORMA CONHAQUE MI - "36" (PARES)</t>
  </si>
  <si>
    <t>SAP-MI-COR-WHI-37 - SAPATO MULE MISCI COURO WHISKY / PLATAFORMA CONHAQUE MI - "37" (PARES)</t>
  </si>
  <si>
    <t>SAP-MI-COR-WHI-38 - SAPATO MULE MISCI COURO WHISKY / PLATAFORMA CONHAQUE MI - "38" (PARES)</t>
  </si>
  <si>
    <t>SAP-MI-COR-WHI-39 - SAPATO MULE MISCI COURO WHISKY / PLATAFORMA CONHAQUE MI - "39" (PARES)</t>
  </si>
  <si>
    <t>SAP-MI-COR-WHI-40 - SAPATO MULE MISCI COURO WHISKY / PLATAFORMA CONHAQUE MI - "40" (PARES)</t>
  </si>
  <si>
    <t>SAP-MI-COR-WHI-41 - SAPATO MULE MISCI COURO WHISKY / PLATAFORMA CONHAQUE MI - "41" (PARES)</t>
  </si>
  <si>
    <t>SAP-MI-COR-WHI-42 - SAPATO MULE MISCI COURO WHISKY / PLATAFORMA CONHAQUE MI - "42" (PARES)</t>
  </si>
  <si>
    <t>SAP-MI-COR-WHI-43 - SAPATO MULE MISCI COURO WHISKY / PLATAFORMA CONHAQUE MI - "43" (PARES)</t>
  </si>
  <si>
    <t>SAP-MI-COR-WHI-44 - SAPATO MULE MISCI COURO WHISKY / PLATAFORMA CONHAQUE MI - "44" (PARES)</t>
  </si>
  <si>
    <t>SAP-PIT-COR-OFF-35 - SAPATO MULE MISCI COURO OFF PITU - "35" (PARES)</t>
  </si>
  <si>
    <t>SAP-PIT-COR-OFF-36 - SAPATO MULE MISCI COURO OFF PITU - "36" (PARES)</t>
  </si>
  <si>
    <t>SAP-PIT-COR-OFF-37 - SAPATO MULE MISCI COURO OFF PITU - "37" (PARES)</t>
  </si>
  <si>
    <t>SAP-PIT-COR-OFF-38 - SAPATO MULE MISCI COURO OFF PITU - "38" (PARES)</t>
  </si>
  <si>
    <t>SAP-PIT-COR-OFF-39 - SAPATO MULE MISCI COURO OFF PITU - "39" (PARES)</t>
  </si>
  <si>
    <t>SAP-PIT-COR-OFF-40 - SAPATO MULE MISCI COURO OFF PITU - "40" (PARES)</t>
  </si>
  <si>
    <t>SAP-PIT-COR-OFF-41 - SAPATO MULE MISCI COURO OFF PITU - "41" (PARES)</t>
  </si>
  <si>
    <t>SAP-PIT-COR-OFF-42 - SAPATO MULE MISCI COURO OFF PITU - "42" (PARES)</t>
  </si>
  <si>
    <t>SAP-PIT-COR-OFF-43 - SAPATO MULE MISCI COURO OFF PITU - "43" (PARES)</t>
  </si>
  <si>
    <t>SAP-PIT-COR-OFF-44 - SAPATO MULE MISCI COURO OFF PITU - "44" (PARES)</t>
  </si>
  <si>
    <t>SAP-PIT-COR-OFF-PRO - SAPATO MULE MISCI COURO OFF PITU - "PRODUCAO" (PARES)</t>
  </si>
  <si>
    <t>SAP-PIT-COR-PRE-34 - SAPATO MULE MISCI COURO PRETO PITU - "34" (PARES)</t>
  </si>
  <si>
    <t>SAP-PIT-COR-PRE-35 - SAPATO MULE MISCI COURO PRETO PITU - "35" (PARES)</t>
  </si>
  <si>
    <t>SAP-PIT-COR-PRE-36 - SAPATO MULE MISCI COURO PRETO PITU - "36" (PARES)</t>
  </si>
  <si>
    <t>SAP-PIT-COR-PRE-37 - SAPATO MULE MISCI COURO PRETO PITU - "37" (PARES)</t>
  </si>
  <si>
    <t>SAP-PIT-COR-PRE-38 - SAPATO MULE MISCI COURO PRETO PITU - "38" (PARES)</t>
  </si>
  <si>
    <t>SAP-PIT-COR-PRE-39 - SAPATO MULE MISCI COURO PRETO PITU - "39" (PARES)</t>
  </si>
  <si>
    <t>SAP-PIT-COR-PRE-40 - SAPATO MULE MISCI COURO PRETO PITU - "40" (PARES)</t>
  </si>
  <si>
    <t>SAP-PIT-COR-PRE-41 - SAPATO MULE MISCI COURO PRETO PITU - "41" (PARES)</t>
  </si>
  <si>
    <t>SAP-PIT-COR-PRE-42 - SAPATO MULE MISCI COURO PRETO PITU - "42" (PARES)</t>
  </si>
  <si>
    <t>SAP-PIT-COR-PRE-43 - SAPATO MULE MISCI COURO PRETO PITU - "43" (PARES)</t>
  </si>
  <si>
    <t>SAP-PIT-COR-PRE-44 - SAPATO MULE MISCI COURO PRETO PITU - "44" (PARES)</t>
  </si>
  <si>
    <t>SHO-DOS-MAL-AZU-36 - SHORTINHOS DOSE  - AZUL - "36" (PC)</t>
  </si>
  <si>
    <t>SHO-DOS-MAL-AZU-38 - SHORTINHOS DOSE - AZUL - "38" (PC)</t>
  </si>
  <si>
    <t>SHO-DOS-MAL-AZU-40 - SHORTINHOS DOSE - AZUL - "40" (PC)</t>
  </si>
  <si>
    <t>SHO-DOS-MAL-AZU-42 - SHORTINHOS DOSE - AZUL - "42" (PC)</t>
  </si>
  <si>
    <t>SHO-DOS-MAL-AZU-44 - SHORTINHOS DOSE - AZUL - "44" (PC)</t>
  </si>
  <si>
    <t>SHO-DOS-MAL-AZU-46 - SHORTINHOS DOSE - AZUL - "46" (PC)</t>
  </si>
  <si>
    <t>SHO-DOS-MAL-CER-36 - SHORTINHOS DOSE - CERAMICA - "36" (PC)</t>
  </si>
  <si>
    <t>SHO-DOS-MAL-CER-38 - SHORTINHOS DOSE - CERAMICA - "38" (PC)</t>
  </si>
  <si>
    <t>SHO-DOS-MAL-CER-40 - SHORTINHOS DOSE - CERAMICA - "40" (PC)</t>
  </si>
  <si>
    <t>SHO-DOS-MAL-CER-42 - SHORTINHOS DOSE - CERAMICA - "42" (PC)</t>
  </si>
  <si>
    <t>SHO-DOS-MAL-CER-44 - SHORTINHOS DOSE - CERAMICA - "44" (PC)</t>
  </si>
  <si>
    <t>SHO-DOS-MAL-CER-46 - SHORTINHOS DOSE - CERAMICA - "46" (PC)</t>
  </si>
  <si>
    <t>SHO-DOS-MAL-VRD-36 - SHORTINHOS DOSE - VERDE - "36" (PC)</t>
  </si>
  <si>
    <t>SHO-DOS-MAL-VRD-38 - SHORTINHOS DOSE - VERDE - "38" (PC)</t>
  </si>
  <si>
    <t>SHO-DOS-MAL-VRD-40 - SHORTINHOS DOSE - VERDE - "40" (PC)</t>
  </si>
  <si>
    <t>SHO-DOS-MAL-VRD-42 - SHORTINHOS DOSE - VERDE - "42" (PC)</t>
  </si>
  <si>
    <t>SHO-DOS-MAL-VRD-44 - SHORTINHOS DOSE - VERDE - "44" (PC)</t>
  </si>
  <si>
    <t>SHO-DOS-MAL-VRD-46 - SHORTINHOS DOSE - VERDE - "46" (PC)</t>
  </si>
  <si>
    <t>SHO-EXI-ALG-EPI-36 - SHORTS EXISTO PORQUE INSISTO - "36" (PC)</t>
  </si>
  <si>
    <t>SHO-EXI-ALG-EPI-38 - SHORTS EXISTO PORQUE INSISTO - "38" (PC)</t>
  </si>
  <si>
    <t>SHO-EXI-ALG-EPI-40 - SHORTS EXISTO PORQUE INSISTO - "40" (PC)</t>
  </si>
  <si>
    <t>SHO-EXI-ALG-EPI-42 - SHORTS EXISTO PORQUE INSISTO - "42" (PC)</t>
  </si>
  <si>
    <t>SHO-EXI-ALG-EPI-44 - SHORTS EXISTO PORQUE INSISTO - "44" (PC)</t>
  </si>
  <si>
    <t>SHO-EXI-ALG-EPI-46 - SHORTS EXISTO PORQUE INSISTO - "46" (PC)</t>
  </si>
  <si>
    <t>SHO-FIL-ALG-EST-36 - SHORTS FILTRO DE BARRO - "36" (PC)</t>
  </si>
  <si>
    <t>SHO-FIL-ALG-EST-38 - SHORTS FILTRO DE BARRO - "38" (PC)</t>
  </si>
  <si>
    <t>SHO-FIL-ALG-EST-40 - SHORTS FILTRO DE BARRO - "40" (PC)</t>
  </si>
  <si>
    <t>SHO-FIL-ALG-EST-42 - SHORTS FILTRO DE BARRO - "42" (PC)</t>
  </si>
  <si>
    <t>SHO-FIL-ALG-EST-44 - SHORTS FILTRO DE BARRO - "44" (PC)</t>
  </si>
  <si>
    <t>SHO-FIL-ALG-EST-46 - SHORTS FILTRO DE BARRO - "46" (PC)</t>
  </si>
  <si>
    <t>SHO-PEQ-AVE-AZU-36 - SHORTS A FIO PEQUI AZUL - "PP/36" (PC)</t>
  </si>
  <si>
    <t>SHO-PEQ-AVE-AZU-38 - SHORTS A FIO PEQUI AZUL - "P/38" (PC)</t>
  </si>
  <si>
    <t>SHO-PEQ-AVE-AZU-40 - SHORTS A FIO PEQUI AZUL - "M/40" (PC)</t>
  </si>
  <si>
    <t>SHO-PEQ-AVE-AZU-42 - SHORTS A FIO PEQUI AZUL - "G/42" (PC)</t>
  </si>
  <si>
    <t>SHO-PEQ-AVE-AZU-44 - SHORTS A FIO PEQUI AZUL - "GG/44" (PC)</t>
  </si>
  <si>
    <t>SHO-PEQ-AVE-AZU-PIL - SHORTS A FIO PEQUI AZUL -  "PILOTO" (PC)</t>
  </si>
  <si>
    <t>SHO-PEQ-AVE-VRD-36 - SHORTS A FIO PEQUI VERDE - "PP/36" (PC)</t>
  </si>
  <si>
    <t>SHO-PEQ-AVE-VRD-38 - SHORTS A FIO PEQUI VERDE - "P/38" (PC)</t>
  </si>
  <si>
    <t>SHO-PEQ-AVE-VRD-40 - SHORTS A FIO PEQUI VERDE - "M/40" (PC)</t>
  </si>
  <si>
    <t>SHO-PEQ-AVE-VRD-42 - SHORTS A FIO PEQUI VERDE - "G/42" (PC)</t>
  </si>
  <si>
    <t>SHO-PEQ-AVE-VRD-44 - SHORTS A FIO PEQUI VERDE - "GG/44" (PC)</t>
  </si>
  <si>
    <t>SHO-PEQ-AVE-VRD-PIL - SHORTS A FIO PEQUI VERDE -  "PILOTO" (PC)</t>
  </si>
  <si>
    <t>TRICOT</t>
  </si>
  <si>
    <t>SUN-MIS-POE-TEL-G - SUNGA MISCI + ESC - TELHA - "G" (PC)</t>
  </si>
  <si>
    <t>SUN-MIS-POE-TEL-GG - SUNGA MISCI + ESC - TELHA - "GG" (PC)</t>
  </si>
  <si>
    <t>SUN-MIS-POE-TEL-M - SUNGA MISCI + ESC - TELHA - "M" (PC)</t>
  </si>
  <si>
    <t>SUN-MIS-POE-TEL-P - SUNGA MISCI + ESC - TELHA - "P" (PC)</t>
  </si>
  <si>
    <t>SUN-MIS-POE-VRD-G - SUNGA MISCI + ESC - VERDE - "G" (PC)</t>
  </si>
  <si>
    <t>SUN-MIS-POE-VRD-GG - SUNGA MISCI + ESC - VERDE - "GG" (PC)</t>
  </si>
  <si>
    <t>SUN-MIS-POE-VRD-M - SUNGA MISCI + ESC - VERDE - "M" (PC)</t>
  </si>
  <si>
    <t>SUN-MIS-POE-VRD-P - SUNGA MISCI + ESC - VERDE - "P" (PC)</t>
  </si>
  <si>
    <t>VICUNHA</t>
  </si>
  <si>
    <t>TABMCM4000VP - TECIDO VICUNHA - AMSTERDAM TECIDO CETIM 56% ALGODAO 43% MODAL 1% ELASTANO LAR G 1,48 METROS OFF (M)</t>
  </si>
  <si>
    <t>TABMCM4000VR - TECIDO VICUNHA - AMSTERDAM TECIDO CETIM 56% ALGODAO 43% MODAL 1% ELASTANO LAR G 1,46 METROS - BEGE (M)</t>
  </si>
  <si>
    <t>TAIAAA4002CA - TECIDO VICUNHA - BRADLEY - INDIGO ALGODAO 100% - JEANS LARG 1,66 METROS (M)</t>
  </si>
  <si>
    <t>TAM-CAR-COU-WHI-34 - TAMANCO PALHA NATURAL WHISKY CARRIOLA - "34" (PARES)</t>
  </si>
  <si>
    <t>TAM-CAR-COU-WHI-35 - TAMANCO PALHA NATURAL WHISKY CARRIOLA - "35" (PARES)</t>
  </si>
  <si>
    <t>TAM-CAR-COU-WHI-36 - TAMANCO PALHA NATURAL WHISKY CARRIOLA - "36" (PARES)</t>
  </si>
  <si>
    <t>TAM-CAR-COU-WHI-37 - TAMANCO PALHA NATURAL WHISKY CARRIOLA - "37" (PARES)</t>
  </si>
  <si>
    <t>TAM-CAR-COU-WHI-38 - TAMANCO PALHA NATURAL WHISKY CARRIOLA - "38" (PARES)</t>
  </si>
  <si>
    <t>TAM-CAR-COU-WHI-39 - TAMANCO PALHA NATURAL WHISKY CARRIOLA - "39" (PARES)</t>
  </si>
  <si>
    <t>TAM-CAR-COU-WHI-40 - TAMANCO PALHA NATURAL WHISKY CARRIOLA - "40" (PARES)</t>
  </si>
  <si>
    <t>TAM-CAR-COU-WHI-41 - TAMANCO PALHA NATURAL WHISKY CARRIOLA - "41" (PARES)</t>
  </si>
  <si>
    <t>TAP-IMP-ECN-COL-TU - TAPETE PUBI 100% ECONYL (PC)</t>
  </si>
  <si>
    <t>TECBD01 - TECIDO BD - CANELADO - Artigo 70090.11 rib 2 x 1 na cor off white (KG)</t>
  </si>
  <si>
    <t>TECIDO-SACOLAS - TECIDO INNOVATIV - TECIDO PARA SACOLAS (M)</t>
  </si>
  <si>
    <t>TOP-MAM-AVE-CHI-PIL - TOP MAMI GOIABA - "PILOTO" (PC)</t>
  </si>
  <si>
    <t>TOPS</t>
  </si>
  <si>
    <t>TOP-MAM-AVE-GOI-G - TOP MAMI GOIABA  - "G" (PC)</t>
  </si>
  <si>
    <t>TOP-MAM-AVE-GOI-M - TOP MAMI GOIABA  - "M" (PC)</t>
  </si>
  <si>
    <t>TOP-MAM-AVE-GOI-P - TOP MAMI GOIABA  - "P" (PC)</t>
  </si>
  <si>
    <t>TOP-MAM-AVE-VRD-G - TOP MAMI VERDE MENTA - "G" (PC)</t>
  </si>
  <si>
    <t>TOP-MAM-AVE-VRD-M - TOP MAMI VERDE MENTA - "M" (PC)</t>
  </si>
  <si>
    <t>TOP-MAM-AVE-VRD-P - TOP MAMI VERDE MENTA - "P" (PC)</t>
  </si>
  <si>
    <t>TOP-MAM-TWD-SED-PIL - TOP MAMI TWEED DE SEDA - "PILOTO" (PC)</t>
  </si>
  <si>
    <t>TOP-UNO-AVE-AZU-G - TOP A FIO UNO AZUL - "G" (PC)</t>
  </si>
  <si>
    <t>TOP-UNO-AVE-AZU-M - TOP A FIO UNO AZUL - "M" (PC)</t>
  </si>
  <si>
    <t>TOP-UNO-AVE-AZU-P - TOP A FIO UNO AZUL - "P" (PC)</t>
  </si>
  <si>
    <t>TOP-UNO-AVE-AZU-PIL - TOP A FIO UNO AZUL - "PILOTO" (PC)</t>
  </si>
  <si>
    <t>TOP-UNO-AVE-AZU-PP - TOP A FIO UNO AZUL - "PP" (PC)</t>
  </si>
  <si>
    <t>TOP-UNO-AVE-VRD-G - TOP A FIO UNO VERDE - "G" (PC)</t>
  </si>
  <si>
    <t>TOP-UNO-AVE-VRD-M - TOP A FIO UNO VERDE - "M" (PC)</t>
  </si>
  <si>
    <t>TOP-UNO-AVE-VRD-P - TOP A FIO UNO VERDE - "P" (PC)</t>
  </si>
  <si>
    <t>TOP-UNO-AVE-VRD-PIL - TOP A FIO UNO VERDE - "PILOTO" (PC)</t>
  </si>
  <si>
    <t>TOP-UNO-AVE-VRD-PP - TOP A FIO UNO VERDE - "PP" (PC)</t>
  </si>
  <si>
    <t>TTM89912005 - TECIDO SANTA COSTANCIA -  Radiosa Plus (LD) - Produtos ELLE - 81%Viscose 15%Poliamida 4%Elastano - OFF (Chantilly) (KG)</t>
  </si>
  <si>
    <t>SANTA CONSTANCIA</t>
  </si>
  <si>
    <t>VES-ALF-PHI-AMA-G - VESTIDO ALFAIATARIA PHILO MOSTARDA - "G" (PC)</t>
  </si>
  <si>
    <t>VES-ALF-PHI-AMA-M - VESTIDO ALFAIATARIA PHILO MOSTARDA - "M" (PC)</t>
  </si>
  <si>
    <t>VES-ALF-PHI-AMA-P - VESTIDO ALFAIATARIA PHILO MOSTARDA - "P" (PC)</t>
  </si>
  <si>
    <t>VES-ALF-PHI-AMA-PIL - VESTIDO ALFAIATARIA PHILO MOSTARDA - "PILOTO" (PC)</t>
  </si>
  <si>
    <t>VES-ALF-PHI-GOI-PIL - VESTIDO ALFAIATARIA PHILO GOIABA - "PILOTO" (PC)</t>
  </si>
  <si>
    <t>VES-ALF-PHI-PIL - VESTIDO ALFAIATARIA PHILO  MARROM - "PILOTO" (PC)</t>
  </si>
  <si>
    <t>VES-ALF-PHI-VRD-G - VESTIDO ALFAIATARIA PHILO VERDE - "G" (PC)</t>
  </si>
  <si>
    <t>VES-ALF-PHI-VRD-M - VESTIDO ALFAIATARIA PHILO VERDE - "M" (PC)</t>
  </si>
  <si>
    <t>VES-ALF-PHI-VRD-P - VESTIDO ALFAIATARIA PHILO VERDE - "P" (PC)</t>
  </si>
  <si>
    <t>VES-ASS-VIS-VER-TU - VESTIDO VERMELHO ASSUM - TU (PC)</t>
  </si>
  <si>
    <t>VES-BIC-CUP-VRD-TU - VESTIDO CUPRO VERDE / TERRACOTA BIC - "TU" (PC)</t>
  </si>
  <si>
    <t>VES-CAL-VIS-AZU-TU - VESTIDO AZUL CAL - TU (PC)</t>
  </si>
  <si>
    <t>VES-D20-ALG-OFF-G - VESTIDO D-20 - ALGODAO - PALHA / OFF - "G" (PC)</t>
  </si>
  <si>
    <t>VES-D20-ALG-OFF-GG - VESTIDO D-20 - ALGODAO - PALHA / OFF - "GG" (PC)</t>
  </si>
  <si>
    <t>VES-D20-ALG-OFF-M - VESTIDO D-20 - ALGODAO - PALHA / OFF - "M" (PC)</t>
  </si>
  <si>
    <t>VES-D20-ALG-OFF-P - VESTIDO D-20 - ALGODAO - PALHA / OFF - "P" (PC)</t>
  </si>
  <si>
    <t>VES-D20-ALG-OFF-PIL - VESTIDO D-20 ALGODAO OFF - "PILOTO" (PC)</t>
  </si>
  <si>
    <t>VES-D20-ALG-OFF-PP - VESTIDO D-20 - ALGODAO - PALHA / OFF - "PP" (PC)</t>
  </si>
  <si>
    <t>VES-D20-CUP-FER-G - VESTIDO D-20 - CUPRO - FERRUGEM - "G" (PC)</t>
  </si>
  <si>
    <t>VES-D20-CUP-FER-GG - VESTIDO D-20 - CUPRO - FERRUGEM - "GG" (PC)</t>
  </si>
  <si>
    <t>VES-D20-CUP-FER-M - VESTIDO D-20 - CUPRO - FERRUGEM - "M" (PC)</t>
  </si>
  <si>
    <t>VES-D20-CUP-FER-P - VESTIDO D-20 - CUPRO - FERRUGEM - "P" (PC)</t>
  </si>
  <si>
    <t>VES-D20-CUP-FER-PP - VESTIDO D-20 - CUPRO - FERRUGEM - "PP" (PC)</t>
  </si>
  <si>
    <t>VES-D20-CUP-VRD-G - VESTIDO D-20 - CUPRO - VERDE - "G" (PC)</t>
  </si>
  <si>
    <t>VES-D20-CUP-VRD-GG - VESTIDO D-20 - CUPRO - VERDE - "GG" (PC)</t>
  </si>
  <si>
    <t>VES-D20-CUP-VRD-M - VESTIDO D-20 - CUPRO - VERDE - "M" (PC)</t>
  </si>
  <si>
    <t>VES-D20-CUP-VRD-P - VESTIDO D-20 - CUPRO - VERDE - "P" (PC)</t>
  </si>
  <si>
    <t>VES-D20-CUP-VRD-PP - VESTIDO D-20 - CUPRO - VERDE - "PP" (PC)</t>
  </si>
  <si>
    <t>VES-PAL-TRI-MAR-M - VESTIDO REGATA TRICOT LISTRADO MARROM E BRANCO PALMA - "M" (PC)</t>
  </si>
  <si>
    <t>VES-RET-VIS-CAM-TU - VESTIDO CAMELO RETO - TU (PC)</t>
  </si>
  <si>
    <t>VES-ROS-VIS-VER-TU - VESTIDO VERMELHO ROSO - TU (PC)</t>
  </si>
  <si>
    <t>VES-SAU-TRI-CRU-G - VESTIDO TRICOT SAUVA CRU - "G" (PC)</t>
  </si>
  <si>
    <t>VES-SAU-TRI-CRU-M - VESTIDO TRICOT SAUVA CRU - "M" (PC)</t>
  </si>
  <si>
    <t>VES-SAU-TRI-CRU-P - VESTIDO TRICOT SAUVA CRU - "P" (PC)</t>
  </si>
  <si>
    <t>VES-SAU-TRI-VRM-G - VESTIDO TRICOT SAUVA VERMELHO- "G" (PC)</t>
  </si>
  <si>
    <t>VES-SAU-TRI-VRM-M - VESTIDO TRICOT SAUVA VERMELHO- "M" (PC)</t>
  </si>
  <si>
    <t>VES-SAU-TRI-VRM-P - VESTIDO TRICOT SAUVA VERMELHO- "P" (PC)</t>
  </si>
  <si>
    <t>VES-TAO-TRI-MAR-M - VESTIDO TRICOT MARROM TAO - "M" (PC)</t>
  </si>
  <si>
    <t>VES-TAO-TRI-VRD-M - VESTIDO TRICOT VERDE TAO - "M" (PC)</t>
  </si>
  <si>
    <t>VES-TEM-VIS-AZU-TU - VESTIDO AZUL TEMPORAL - TU (PC)</t>
  </si>
  <si>
    <t>VES-THA-ALG-MAR-TU - VESTIDO MARROM THAI  - TU (PC)</t>
  </si>
  <si>
    <t>VES-ZE-ALG-MAR-TU - VESTIDO MARROM ZE - TU (PC)</t>
  </si>
  <si>
    <t>000121 31247 - TECIDO DI GRECCO - VENICE 31247 ESTAMPADO FILTRO DE BARRO - 100% ALGODAO (MT)</t>
  </si>
  <si>
    <t>TECIDO DI GRECCO - VENICE 31247 ESTAMPADO FILTRO DE BARRO - 100% ALGODAO</t>
  </si>
  <si>
    <t>100573 - BOTAO FORT HORN (100573) - MARROM (COR 2080) - TAM 18 - (UN)</t>
  </si>
  <si>
    <t>125110T000550011 - TECIDO INNOVATIV - 100% ALGODAO - FREVO 550 (MT)</t>
  </si>
  <si>
    <t>125110T7000162011 - TECIDO INNOVATIV - 100% ALGODAO - FREVO 162 (MT)</t>
  </si>
  <si>
    <t>125112C7000002011 - TECIDO INNOVATIV - 100% ALGODAO - AGRESTE BEGE 002 (MT)</t>
  </si>
  <si>
    <t>125112C7000032011 - TECIDO INNOVATIV - 100% ALGODAO - AGRESTE BEGE 0032 (MT)</t>
  </si>
  <si>
    <t>125135T07000218011 - TECIDO INNOVATIV - 100% ALGODAO -  LISTRADO A FIO - AZUL E VERMELHO 218 (M)</t>
  </si>
  <si>
    <t>125136T7000490011 - TECIDO INNOVATIV - 100% ALGODAO -  RELEVO (COSTURA) - BEGE E VINHO 0490 (M)</t>
  </si>
  <si>
    <t>125137T7000490011 - TECIDO INNOVATIV - 100% ALGODAO -  LISTRADO A FIO - VERMELHO E OFF 490 (M)</t>
  </si>
  <si>
    <t>125142-00278 - TECIDO INNOVATIV - 100% ALGODAO - MOQUECA AZUL INDIGO - COR 278 (MT)</t>
  </si>
  <si>
    <t>125142T7000550011 - TECIDO INNOVATIV - 100% ALGODAO - MOQUECA LARANJA - COR 550 (MT)</t>
  </si>
  <si>
    <t>1293000365Q3 - TECIDO PARAMOUNT - TWILL FLANEL - A1293 - C7365 - 100% LA - VINHO (M)</t>
  </si>
  <si>
    <t>136212 - 860 - TECIDO INNOVATIV - 100% ALGODAO - MATELASSE LOGO MISCI - MARROM 860 (M)</t>
  </si>
  <si>
    <t>136212T3700819011 - 819 - TECIDO INNOVATIV - 100% ALGODAO - FAVA - MARROM/VERDE/AMARELO - 819 (M)</t>
  </si>
  <si>
    <t>136212T3700858011 - 858 - TECIDO INNOVATIV - 100% ALGODAO - FAVA - MARROM/VERMELHO/AZUL - 858 (M)</t>
  </si>
  <si>
    <t>148189C7000032011 - TECIDO INNOVATIV - 100% ALGODAO - SHIVA (IGUAL AMBROSIA) - BEGE TEXTURIZADO 032 - GRAMATURA 203 - PARA CAMISA (MT)</t>
  </si>
  <si>
    <t>148250T700052011 - TECIDO INNOVATIV - 100% ALGODAO - OTTO 152 (MT)</t>
  </si>
  <si>
    <t>148281T7000275011 - TECIDO INNOVATIV - 100% ALGODAO - EXISTO PORQUE INSISTO  243 (MT)</t>
  </si>
  <si>
    <t>148282T7000243011 - TECIDO INNOVATIV - 100% ALGODAO - NOS CAPOTA MAS NAO BRECA - COR 275 (MT)</t>
  </si>
  <si>
    <t>148323C7000001011 - TECIDO INNOVATIV - 100% ALGODAO - MATELASSE LOGO MISCI - OFF -001 (M)</t>
  </si>
  <si>
    <t>148324C7000001011 - TECIDO INNOVATIV - 100% ALGODAO - MATELASSE FUXICO - OFF -001 (M)</t>
  </si>
  <si>
    <t>148325T7000264001 - TECIDO INNOVATIV - 100% ALGODAO - FRAJAS - CINZA/AZUL - 264 (M)</t>
  </si>
  <si>
    <t>148325T7000490011 - TECIDO INNOVATIV - 100% ALGODAO - FRAJAS - CINZA/VERMELHO (490) (M)</t>
  </si>
  <si>
    <t>148327 - 413 - TECIDO INNOVATIV - 100% ALGODAO -  QUADRICULADO/DESFIADO - VERMELHO E CINZA - COR 413 (M)</t>
  </si>
  <si>
    <t>148328 - 165 - TECIDO INNOVATIV - 100% ALGODAO -  LISTRADO/DESFIADO - VERDE E CINZA - COR165 (M)</t>
  </si>
  <si>
    <t>148328 - 260 - TECIDO INNOVATIV - 100% ALGODAO -  LISTRADO/DESFIADO - AZUL E ROSA QUEIMADO - COR 260 (M)</t>
  </si>
  <si>
    <t>148328 - 432 - TECIDO INNOVATIV - 100% ALGODAO -  LISTRADO/DESFIADO - VINHO E BEGE - COR 432 (M)</t>
  </si>
  <si>
    <t>148329 - 262 - TECIDO INNOVATIV - 100% ALGODAO -  QUADRICULADO/DESFIADO - AZUL E CINZA - COR 262 (M)</t>
  </si>
  <si>
    <t>14836T000447011 - 447 - TECIDO INNOVATIV - 100% ALGODAO - ZIGZAG  IRREGULAR COLORIDO - COR 447 (M)</t>
  </si>
  <si>
    <t>235-00051 - TECIDO HJ - ANIMALE 100% ALGODAO -REND 3,6 - DEMI - ROSA (KG)</t>
  </si>
  <si>
    <t>274-00166 - PILOTO TECIDO HJ - ESPARTA 100% ALOGDAO - REND 4,85 - CAMURCA CRU (KG)</t>
  </si>
  <si>
    <t>3038-00051 - TECIDO HJ - ANIMALE 100% ALOGDAO - REND 3,6 - PETER MARROM (KG)</t>
  </si>
  <si>
    <t>3125671 - TECIDO GVALLONE - MARION 10838 100% ALGODAO  - AZUL / VERDE PISCINA (M)</t>
  </si>
  <si>
    <t>3150-00051 - TECIDO HJ - ANIMALE 100% ALGODAO -REND 3,6 - PORSHE - AZUL (KG)</t>
  </si>
  <si>
    <t>3453010715I3 - TECIDO PARAMOUNT - SUPER TROPICAL- 3453 - MARROM CLARO - 65% poliester + 35% lA (MT)</t>
  </si>
  <si>
    <t>4167011707Q3 - TECIDO PARAMOUNT - PRUNEL FLANNEL S 120 - A4167 - C707- 100% LA - MARROM / AZUL (M)</t>
  </si>
  <si>
    <t>4528L01 - TECIDO FIOBOM - LISO BRANCO- TEC. 44528 LISO 80/2 - 100% ALGODAO - LARG 150m (M)</t>
  </si>
  <si>
    <t>4528L151 - TECIDO FIOBOM - LISO VERMELHO- TEC. 4528 LISO 80/2 - 100% ALGODAO - LARG 150 (M)</t>
  </si>
  <si>
    <t>4528L180 - TECIDO FIOBOM - LISO CHUMBO- TEC. 4528 LISO 80/2 - 100% ALGODAO - LARG 150 (M)</t>
  </si>
  <si>
    <t>4528lXXX - TECIDO FIOBOM - LISO AZUL CLARO- TEC. 4528 FT 80/2 DES - 100% ALGODAO (M)</t>
  </si>
  <si>
    <t>4529EX74202 - TECIDO FIOBOM - LISTRADO BRANCO / AZUL / MARROM - TEC. 100% ALGODAO - 742 COR 02 (M)</t>
  </si>
  <si>
    <t>4529EX74602 - TECIDO FIOBOM - LISTRADO ROSA / BRANCO / AZUL / MARROM - TEC. 100% ALGODAO - 746 COR 02 (M)</t>
  </si>
  <si>
    <t>4529EX75206 - TECIDO FIOBOM - LISO VERDE CLARO  - TEC. 100% ALGODAO - 752 (M)</t>
  </si>
  <si>
    <t>4529EX78401 - TECIDO FIOBOM - LISTRADO AMARELO E BRANCO - TEC. 100% ALGODAO - 784 (M)</t>
  </si>
  <si>
    <t>45891 - TECIDO GVALLONE - MARION 8134 100% ALGODAO  - VERDE (M)</t>
  </si>
  <si>
    <t>5634L101 - TECIDO FIOBOM - LISO CREME - 5634 LISO 120/2 - LARG 150 - 100% ALGODAO (M)</t>
  </si>
  <si>
    <t>56FT3701 - TECIDO FIOBOM - LISTRADO BRANCO / AZUL - TEC. 100% ALGODAO (M)</t>
  </si>
  <si>
    <t>5971 - TECIDO GVALLONE - ALMA 100% ALGODAO - OFF (MT)</t>
  </si>
  <si>
    <t>6033 - TECIDO GVALLONE - DIJON - 100% ALGODAO - BEGE (M)</t>
  </si>
  <si>
    <t>622-00872 - PILOTO TECIDO HJ - AGADIR 95% ALOGDAO + 5% ELASTANO - REND 3,6 - PABLO RENDA MARROM TELHA (KG)</t>
  </si>
  <si>
    <t>6248FT2401 - TECIDO FIOBOM - LISTRADO BRANCO / AZUL / MARROM - TEC. 100% ALGODAO (M)</t>
  </si>
  <si>
    <t>701-00051 - TECIDO HJ - ANIMALE 100% ALGODAO -REND 3,6 -  CALDAS BRANCO (KG)</t>
  </si>
  <si>
    <t>7112010502Q3 - TECIDO PARAMOUNT -  FLANEL LEVE -  A7112 - C502 - 100% LA - AZUL ESCURO (M)</t>
  </si>
  <si>
    <t>7134000366R7 - TECIDO PARAMOUNT -  PRUNEL LEVE SUPER 120'S - 100% LA - VERMELHO - 366 (M)</t>
  </si>
  <si>
    <t>801-01779 - PILOTO TECIDO HJ - PETERSON 64% ALOGDAO + 18% VISCOSE + 16% POLIESTES - REND 2,4 - CRU OFF (KG)</t>
  </si>
  <si>
    <t>8305007009998 - TECIDO JB - NATURE SOFT LISTRADO BRNACO / OFF (AR) -PT (PR. P/TINGIR LISO) - 68% ALGODAO 14%MODAL 9% VISCOSE 9% LINHO (M)</t>
  </si>
  <si>
    <t>8515000651Q3 - TECIDO PARAMOUNT - RUNEL NATURAL STRETCH - A8515- C651 - 100% LA - VERDE (M)</t>
  </si>
  <si>
    <t>8634995610Q3 - TECIDO PARAMOUNT - PALETO TWEED LA -  A8634 - C610 - 100% LA - AZUL / AMARELO / PRETO (M)</t>
  </si>
  <si>
    <t>8765024801Q3 - TECIDO PARAMOUNT - JACKET LEVE WOOL SILK -  A8765 - C801 - 52% SEDA + 48% LA - BRANCO E PRETO (M)</t>
  </si>
  <si>
    <t>A446810004 - TECIDO PANAMERICANA - IPANEMA VERDE QUADRICULADO COM PESPONTO BRANCO - 100% ALGODAO (M)</t>
  </si>
  <si>
    <t>BER-PIA-LIN-MAR-G - BERMUDA LINHO MARROM PIAO - "G" (PC)</t>
  </si>
  <si>
    <t>BER-PIA-LIN-MAR-M - BERMUDA LINHO MARROM PIAO - "M" (PC)</t>
  </si>
  <si>
    <t>BER-PIA-LIN-MAR-P - BERMUDA LINHO MARROM PIAO - "P" (PC)</t>
  </si>
  <si>
    <t>BER-PIA-PET-OFF-G - BERMUDA PET OFF PIAO  - "G'' (PC)</t>
  </si>
  <si>
    <t>BER-PIA-PET-OFF-M - BERMUDA PET OFF PIAO  - "M'' (PC)</t>
  </si>
  <si>
    <t>BER-PIA-PET-OFF-P - BERMUDA PET OFF PIAO - "P'' (PC)</t>
  </si>
  <si>
    <t>BER-TRE-ALG-VRD-G - BERMUDA ALGODAO VERDE QUADRICULADA TRENA - "G/42'' (PC)</t>
  </si>
  <si>
    <t>BER-TRE-ALG-VRD-GG - BERMUDA ALGODAO VERDE QUADRICULADA TRENA - "GG/44'' (PC)</t>
  </si>
  <si>
    <t>BER-TRE-ALG-VRD-M - BERMUDA ALGODAO VERDE QUADRICULADA TRENA - "M/40'' (PC)</t>
  </si>
  <si>
    <t>BER-TRE-ALG-VRD-P - BERMUDA ALGODAO VERDE QUADRICULADA TRENA - "P/38'' (PC)</t>
  </si>
  <si>
    <t>CAM-CAN-ALG-BRA-G - CAMISETA ALGODAO BRANCA CANA - "G" (PC)</t>
  </si>
  <si>
    <t>CAM-CAN-ALG-BRA-GG - CAMISETA ALGODAO BRANCA CANA - "GG" (PC)</t>
  </si>
  <si>
    <t>CAM-CAN-ALG-BRA-M - CAMISETA ALGODAO BRANCA CANA - "M" (PC)</t>
  </si>
  <si>
    <t>CAM-CAN-ALG-BRA-P - CAMISETA ALGODAO BRANCA CANA - "P" (PC)</t>
  </si>
  <si>
    <t>CAM-CAN-ALG-BRA-PP - CAMISETA ALGODAO BRANCA CANA - "PP" (PC)</t>
  </si>
  <si>
    <t>CAM-CAN-ALG-BRA-XG - CAMISETA ALGODAO BRANCA CANA - "XG" (PC)</t>
  </si>
  <si>
    <t>CAM-CAN-ALG-MES-G - CAMISETA ALGODAO MESCLA CANA - "G" (PC)</t>
  </si>
  <si>
    <t>CAM-CAN-ALG-MES-GG - CAMISETA ALGODAO MESCLA CANA - "GG" (PC)</t>
  </si>
  <si>
    <t>CAM-CAN-ALG-MES-M - CAMISETA ALGODAO MESCLA CANA - "M" (PC)</t>
  </si>
  <si>
    <t>CAM-CAN-ALG-MES-P - CAMISETA ALGODAO MESCLA CANA - "P" (PC)</t>
  </si>
  <si>
    <t>CAM-CAN-ALG-MES-PP - CAMISETA ALGODAO MESCLA CANA - "PP" (PC)</t>
  </si>
  <si>
    <t>CAM-CAN-ALG-MES-XG - CAMISETA ALGODAO MESCLA CANA - "XG" (PC)</t>
  </si>
  <si>
    <t>CAM-CAN-ALG-OFF-G - CAMISETA ALGODAO OFF CANA - "G" (PC)</t>
  </si>
  <si>
    <t>CAM-CAN-ALG-OFF-G-INATIVO - CAMISETA ALGODAO OFF CANA - INATIVO - "G" (PC)</t>
  </si>
  <si>
    <t>CAM-CAN-ALG-OFF-GG - CAMISETA ALGODAO OFF CANA - "GG" (PC)</t>
  </si>
  <si>
    <t>CAM-CAN-ALG-OFF-GG-INATIVO - CAMISETA ALGODAO OFF CANA - INATIVO - "GG" (PC)</t>
  </si>
  <si>
    <t>CAM-CAN-ALG-OFF-M - CAMISETA ALGODAO OFF CANA - "M" (PC)</t>
  </si>
  <si>
    <t>CAM-CAN-ALG-OFF-M-INATIVO - CAMISETA ALGODAO OFF CANA - INATIVO - "M" (PC)</t>
  </si>
  <si>
    <t>CAM-CAN-ALG-OFF-P - CAMISETA ALGODAO OFF CANA - "P" (PC)</t>
  </si>
  <si>
    <t>CAM-CAN-ALG-OFF-PP - CAMISETA ALGODAO OFF CANA - "PP" (PC)</t>
  </si>
  <si>
    <t>CAM-CAN-ALG-OFFXG - CAMISETA ALGODAO OFF CANA - "XG" (PC)</t>
  </si>
  <si>
    <t>CAM-CAN-ALG-PRE-G - CAMISETA ALGODAO PRETA CANA - "G" (PC)</t>
  </si>
  <si>
    <t>CAM-CAN-ALG-PRE-GG - CAMISETA ALGODAO PRETA CANA - "GG (PC)</t>
  </si>
  <si>
    <t>CAM-CAN-ALG-PRE-M - CAMISETA ALGODAO PRETA CANA - "M" (PC)</t>
  </si>
  <si>
    <t>CAM-CAN-ALG-PRE-P - CAMISETA ALGODAO PRETA CANA - "P" (PC)</t>
  </si>
  <si>
    <t>CAM-CAN-ALG-PRE-PP - CAMISETA ALGODAO PRETA CANA - "PP" (PC)</t>
  </si>
  <si>
    <t>CAM-CAN-ALG-PRE-XG - CAMISETA ALGODAO PRETA CANA - "XG" (PC)</t>
  </si>
  <si>
    <t>CAM-CAN-ALG-TAM-G - CAMISETA ALGODAO TAMARA CANA - "G" (PC)</t>
  </si>
  <si>
    <t>CAM-CAN-ALG-TAM-GG - CAMISETA ALGODAO TAMARA CANA - "GG" (PC)</t>
  </si>
  <si>
    <t>CAM-CAN-ALG-TAM-M - CAMISETA ALGODAO TAMARA CANA - "M" (PC)</t>
  </si>
  <si>
    <t>CAM-CAN-ALG-TAM-P - CAMISETA ALGODAO TAMARA CANA - "P" (PC)</t>
  </si>
  <si>
    <t>CAM-LIS-ALG-BRA-G - CAMISETA BASICA ALGODAO BRANCA LISA - "G" (PC)</t>
  </si>
  <si>
    <t>CAM-LIS-ALG-BRA-GG - CAMISETA BASICA ALGODAO BRANCA LISA - "GG" (PC)</t>
  </si>
  <si>
    <t>CAM-LIS-ALG-BRA-P - CAMISETA BASICA ALGODAO BRANCA LISA - "P" (PC)</t>
  </si>
  <si>
    <t>CAM-LIS-ALG-PRE-G - CAMISETA BASICA ALGODAO PRETA LISA - "G" (PC)</t>
  </si>
  <si>
    <t>CAM-LIS-ALG-PRE-GG - CAMISETA BASICA ALGODAO PRETA LISA - "GG" (PC)</t>
  </si>
  <si>
    <t>CAM-LIS-ALG-PRE-M - CAMISETA BASICA ALGODAO PRETA LISA - "M" (PC)</t>
  </si>
  <si>
    <t>CAM-LIS-ALG-PRE-P - CAMISETA BASICA ALGODAO PRETA LISA - "P" (PC)</t>
  </si>
  <si>
    <t>CAM-LIS-ALG-PRE-PP - CAMISETA BASICA ALGODAO PRETA LISA - "PP" (PC)</t>
  </si>
  <si>
    <t>CAM-LIS-ALG-PRE-XG - CAMISETA BASICA ALGODAO PRETA LISA - "XG" (PC)</t>
  </si>
  <si>
    <t>CAM-LOG-ALG-BRA-G - CAMISETA ALGODAO BRANCA LOGO MISCI - "G" (PC)</t>
  </si>
  <si>
    <t>CAM-LOG-ALG-BRA-GG - CAMISETA ALGODAO BRANCA LOGO MISCI - "GG" (PC)</t>
  </si>
  <si>
    <t>CAM-LOG-ALG-BRA-M - CAMISETA ALGODAO BRANCA LOGO MISCI - "M" (PC)</t>
  </si>
  <si>
    <t>CAM-LOG-ALG-BRA-P - CAMISETA ALGODAO BRANCA LOGO MISCI - "P" (PC)</t>
  </si>
  <si>
    <t>CAM-LOG-ALG-PRE-G - CAMISETA ALGODAO PRETA LOGO MISCI - "G" (PC)</t>
  </si>
  <si>
    <t>CAM-LOG-ALG-PRE-GG - CAMISETA ALGODAO PRETA LOGO MISCI - "GG" (PC)</t>
  </si>
  <si>
    <t>CAM-LOG-ALG-PRE-M - CAMISETA ALGODAO PRETA LOGO MISCI - "M" (PC)</t>
  </si>
  <si>
    <t>CAM-LOG-ALG-PRE-P - CAMISETA ALGODAO PRETA LOGO MISCI - "P" (PC)</t>
  </si>
  <si>
    <t>CAM-LOG-ALG-PRE-PP - CAMISETA ALGODAO PRETA LOGO MISCI - "PP" (PC)</t>
  </si>
  <si>
    <t>CAM-LOG-ALG-PRE-XG - CAMISETA ALGODAO PRETA LOGO MISCI - "XG" (PC)</t>
  </si>
  <si>
    <t>CMC-LIN-ALG-VRD-G - CAMISA MANGA CURTA ALGODAO VERDE MILITAR LINO - "G" (PC)</t>
  </si>
  <si>
    <t>CMC-LIN-ALG-VRD-GG - CAMISA MANGA CURTA ALGODAO VERDE MILITAR LINO - "GG" (PC)</t>
  </si>
  <si>
    <t>CMC-LIN-ALG-VRD-M - CAMISA MANGA CURTA ALGODAO VERDE MILITAR LINO - "M" (PC)</t>
  </si>
  <si>
    <t>CMC-PIA-OFF-PET-M - CAMISA MANGA CURTA PET OFF PIAO - "M" (PC)</t>
  </si>
  <si>
    <t>CMC-PIA-OFF-PET-P - CAMISA MANGA CURTA PET OFF PIAO - "P" (PC)</t>
  </si>
  <si>
    <t>CMC-PIA-PET-OFF-G - CAMISA MANGA CURTA PET OFF PIAO - "G" (PC)</t>
  </si>
  <si>
    <t>CMC-TAI-ALG-AZU-M - CAMISA MANGA LONGA MISCI ALGODAO PIMA AZUL/AZUL TAIOBA- "M" (PC)</t>
  </si>
  <si>
    <t>CML-CAT-ALG-BCO-G - CAMISA MANGA LONGA MISCI ALGODAO PIMA BRANCO CATIMBO - "G" (PC)</t>
  </si>
  <si>
    <t>CML-CAT-ALG-BCO-M - CAMISA MANGA LONGA MISCI ALGODAO PIMA BRANCO CATIMBO - "M" (PC)</t>
  </si>
  <si>
    <t>CML-ROB-ALG-BRA-G - CAMISA MANGA LONGA COM BOLSO ALGODAO PESPONTO BRANCA ROBERTAO - "G" (PC)</t>
  </si>
  <si>
    <t>CML-ROB-ALG-BRA-GG - CAMISA MANGA LONGA COM BOLSO ALGODAO PESPONTO BRANCA ROBERTAO - "GG" (PC)</t>
  </si>
  <si>
    <t>CML-ROB-ALG-BRA-M - CAMISA MANGA LONGA COM BOLSO ALGODAO PESPONTO BRANCA ROBERTAO - "M" (PC)</t>
  </si>
  <si>
    <t>CML-ROB-ALG-BRA-P - CAMISA MANGA LONGA COM BOLSO ALGODAO PESPONTO BRANCA ROBERTAO - "P" (PC)</t>
  </si>
  <si>
    <t>CML-ROB-ALG-LIS-G - CAMISA MANGA LONGA LISTRADA ROSA ALGODAO ROBERTAO - "G" (PC)</t>
  </si>
  <si>
    <t>CML-ROB-ALG-LIS-GG - CAMISA MANGA LONGA LISTRADA ROSA ALGODAO ROBERTAO - "GG" (PC)</t>
  </si>
  <si>
    <t>CML-ROB-ALG-LIS-M - CAMISA MANGA LONGA LISTRADA ROSA ALGODAO ROBERTAO - "M" (PC)</t>
  </si>
  <si>
    <t>CML-ROB-ALG-LIS-P - CAMISA MANGA LONGA LISTRADA ROSA ALGODAO ROBERTAO - "P" (PC)</t>
  </si>
  <si>
    <t>CML-TAI-ALG-ABC-G - CAMISA MANGA LONGA MISCI ALGODAO PIMA AZUL/BRANCO TAIOBA- "G" (PC)</t>
  </si>
  <si>
    <t>CML-TAI-ALG-ABC-M - CAMISA MANGA LONGA MISCI ALGODAO PIMA AZUL/BRANCO TAIOBA- "M" (PC)</t>
  </si>
  <si>
    <t>CML-TAI-ALG-ABC-P - CAMISA MANGA LONGA MISCI ALGODAO PIMA AZUL/BRANCO TAIOBA - "P" (PC)</t>
  </si>
  <si>
    <t>CML-TAI-ALG-AZU-G - CAMISA MANGA LONGA MISCI ALGODAO PIMA AZUL/AZUL TAIOBA- "G" (PC)</t>
  </si>
  <si>
    <t>CML-TAI-ALG-AZU-P - CAMISA MANGA LONGA MISCI ALGODAO PIMA AZUL/AZUL TAIOBA- "P" (PC)</t>
  </si>
  <si>
    <t>CML-TIB-ALG-CIZ-G - CAMISA MANGA LONGA ALGODAO CINZA TIBAU - "G" (PC)</t>
  </si>
  <si>
    <t>CML-TIB-ALG-CIZ-GG - CAMISA MANGA LONGA ALGODAO CINZA TIBAU - "GG" (PC)</t>
  </si>
  <si>
    <t>CML-TIB-ALG-CIZ-M - CAMISA MANGA LONGA ALGODAO CINZA TIBAU - "M" (PC)</t>
  </si>
  <si>
    <t>CML-TIB-ALG-CIZ-P - CAMISA MANGA LONGA ALGODAO CINZA TIBAU - "P" (PC)</t>
  </si>
  <si>
    <t>CML-TIB-ALG-VER-G - CAMISA MANGA LONGA ALGODAO VERDE TIBAU - "G" (PC)</t>
  </si>
  <si>
    <t>CML-TIB-ALG-VER-GG - CAMISA MANGA LONGA ALGODAO VERDE TIBAU - "GG" (PC)</t>
  </si>
  <si>
    <t>CML-TIB-ALG-VER-M - CAMISA MANGA LONGA ALGODAO VERDE TIBAU - "M" (PC)</t>
  </si>
  <si>
    <t>CML-TIB-ALG-VER-P - CAMISA MANGA LONGA ALGODAO VERDE TIBAU - "P" (PC)</t>
  </si>
  <si>
    <t>PRD00001 - BOTAO UREIA (UN)</t>
  </si>
  <si>
    <t>PRD00007 - BOTAO PAPEL (UN)</t>
  </si>
  <si>
    <t>R206045 - TECIDO CATAGUASES - FORRO CAPITU CALANDRADO - CREME - 100% ALGODAO (M)</t>
  </si>
  <si>
    <t>R3380 - TECIDO CATAGUASES - GALLES MERCERIZADO 100% ALGODAO  TAFETA -  BRANCO (M)</t>
  </si>
  <si>
    <t>R3597 - TECIDO CATAGUASES - GALLES MERCERIZADO - ALGODAO-TAFETA - TP015301 - 100% ALGODAO - VERDE CLARO (M)</t>
  </si>
  <si>
    <t>R5398 - TECIDO CATAGUASES - OXFORD CALANDRADO 100% ALGODAO  - FIO TINTO MARROM (M)</t>
  </si>
  <si>
    <t>R7123 - TECIDO CATAGUASES - FORRO CAPITU CALANDRADO - 100% ALGODAO (M)</t>
  </si>
  <si>
    <t>TABLAA4064RN - TECIDO VICUNHA - WHITE OFF JEANS 9,5 NATURAL - SARJA - 100% ALGODAO (M)</t>
  </si>
  <si>
    <t>VES-CHE-ALG-AZU-G - VESTIDO ALGODA AZUL LISTRADO CHE - "G" (PC)</t>
  </si>
  <si>
    <t>VES-CHE-ALG-AZU-M - VESTIDO ALGODA AZUL LISTRADO CHE - "M" (PC)</t>
  </si>
  <si>
    <t>VES-CHE-ALG-AZU-P - VESTIDO ALGODA AZUL LISTRADO CHE - "P" (PC)</t>
  </si>
  <si>
    <t>VES-CHE-ALG-OFF-M - VESTIDO ALGODA OFF CHE - "M" (PC)</t>
  </si>
  <si>
    <t>VES-CHE-ALG-PAL-G - VESTIDO ALGODA PALHA CHE - "G" (PC)</t>
  </si>
  <si>
    <t>VES-CHE-ALG-PAL-M - VESTIDO ALGODA PALHA CHE - "M" (PC)</t>
  </si>
  <si>
    <t>VES-CHE-ALG-PAL-P - VESTIDO ALGODA PALHA CHE - "P" (PC)</t>
  </si>
  <si>
    <t>VES-CHE-ALG-PAL-PIL - VESTIDO ALGODA PALHA CHE - "PILOTO" (PC)</t>
  </si>
  <si>
    <t>VES-PIN-ALG-AZU-G - VESTIDO REGATA RETO ALGODAO AZUL PINGA - "G/42" (PC)</t>
  </si>
  <si>
    <t>VES-PIN-ALG-AZU-GG - VESTIDO REGATA RETO ALGODAO AZUL PINGA - "GG/44" (PC)</t>
  </si>
  <si>
    <t>VES-PIN-ALG-AZU-M - VESTIDO REGATA RETO ALGODAO AZUL PINGA - "M/40" (PC)</t>
  </si>
  <si>
    <t>VES-PIN-ALG-AZU-P - VESTIDO REGATA RETO ALGODAO AZUL PINGA - "P/38" (PC)</t>
  </si>
  <si>
    <t>VES-PIN-ALG-AZU-PP - VESTIDO REGATA RETO ALGODAO AZUL PINGA - "PP/36" (PC)</t>
  </si>
  <si>
    <t>VES-PIN-ALG-OCR-G - VESTIDO REGATA RETO ALGODAO OCRE PINGA - "G/42" (PC)</t>
  </si>
  <si>
    <t>VES-PIN-ALG-OCR-GG - VESTIDO REGATA RETO ALGODAO OCRE PINGA - "GG/44" (PC)</t>
  </si>
  <si>
    <t>VES-PIN-ALG-OCR-M - VESTIDO REGATA RETO ALGODAO OCRE PINGA - "M/40" (PC)</t>
  </si>
  <si>
    <t>VES-PIN-ALG-OCR-P - VESTIDO REGATA RETO ALGODAO OCRE PINGA - "P/38" (PC)</t>
  </si>
  <si>
    <t>VES-PIN-ALG-OCR-PP - VESTIDO REGATA RETO ALGODAO OCRE PINGA - "PP/36" (PC)</t>
  </si>
  <si>
    <t>7134000733R7 - TECIDO PARAMOUNT -  PRUNEL LEVE SUPER 120'S - 100% LA - CERAMICA - 733 (M)</t>
  </si>
  <si>
    <t>122003 - 745 - TECIDO WERNER - 80% ACETATO 20% VISCOSE - CREPE LEGERE - CAFE (745) (M)</t>
  </si>
  <si>
    <t>1293000742Q3 - TECIDO PARAMOUNT - TWILL FLANEL - A1292 - C742 - 100% LA - CAFE (M)</t>
  </si>
  <si>
    <t>48278CMB2 - FERRAGENS - ENFEITE INJETADO #NIQUEL B C/VZ - EI6020-71.2 - PE DA BOLSA (UN)</t>
  </si>
  <si>
    <t>713400058R7 - TECIDO PARAMOUNT -  PRUNEL LEVE SUPER 120'S - 100% LA - AZUL CEU - 583 (M)</t>
  </si>
  <si>
    <t>SUE-IRR-TRI-CER-G - SUETER TRICOT IRRE CERAMICA - "G" (PC)</t>
  </si>
  <si>
    <t>SUE-IRR-TRI-CER-M - SUETER TRICOT IRRE CERAMICA - "M" (PC)</t>
  </si>
  <si>
    <t>SUE-IRR-TRI-CER-P - SUETER TRICOT IRRE CERAMICA - "P" (PC)</t>
  </si>
  <si>
    <t>SUE-IRR-TRI-CRU-G - SUETER TRICOT IRRE CRU - "G" (PC)</t>
  </si>
  <si>
    <t>SUE-IRR-TRI-CRU-M - SUETER TRICOT IRRE CRU - "M" (PC)</t>
  </si>
  <si>
    <t>SUE-IRR-TRI-CRU-P - SUETER TRICOT IRRE CRU - "P" (PC)</t>
  </si>
  <si>
    <t>SUE-IRR-TRI-MIL-G - SUETER TRICOT IRRE VERDE MILITAR - "G" (PC)</t>
  </si>
  <si>
    <t>SUE-IRR-TRI-MIL-M - SUETER TRICOT IRRE VERDE MILITAR - "M" (PC)</t>
  </si>
  <si>
    <t>SUE-IRR-TRI-MIL-P - SUETER TRICOT IRRE VERDE MILITAR - "P" (PC)</t>
  </si>
  <si>
    <t>SUE-IRR-TRI-OFF-G - SUETER TRICOT IRRE BRANCO / OFF - "G" (PC)</t>
  </si>
  <si>
    <t>SUE-IRR-TRI-OFF-M - SUETER TRICOT IRRE BRANCO / OFF - "M" (PC)</t>
  </si>
  <si>
    <t>SUE-IRR-TRI-OFF-P - SUETER TRICOT IRRE BRANCO / OFF - "P" (PC)</t>
  </si>
  <si>
    <t>BLZ-PHI-LA-AZU-M - BLAZER ALFAIATARIA PHILO AZUL - "M" (PC)</t>
  </si>
  <si>
    <t>BLZ-PHI-LA-MAR-M - BLAZER ALFAIATARIA PHILO MARROM - "M" (PC)</t>
  </si>
  <si>
    <t>BLZ-PHI-LA-OFF-M - BLAZER ALFAIATARIA PHILO OFF - "M" (PC)</t>
  </si>
  <si>
    <t>CAM-MOS-LIN-MAR-M - CAMISETA MOSSORO MARROM - "M" (PC)</t>
  </si>
  <si>
    <t>CAM-MOS-LIN-ROS-M - CAMISETA MOSSORO ROSA - "M" (PC)</t>
  </si>
  <si>
    <t>CAM-MOS-LIN-VRM-M - CAMISETA MOSSORO CORAL - "M" (PC)</t>
  </si>
  <si>
    <t>CHI-FIL-BOR-OFF-35 - CHINELO MISCIANE - MISCI + THERPOLL - FILTRO DE BARRO - TIRA SEM PO DE MADEIRA - OFF - "35/36" (PARES)</t>
  </si>
  <si>
    <t>CHI-FIL-BOR-OFF-43 - CHINELO MISCIANE - MISCI + THERPOLL - FILTRO DE BARRO - TIRA SEM PO DE MADEIRA - OFF - "43/44" (PARES)</t>
  </si>
  <si>
    <t>CHI-FIL-MAD-AZU-35 - CHINELO MISCIANE - MISCI + THERPOLL - ESTAMPA FILTRO AZUL - TIRA COM PO DE MADEIRA - MARROM - "35/36" (PARES)</t>
  </si>
  <si>
    <t>CHI-FIL-MAD-AZU-37 - CHINELO MISCIANE - MISCI + THERPOLL - ESTAMPA FILTRO AZUL - TIRA COM PO DE MADEIRA - MARROM - "37/38" (PARES)</t>
  </si>
  <si>
    <t>CHI-FIL-MAD-AZU-39 - CHINELO MISCIANE - MISCI + THERPOLL - ESTAMPA FILTRO AZUL - TIRA COM PO DE MADEIRA - MARROM - "39/40" (PARES)</t>
  </si>
  <si>
    <t>CHI-FIL-MAD-MAR-35 - CHINELO MISCIANE - MISCI + THERPOLL - FILTRO DE BARRO - TIRA COM PO DE MADEIRA - MARROM - "35/36" (PARES)</t>
  </si>
  <si>
    <t>CHI-FIL-MAD-MAR-37 - CHINELO MISCIANE - MISCI + THERPOLL - FILTRO DE BARRO - TIRA COM PO DE MADEIRA - MARROM - "37/38" (PARES)</t>
  </si>
  <si>
    <t>CHI-FIL-MAD-MAR-39 - CHINELO MISCIANE - MISCI + THERPOLL - FILTRO DE BARRO - TIRA COM PO DE MADEIRA - MARROM - "39/40" (PARES)</t>
  </si>
  <si>
    <t>CHI-FIL-MAD-MAR-41 - CHINELO MISCIANE - MISCI + THERPOLL - FILTRO DE BARRO - TIRA COM PO DE MADEIRA - MARROM - "41/42" (PARES)</t>
  </si>
  <si>
    <t>CHI-MIS-MAD-MAR-35 - CHINELO MISCIANE - MISCI + THERPOLL - ESTAMPA MISCI - TIRA COM PO DE MADEIRA - MARROM - "35/36" (PARES)</t>
  </si>
  <si>
    <t>CHI-MIS-MAD-MAR-37 - CHINELO MISCIANE - MISCI + THERPOLL - ESTAMPA MISCI - TIRA COM PO DE MADEIRA - MARROM - "37/38" (PARES)</t>
  </si>
  <si>
    <t>CHI-MIS-MAD-MAR-39 - CHINELO MISCIANE - MISCI + THERPOLL - ESTAMPA MISCI - TIRA COM PO DE MADEIRA - MARROM - "39/40" (PARES)</t>
  </si>
  <si>
    <t>o CHI-FIL-MAD-MAR-43 - CHINELO MISCIANE - MISCI + THERPOLL - FILTRO DE BARRO - TIRA COM PO DE MADEIRA - MARROM - "43/44" (PARES)</t>
  </si>
  <si>
    <t>PRD00005 - ETIQUETA - cOs externo em PU pinhAo com queima 40 x 65mm - (UN)</t>
  </si>
  <si>
    <t>VES-SER-SED-MAR-TU - VESTIDO  SERU  - TU (PC)</t>
  </si>
  <si>
    <t>12588 - TECIDO GVALLONE - MAXICOTTON -  67% VISCOSE 33% ALGODAO - VERDE CUPUACU 11015 (MT)</t>
  </si>
  <si>
    <t>148307C7000032011 - TECIDO INNOVATIV - 100% ALGODAO - AMBROSIA (IGUAL AO SHIVA) - BEGE TEXTURIZADO 032 - GRAMATURA 209 - BERMUDA E CALCA (MT)</t>
  </si>
  <si>
    <t>26442 - FERRAGENS - REBITE / 0,5 CABECA BOCA LAT NIQUEL C C/VZ - R05CBAL2 - CABECA DE ENCAIXE DO PE DA BOLSA (UN)</t>
  </si>
  <si>
    <t>39722CMB3 - FERRAGENS - ARGOLA DE ACO ACABADO! NIQUEL C - AR1640-1N - 1 /2 ARGOLA GRANDE (UN)</t>
  </si>
  <si>
    <t>4445 - TECIDO GVALLONE - KUMARI AZUL CEU TRANCADO - 50% ALGODAO + 30% MODAL + 20% LINHO (MT)</t>
  </si>
  <si>
    <t>5693159 - TECIDO GVALLONE - KUMARI AMARELO DIJON TRANCADO - 50% ALGODAO + 30% MODAL + 20% LINHO (MT)</t>
  </si>
  <si>
    <t>BER-CAC-PET-VRD-M - BERMUDA PET VERDE LISTRADO CACHACA - "M" (PC)</t>
  </si>
  <si>
    <t>BLZ-PEQ-AVE-VRD-PRO - BLAZER ALFAIATARIA PEQUI VERDE - "PRODUCAO" (PC)</t>
  </si>
  <si>
    <t>CAC-PRA-TIE-MIS-G - CACHACA PRATA MISCI + TIE - 500 ML - 42% - GRANDE (UN)</t>
  </si>
  <si>
    <t>CAC-PRA-TIE-MIS-P - CACHACA PRATA MISCI + TIE - 140 ML - 42% - PEQUENA (UN)</t>
  </si>
  <si>
    <t>CAL-ALF-CLA-VIS-MAR-PIL - CALCA ALFAIATARIA CLASSICA  FEMININA - MARROM - "PILOTO" (PC)</t>
  </si>
  <si>
    <t>CAL-ALF-CRE-OFF-PIL - CALCA DE ALFAIATARIA CREPE OFF - "PILOTO" (PC)</t>
  </si>
  <si>
    <t>CAL-ALF-POL-MAR-M - CALCA ALFAIATE MARROM - "M" (PC)</t>
  </si>
  <si>
    <t>CAL-ALF-PRE-LA-BEG-PIL - CALCA ALFAIATARIA CLASSICA FEMININA BEGE  - "PILOTO" (PC)</t>
  </si>
  <si>
    <t>CAL-ALF-VIS-BEG-G - CALCA ALFAIATARIA BEGE ALFA - G (PC)</t>
  </si>
  <si>
    <t>CAL-ALF-VIS-BEG-GG - CALCA ALFAIATARIA BEGE ALFA - GG (PC)</t>
  </si>
  <si>
    <t>CAL-ALF-VIS-BEG-M - CALCA ALFAIATARIA BEGE ALFA - M (PC)</t>
  </si>
  <si>
    <t>CAL-ALF-VIS-BEG-P - CALCA ALFAIATARIA BEGE ALFA - P (PC)</t>
  </si>
  <si>
    <t>CAL-ALF-VIS-PRE-G - CALCA ALFAIATARIA PRETA ALFA - "G" (PC)</t>
  </si>
  <si>
    <t>CAL-ALF-VIS-PRE-GG - CALCA ALFAIATARIA PRETA ALFA - GG (PC)</t>
  </si>
  <si>
    <t>CAL-ALF-VIS-PRE-M - CALCA ALFAIATARIA PRETA ALFA - M (PC)</t>
  </si>
  <si>
    <t>CAL-ALF-VIS-PRE-P - CALCA ALFAIATARIA PRETA ALFA - P (PC)</t>
  </si>
  <si>
    <t>CAL-ALG-TRE-OFF-40 - CALCA ALGODAO TREVO LISTRADA - OFF - "40" (PC)</t>
  </si>
  <si>
    <t>CAL-ARI-ALG-AZU-36 - CALCA SARJA AZUL ARI - "36/PP" (PC)</t>
  </si>
  <si>
    <t>CAL-ARI-ALG-AZU-38 - CALCA SARJA AZUL ARI - "38/P" (PC)</t>
  </si>
  <si>
    <t>CAL-ARI-ALG-AZU-40 - CALCA SARJA AZUL ARI - "40/M" (PC)</t>
  </si>
  <si>
    <t>CAL-ARI-ALG-AZU-42 - CALCA SARJA AZUL ARI - "42/G" (PC)</t>
  </si>
  <si>
    <t>CAL-ARI-ALG-AZU-44 - CALCA SARJA AZUL ARI - "44/GG" (PC)</t>
  </si>
  <si>
    <t>CAL-ARI-ALG-AZU-46 - CALCA SARJA AZUL ARI - "46/GGG" (PC)</t>
  </si>
  <si>
    <t>CAL-ARI-ALG-AZU-PIL - CALCA JEANS AZUL ARI - "PILOTO" (PC)</t>
  </si>
  <si>
    <t>CAL-ARI-ALG-IND-36 - CALCA JEANS INDIGO ARI - "36/PP" (PC)</t>
  </si>
  <si>
    <t>CAL-ARI-ALG-IND-38 - CALCA JEANS INDIGO ARI - "38/P" (PC)</t>
  </si>
  <si>
    <t>CAL-ARI-ALG-IND-40 - CALCA JEANS INDIGO ARI - "40/M" (PC)</t>
  </si>
  <si>
    <t>CAL-ARI-ALG-IND-42 - CALCA JEANS INDIGO ARI - "42/G" (PC)</t>
  </si>
  <si>
    <t>CAL-ARI-ALG-IND-44 - CALCA JEANS INDIGO ARI - "44/GG" (PC)</t>
  </si>
  <si>
    <t>CAL-ARI-ALG-IND-46 - CALCA JEANS INDIGO ARI - "46/GGG" (PC)</t>
  </si>
  <si>
    <t>CAL-ARI-ALG-IND-PIL - CALCA JEANS INDIGO ARI - "PILOTO" (PC)</t>
  </si>
  <si>
    <t>CAL-ARI-ALG-OCR-36 - CALCA SARJA OCRE ARI - "36/PP" (PC)</t>
  </si>
  <si>
    <t>CAL-ARI-ALG-OCR-38 - CALCA SARJA OCRE ARI - "38/P" (PC)</t>
  </si>
  <si>
    <t>CAL-ARI-ALG-OCR-40 - CALCA SARJA OCRE ARI - "40/M" (PC)</t>
  </si>
  <si>
    <t>CAL-ARI-ALG-OCR-42 - CALCA SARJA OCRE ARI - "42/G" (PC)</t>
  </si>
  <si>
    <t>CAL-ARI-ALG-OCR-44 - CALCA SARJA OCRE ARI - "44/GG" (PC)</t>
  </si>
  <si>
    <t>CAL-ARI-ALG-OCR-46 - CALCA SARJA OCRE ARI - "46/GGG" (PC)</t>
  </si>
  <si>
    <t>CAL-ARI-ALG-OFF-36 - CALCA SARJA OFF ARI - "36/PP" (PC)</t>
  </si>
  <si>
    <t>CAL-ARI-ALG-OFF-38 - CALCA SARJA OFF ARI - "38/P" (PC)</t>
  </si>
  <si>
    <t>CAL-ARI-ALG-OFF-40 - CALCA SARJA OFF ARI - "40/M" (PC)</t>
  </si>
  <si>
    <t>CAL-ARI-ALG-OFF-42 - CALCA SARJA OFF ARI - "42/G" (PC)</t>
  </si>
  <si>
    <t>CAL-ARI-ALG-OFF-44 - CALCA SARJA OFF ARI - "44/GG" (PC)</t>
  </si>
  <si>
    <t>CAL-ARI-ALG-OFF-46 - CALCA SARJA OFF ARI - "46/GGG" (PC)</t>
  </si>
  <si>
    <t>CAL-ARI-ALG-VRD-38 - CALCA JEANS VERDE ARI - "38/P" (PC)</t>
  </si>
  <si>
    <t>CAL-ARI-ALG-VRD-40 - CALCA JEANS VERDE ARI - "40/M" (PC)</t>
  </si>
  <si>
    <t>CAL-ARI-ALG-VRD-42 - CALCA JEANS VERDE ARI - "42/G" (PC)</t>
  </si>
  <si>
    <t>CAL-ARI-ALG-VRD-44 - CALCA JEANS VERDE ARI - "44/GG" (PC)</t>
  </si>
  <si>
    <t>CAL-BOI-LA-CIN-M - CALCA ALFAIATARIA BOIA CINZA  - "M" (PC)</t>
  </si>
  <si>
    <t>CAL-BOL-ALG-VRD-TU - CALCA VERDE BOLEIA - "TU" (PC)</t>
  </si>
  <si>
    <t>CAL-CAL-VIS-AZU-TU - CALCA AZUL CAL- TU (PC)</t>
  </si>
  <si>
    <t>CAL-ELL-RAD-MAR-P - CALCA MARROM ELLE  - "P" (PC)</t>
  </si>
  <si>
    <t>CAL-ELL-RAD-OFF-G - CALCA OFF ELLE  - "G" (PC)</t>
  </si>
  <si>
    <t>CAL-ELL-RAD-OFF-M - CALCA OFF ELLE  - "M" (PC)</t>
  </si>
  <si>
    <t>CAL-ELL-RAD-OFF-P - CALCA OFF ELLE  - "P" (PC)</t>
  </si>
  <si>
    <t>CAL-ELL-RAD-VR2-M - CALCA VERDE ELLE  - "M" (PC)</t>
  </si>
  <si>
    <t>CAL-ELL-RAD-VRD-G - CALCA CUPUACU ELLE  - "G" (PC)</t>
  </si>
  <si>
    <t>CAL-ELL-RAD-VRD-M - CALCA CUPUACU ELLE  - "M" (PC)</t>
  </si>
  <si>
    <t>CAL-ELL-RAD-VRD-P - CALCA CUPUACU ELLE  - "P" (PC)</t>
  </si>
  <si>
    <t>CAL-FLA-ALG-MAR-36 - CALCA TWEED LISTRADA MARROM FLA - "36" (PC)</t>
  </si>
  <si>
    <t>CAL-FLA-ALG-MAR-38 - CALCA TWEED LISTRADA MARROM FLA - "38" (PC)</t>
  </si>
  <si>
    <t>CAL-FLA-ALG-MAR-40 - CALCA TWEED LISTRADA MARROM FLA - "40" (PC)</t>
  </si>
  <si>
    <t>CAL-FLA-ALG-MAR-42 - CALCA TWEED LISTRADA MARROM FLA - "42" (PC)</t>
  </si>
  <si>
    <t>CAL-FLA-ALG-MAR-44 - CALCA TWEED LISTRADA MARROM FLA - "44" (PC)</t>
  </si>
  <si>
    <t>CAL-FLA-ALG-MAR-46 - CALCA TWEED LISTRADA MARROM FLA - "46" (PC)</t>
  </si>
  <si>
    <t>CAL-FLA-ALG-MAR-48 - CALCA TWEED LISTRADA MARROM FLA - "48" (PC)</t>
  </si>
  <si>
    <t>CAL-FLA-ALG-VRD-36" - CALCA TWEED VERDE FLA - "36" (PC)</t>
  </si>
  <si>
    <t>CAL-FLA-ALG-VRD-38 - CALCA TWEED VERDE FLA - "38" (PC)</t>
  </si>
  <si>
    <t>CAL-FLA-ALG-VRD-40 - CALCA TWEED VERDE FLA - "40" (PC)</t>
  </si>
  <si>
    <t>CAL-FLA-ALG-VRD-42 - CALCA TWEED VERDE FLA - "42" (PC)</t>
  </si>
  <si>
    <t>CAL-FLA-ALG-VRD-44 - CALCA TWEED VERDE FLA - "44" (PC)</t>
  </si>
  <si>
    <t>CAL-FLA-VIS-MES-36 - CALCA TWEED MESCLA MARINHO FLA - "36" (PC)</t>
  </si>
  <si>
    <t>CAL-FLA-VIS-MES-38 - CALCA TWEED MESCLA MARINHO FLA - "38" (PC)</t>
  </si>
  <si>
    <t>CAL-FLA-VIS-MES-40 - CALCA TWEED MESCLA MARINHO FLA - "40" (PC)</t>
  </si>
  <si>
    <t>CAL-FLA-VIS-MES-42 - CALCA TWEED MESCLA MARINHO FLA - "42" (PC)</t>
  </si>
  <si>
    <t>CAL-FLA-VIS-MES-44 - CALCA TWEED MESCLA MARINHO FLA - "44" (PC)</t>
  </si>
  <si>
    <t>CAL-GAR-ALG-MAR-TU - CALCA MARROM GARFO- TU (PC)</t>
  </si>
  <si>
    <t>CAL-GIZ-POL-CIN-M - CALCA CINZA GIZ  - "M" (PC)</t>
  </si>
  <si>
    <t>CAL-ING-COT-MAS-G - CALCA ALGODAO VELUDO  MASCAVO INGA - "G/42" (PC)</t>
  </si>
  <si>
    <t>CAL-ING-COT-MAS-GG - CALCA ALGODAO VELUDO MASCAVO INGA - "GG/44" (PC)</t>
  </si>
  <si>
    <t>CAL-ING-COT-MAS-M - CALCA ALGODAO VELUDO MASCAVO INGA - "M/40" (PC)</t>
  </si>
  <si>
    <t>CAL-ING-COT-MAS-P - CALCA ALGODAO VELUDO MASCAVO INGA - "P/38" (PC)</t>
  </si>
  <si>
    <t>CAL-LAI-ALG-CRU-G - CALCA ALGODAO LISTRA CRU LAI - "G/42" (PC)</t>
  </si>
  <si>
    <t>CAL-LAI-ALG-CRU-M - CALCA ALGODAO LISTRA CRU LAI - "M/40" (PC)</t>
  </si>
  <si>
    <t>CAL-LAI-ALG-CRU-P - CALCA ALGODAO LISTRA CRU LAI - "P/38" (PC)</t>
  </si>
  <si>
    <t>CAL-LAI-ALG-ROS-G - CALCA ALGODAO LISTRA ROSA LAI - "G/42" (PC)</t>
  </si>
  <si>
    <t>CAL-LAI-ALG-ROS-M - CALCA ALGODAO LISTRA ROSA LAI - "M/40" (PC)</t>
  </si>
  <si>
    <t>CAL-LAI-ALG-ROS-P - CALCA ALGODAO LISTRA ROSA LAI - "P/38" (PC)</t>
  </si>
  <si>
    <t>CAL-LAI-VIS-MAR-G - CALCA VISCOSE MARROM FLORESTA LAI - "G/42" (PC)</t>
  </si>
  <si>
    <t>CAL-LAI-VIS-MAR-M - CALCA VISCOSE MARROM FLORESTA LAI - "M/40" (PC)</t>
  </si>
  <si>
    <t>CAL-LAI-VIS-MAR-P - CALCA VISCOSE MARROM FLORESTA LAI - "P/38" (PC)</t>
  </si>
  <si>
    <t>CAL-LAI-VIS-VRD-G - CALCA VISCOSE VERDE LAI - "G/42" (PC)</t>
  </si>
  <si>
    <t>CAL-LAI-VIS-VRD-M - CALCA VISCOSE VERDE LAI - "M/40" (PC)</t>
  </si>
  <si>
    <t>CAL-LAI-VIS-VRD-P - CALCA VISCOSE VERDE LAI - "P/38" (PC)</t>
  </si>
  <si>
    <t>CAL-MAM-FLA-GOI-PIL - CALCA MAMI FLAIRE GOIABA - "PILOTO" (PC)</t>
  </si>
  <si>
    <t>CAL-MAM-VIS-GOI-G - CALCA MAMI FLAIRE GOIABA - "G" (PC)</t>
  </si>
  <si>
    <t>CAL-MAM-VIS-GOI-M - CALCA MAMI FLAIRE GOIABA - "M" (PC)</t>
  </si>
  <si>
    <t>CAL-MAM-VIS-GOI-P - CALCA MAMI FLAIRE GOIABA - "P" (PC)</t>
  </si>
  <si>
    <t>CAL-MAM-VIS-MEN-G - CALCA MAMI FLAIRE VERDE MENTA - "G" (PC)</t>
  </si>
  <si>
    <t>CAL-MAM-VIS-MEN-M - CALCA MAMI FLAIRE VERDE MENTA - "M" (PC)</t>
  </si>
  <si>
    <t>CAL-MAM-VIS-MEN-P - CALCA MAMI FLAIRE VERDE MENTA - "P" (PC)</t>
  </si>
  <si>
    <t>CAL-MIN-ALG-AZU-G - CALCA MOLETOM MINHOCAO AZUL - "G" (PC)</t>
  </si>
  <si>
    <t>CAL-MIN-ALG-AZU-GG - CALCA MOLETOM MINHOCAO AZUL - "GG" (PC)</t>
  </si>
  <si>
    <t>CAL-MIN-ALG-AZU-M - CALCA MOLETOM MINHOCAO AZUL - "M" (PC)</t>
  </si>
  <si>
    <t>CAL-MIN-ALG-AZU-P - CALCA MOLETOM MINHOCAO AZUL - "P" (PC)</t>
  </si>
  <si>
    <t>CAL-MIN-ALG-AZU-PP - CALCA MOLETOM MINHOCAO AZUL - "PP" (PC)</t>
  </si>
  <si>
    <t>CAL-MIN-ALG-OFF-G - CALCA MOLETOM MINHOCAO OFF - "G" (PC)</t>
  </si>
  <si>
    <t>CAL-MIN-ALG-OFF-GG - CALCA MOLETOM MINHOCAO OFF - "GG" (PC)</t>
  </si>
  <si>
    <t>CAL-MIN-ALG-OFF-M - CALCA MOLETOM MINHOCAO OFF - "M" (PC)</t>
  </si>
  <si>
    <t>CAL-MIN-ALG-OFF-P - CALCA MOLETOM MINHOCAO OFF - "P" (PC)</t>
  </si>
  <si>
    <t>CAL-MIN-ALG-OFF-PP - CALCA MOLETOM MINHOCAO OFF - "PP" (PC)</t>
  </si>
  <si>
    <t>CAL-MIN-ALG-VDR-G - CALCA MOLETOM MINHOCAO VERDE - "G" (PC)</t>
  </si>
  <si>
    <t>CAL-MIN-ALG-VDR-GG - CALCA MOLETOM MINHOCAO VERDE - "GG" (PC)</t>
  </si>
  <si>
    <t>CAL-MIN-ALG-VDR-M - CALCA MOLETOM MINHOCAO VERDE - "M" (PC)</t>
  </si>
  <si>
    <t>CAL-MIN-ALG-VRD-P - CALCA MOLETOM MINHOCAO VERDE - "P" (PC)</t>
  </si>
  <si>
    <t>CAL-MIN-ALG-VRD-PP - CALCA MOLETOM MINHOCAO VERDE - "PP" (PC)</t>
  </si>
  <si>
    <t>CAL-PER-ALG-BEG-M - CALCA LIESTRA PERU - "M/40" (PC)</t>
  </si>
  <si>
    <t>CAL-PER-ALG-MAR-M - CALCA MARROM LISTRAS PERU - "M/40" (PC)</t>
  </si>
  <si>
    <t>CAL-PHY-LA-AZU-M - CALCA TERNO PHYLO AZUL - "M" (PC)</t>
  </si>
  <si>
    <t>CAL-PHY-LA-OFF-M - CALCA TERNO PHYLO OFF- "M" (PC)</t>
  </si>
  <si>
    <t>CAL-RIT-VIS-MAR-34 - CALCA RITA ALFAIATARIA FEMININA - MARROM - "34" (PC)</t>
  </si>
  <si>
    <t>CAL-RIT-VIS-MAR-36 - CALCA RITA ALFAIATARIA FEMININA - MARROM - "36" (PC)</t>
  </si>
  <si>
    <t>CAL-RIT-VIS-MAR-38 - CALCA RITA ALFAIATARIA FEMININA - MARROM - "38" (PC)</t>
  </si>
  <si>
    <t>CAL-RIT-VIS-MAR-40 - CALCA RITA ALFAIATARIA FEMININA - MARROM - "40" (PC)</t>
  </si>
  <si>
    <t>CAL-RIT-VIS-MAR-42 - CALCA RITA ALFAIATARIA FEMININA - MARROM - "42" (PC)</t>
  </si>
  <si>
    <t>CAL-RIT-VIS-MAR-44 - CALCA RITA ALFAIATARIA FEMININA - MARROM - "44" (PC)</t>
  </si>
  <si>
    <t>CAL-RIT-VIS-OFF-38 - CALCA RITA ALFAIATARIA FEMININA - OFF - "38" (PC)</t>
  </si>
  <si>
    <t>CAL-RIT-VIS-OFF-40 - CALCA RITA ALFAIATARIA FEMININA - OFF - "40" (PC)</t>
  </si>
  <si>
    <t>CAL-RIT-VIS-OFF-42 - CALCA RITA ALFAIATARIA FEMININA - OFF - "42" (PC)</t>
  </si>
  <si>
    <t>CAL-THA-ALG-MAR-TU - CALCA MARROM THAI - "TU" (PC)</t>
  </si>
  <si>
    <t>CAL-TRE-ALG-OFF-36 - CALCA ALGODAO TREVO LISTRADA - OFF - "36" (PC)</t>
  </si>
  <si>
    <t>CAL-TRE-ALG-OFF-38 - CALCA ALGODAO TREVO LISTRADA - OFF - "38" (PC)</t>
  </si>
  <si>
    <t>CAL-TRE-ALG-OFF-42 - CALCA ALGODAO TREVO LISTRADA - OFF - "42" (PC)</t>
  </si>
  <si>
    <t>CAL-TRE-ALG-OFF-44 - CALCA ALGODAO TREVO LISTRADA - OFF - "44" (PC)</t>
  </si>
  <si>
    <t>CAL-TRE-AML-VRD-36 - CALCA ALGODAO TREVO VERDE - "36" (PC)</t>
  </si>
  <si>
    <t>CAL-TRE-AML-VRD-38 - CALCA ALGODAO TREVO VERDE - "38" (PC)</t>
  </si>
  <si>
    <t>CAL-TRE-AML-VRD-40 - CALCA ALGODAO TREVO VERDE - "40" (PC)</t>
  </si>
  <si>
    <t>CAL-TRE-AML-VRD-42 - CALCA ALGODAO TREVO VERDE - "42" (PC)</t>
  </si>
  <si>
    <t>CAL-TRE-AML-VRD-44 - CALCA ALGODAO TREVO VERDE - "44" (PC)</t>
  </si>
  <si>
    <t>CAM-51-ALG-BEG-M - CAMISETA LISTRADA BEGE CACHACA - "M" (PC)</t>
  </si>
  <si>
    <t>CAM-51-LIN-VRD-M - CAMISETA LISTRADA VERDE CACHACA - "M" (PC)</t>
  </si>
  <si>
    <t>CMC-LIN-BOR-OFF-G - CAMISA MANGA CURTA LINHO - CABACA - BORDADA - OFF - "G" (PC)</t>
  </si>
  <si>
    <t>CMC-LIN-BOR-OFF-GG - CAMISA MANGA CURTA LINHO - CABACA - BORDADA - OFF - "GG" (PC)</t>
  </si>
  <si>
    <t>CMC-LIN-BOR-OFF-M - CAMISA MANGA CURTA LINHO - CABACA - BORDADA - OFF - "M" (PC)</t>
  </si>
  <si>
    <t>CMC-LIN-BOR-OFF-P - CAMISA MANGA CURTA LINHO - CABACA - BORDADA - OFF - "P" (PC)</t>
  </si>
  <si>
    <t>CMC-LIN-CAB-OFF-G - CAMISA MANGA CURTA LINHO - CABACA - OFF - "G" (PC)</t>
  </si>
  <si>
    <t>CMC-LIN-CAB-OFF-GG - CAMISA MANGA CURTA LINHO - CABACA - OFF - "GG" (PC)</t>
  </si>
  <si>
    <t>CMC-LIN-CAB-OFF-M - CAMISA MANGA CURTA LINHO - CABACA - OFF - "M" (PC)</t>
  </si>
  <si>
    <t>CMC-LIN-CAB-OFF-P - CAMISA MANGA CURTA LINHO - CABACA - OFF - "P" (PC)</t>
  </si>
  <si>
    <t>CMC-LIN-CAB-OFF-PIL - CAMISA MANGA CURTA LINHO - CABACA - OFF -  "PILOTO" (PC)</t>
  </si>
  <si>
    <t>CMC-LIN-CAB-OFF-PP - CAMISA MANGA CURTA LINHO - CABACA - OFF - "PP" (PC)</t>
  </si>
  <si>
    <t>CMC-LIN-CAB-TAB-G - CAMISA MANGA CURTA LINHO - CABACA - TABACO - "G" (PC)</t>
  </si>
  <si>
    <t>CMC-LIN-CAB-TAB-GG - CAMISA MANGA CURTA LINHO - CABACA - TABACO - "GG" (PC)</t>
  </si>
  <si>
    <t>CMC-LIN-CAB-TAB-M - CAMISA MANGA CURTA LINHO - CABACA - TABACO - "M" (PC)</t>
  </si>
  <si>
    <t>CMC-LIN-CAB-TAB-P - CAMISA MANGA CURTA LINHO - CABACA - TABACO - "P" (PC)</t>
  </si>
  <si>
    <t>CMC-LIN-CAB-TAB-PP - CAMISA MANGA CURTA LINHO - CABACA - TABACO - "PP" (PC)</t>
  </si>
  <si>
    <t>CMC-LIN-CAB-VRD-G - CAMISA MANGA CURTA LINHO - CABACA - VERDE - "G" (PC)</t>
  </si>
  <si>
    <t>CMC-LIN-CAB-VRD-GG - CAMISA MANGA CURTA LINHO - CABACA - VERDE - "GG" (PC)</t>
  </si>
  <si>
    <t>CMC-LIN-CAB-VRD-M - CAMISA MANGA CURTA LINHO - CABACA - VERDE - "M" (PC)</t>
  </si>
  <si>
    <t>CMC-LIN-CAB-VRD-P - CAMISA MANGA CURTA LINHO - CABACA - VERDE - "P" (PC)</t>
  </si>
  <si>
    <t>CMC-LIN-CAB-VRD-PP - CAMISA MANGA CURTA LINHO - CABACA - VERDE - "PP" (PC)</t>
  </si>
  <si>
    <t>CML-LIN-CAB-AZU-G - CAMISA MANGA LONGA LINHO - CABACA - AZUL - "G" (PC)</t>
  </si>
  <si>
    <t>CML-LIN-CAB-AZU-GG - CAMISA MANGA LONGA LINHO - CABACA - AZUL - "GG" (PC)</t>
  </si>
  <si>
    <t>CML-LIN-CAB-AZU-M - CAMISA MANGA LONGA LINHO - CABACA - AZUL - "M" (PC)</t>
  </si>
  <si>
    <t>CML-LIN-CAB-AZU-P - CAMISA MANGA LONGA LINHO - CABACA - AZUL - "P" (PC)</t>
  </si>
  <si>
    <t>CML-LIN-CAB-AZU-PP - CAMISA MANGA LONGA LINHO - CABACA - AZUL - "PP" (PC)</t>
  </si>
  <si>
    <t>CML-LIN-CAB-OFF-G - CAMISA MANGA LONGA LINHO - CABACA - OFF - "G" (PC)</t>
  </si>
  <si>
    <t>CML-LIN-CAB-OFF-GG - CAMISA MANGA LONGA LINHO - CABACA - OFF - "GG" (PC)</t>
  </si>
  <si>
    <t>CML-LIN-CAB-OFF-M - CAMISA MANGA LONGA LINHO - CABACA - OFF - "M" (PC)</t>
  </si>
  <si>
    <t>CML-LIN-CAB-OFF-P - CAMISA MANGA LONGA LINHO - CABACA - OFF - "P" (PC)</t>
  </si>
  <si>
    <t>CML-LIN-CAB-OFF-PP - CAMISA MANGA LONGA LINHO - CABACA - OFF - "PP" (PC)</t>
  </si>
  <si>
    <t>COL-PRA-TIE-MIS-P - COLHER CACHACA PRATA MISCI + TIE (UN)</t>
  </si>
  <si>
    <t>COL-TAP-LUC-TU - TAPECARIA LUIZA CALDARI + MISCI (PC)</t>
  </si>
  <si>
    <t>MOL-ELL-RAD-VRD-G - MOLETOM CUPUACU ELLE - "G" (PC)</t>
  </si>
  <si>
    <t>MOL-ELL-RAD-VRD-M - MOLETOM CUPUACU ELLE - "M" (PC)</t>
  </si>
  <si>
    <t>MOL-ELL-RAD-VRD-P - MOLETOM CUPUACU ELLE - "P" (PC)</t>
  </si>
  <si>
    <t>PRD00003 - ALCA DA BOLSA NINE (PC)</t>
  </si>
  <si>
    <t>PRD00006 - FERRAGENS - ARGOLA DE ACO ACABADO! NIQUEL C - AI1335-1 - 1/2 ARGOLA BOLSA PEQUENA (UN)</t>
  </si>
  <si>
    <t>PRD00011 - Fita gomada papel Kraft 80g/m2  - 1 cor Sem reforCo  - 60mm x 180 metros peso rolo: 1,242 kg (UN)</t>
  </si>
  <si>
    <t>RAS-CHI-COR-WHI-PRO - RASTEIRA COURO WHISKY CHINELAO - "PRODUCAO" (PARES)</t>
  </si>
  <si>
    <t>SAP-MI-COR-WHI-PRO - SAPATO MULE MISCI COURO WHISKY / PLATAFORMA CONHAQUE MI - "PRODUCAO" (PARES)</t>
  </si>
  <si>
    <t>000000000140160</t>
  </si>
  <si>
    <t>00000000023450</t>
  </si>
  <si>
    <t>PRETO</t>
  </si>
  <si>
    <t>TECIDO SANTA  CONSTACIA - MODAL PLUS (CO2) 5577 - 83% MODAL + 12% POLIAMIDA + 5% ELASTANO</t>
  </si>
  <si>
    <t>TECIDO SANTA  CONSTACIA - MODAL PLUS (CO2) 5577 - 83% MODAL + 12% POLIAMIDA + 5% ELASTANO PRETO</t>
  </si>
  <si>
    <t>000000000239135</t>
  </si>
  <si>
    <t>BRANCO</t>
  </si>
  <si>
    <t>TECIDO SANTA CONSTANCIA - WAY BI STRETCH - 92% POLIAMIDA 8% ELASTANO</t>
  </si>
  <si>
    <t>TECIDO SANTA CONSTANCIA - WAY BI STRETCH - 92% POLIAMIDA 8% ELASTANO BRANCO</t>
  </si>
  <si>
    <t>000000000240014</t>
  </si>
  <si>
    <t>00000000239541</t>
  </si>
  <si>
    <t>0000000235480</t>
  </si>
  <si>
    <t>OFF</t>
  </si>
  <si>
    <t>TECIDO SANTA  CONSTACIA - MODAL PLUS (CO2) 5577 - 83% MODAL + 12% POLIAMIDA + 5% ELASTANO OFF</t>
  </si>
  <si>
    <t>000121 31247</t>
  </si>
  <si>
    <t>000184</t>
  </si>
  <si>
    <t>AZUL</t>
  </si>
  <si>
    <t>TECIDO DI GRECCO - NUSA DG NOVA - ESTAMPADO FILTRO DE BARRO 02</t>
  </si>
  <si>
    <t>TECIDO DI GRECCO - NUSA DG NOVA - ESTAMPADO FILTRO DE BARRO 02 AZUL</t>
  </si>
  <si>
    <t>00018400310133184OW001</t>
  </si>
  <si>
    <t>0002005</t>
  </si>
  <si>
    <t>00024</t>
  </si>
  <si>
    <t>0009J</t>
  </si>
  <si>
    <t>01101000191/000</t>
  </si>
  <si>
    <t>ROSE</t>
  </si>
  <si>
    <t>TECIDO STROBEL - TAFETA S/D/191 AL - 100% ACETATO</t>
  </si>
  <si>
    <t>TECIDO STROBEL - TAFETA S/D/191 AL - 100% ACETATO ROSE</t>
  </si>
  <si>
    <t>01107.00.097</t>
  </si>
  <si>
    <t>CARAMELO</t>
  </si>
  <si>
    <t>VELUDO</t>
  </si>
  <si>
    <t>VELUDO CARAMELO</t>
  </si>
  <si>
    <t>02014</t>
  </si>
  <si>
    <t>BEGE</t>
  </si>
  <si>
    <t>TECIDO GILDO - TIRELLA - 74% ALGODAO 26% POLIESTER</t>
  </si>
  <si>
    <t>TECIDO GILDO - TIRELLA - 74% ALGODAO 26% POLIESTER BEGE</t>
  </si>
  <si>
    <t>02021</t>
  </si>
  <si>
    <t>LISTRADO</t>
  </si>
  <si>
    <t>TECIDO GILDO - TRCIOLINE TEC 4961 - 100% ALGODAO</t>
  </si>
  <si>
    <t>TECIDO GILDO - TRCIOLINE TEC 4961 - 100% ALGODAO LISTRADO</t>
  </si>
  <si>
    <t>02150000102/000</t>
  </si>
  <si>
    <t>02150000106/000</t>
  </si>
  <si>
    <t>MARROM</t>
  </si>
  <si>
    <t>TECIDO STROBEL - SARJA S/D/106 VIC - 100% ACETATO</t>
  </si>
  <si>
    <t>TECIDO STROBEL - SARJA S/D/106 VIC - 100% ACETATO MARROM</t>
  </si>
  <si>
    <t>02150000107/000</t>
  </si>
  <si>
    <t>TECIDO STROBEL - SARJA S/D/107 ARE - 100% ACETATO</t>
  </si>
  <si>
    <t>TECIDO STROBEL - SARJA S/D/107 ARE - 100% ACETATO ROSE</t>
  </si>
  <si>
    <t>02150000122/000</t>
  </si>
  <si>
    <t>TECIDO STROBEL - SARJA S/D/122 AZU - 100% ACETATO</t>
  </si>
  <si>
    <t>TECIDO STROBEL - SARJA S/D/122 AZU - 100% ACETATO AZUL</t>
  </si>
  <si>
    <t>02150000139/000</t>
  </si>
  <si>
    <t>VERDE</t>
  </si>
  <si>
    <t>TECIDO STROBEL - SARJA S/D/139 KAK - 100% ACETATO</t>
  </si>
  <si>
    <t>TECIDO STROBEL - SARJA S/D/139 KAK - 100% ACETATO VERDE</t>
  </si>
  <si>
    <t>02150000194/000</t>
  </si>
  <si>
    <t>TECIDO STROBEL - SARJA S/D/194 ARE - 100% ACETATO</t>
  </si>
  <si>
    <t>TECIDO STROBEL - SARJA S/D/194 ARE - 100% ACETATO ROSE</t>
  </si>
  <si>
    <t>048225T7000032011</t>
  </si>
  <si>
    <t>TECIDO INNOVATIV - COCONUT - 100%ALGODAO 00032 - COR</t>
  </si>
  <si>
    <t>TECIDO INNOVATIV - COCONUT - 100%ALGODAO 00032 - COR BEGE</t>
  </si>
  <si>
    <t>0L853000102/000</t>
  </si>
  <si>
    <t>TECIDO STROBEL - PONGEE 73G/M S/ - 100% POLIESTER</t>
  </si>
  <si>
    <t>TECIDO STROBEL - PONGEE 73G/M S/ - 100% POLIESTER BEGE</t>
  </si>
  <si>
    <t>10002120104</t>
  </si>
  <si>
    <t>NATURAL</t>
  </si>
  <si>
    <t>TECIDO EVOLVE - COZY WHITE ASPARGUS - CRU/</t>
  </si>
  <si>
    <t>TECIDO EVOLVE - COZY WHITE ASPARGUS - CRU/ OFF</t>
  </si>
  <si>
    <t>10002181142</t>
  </si>
  <si>
    <t>100573</t>
  </si>
  <si>
    <t>BOTAO FORT HORN (100573)</t>
  </si>
  <si>
    <t>BOTAO FORT HORN (100573) MARROM</t>
  </si>
  <si>
    <t>10110</t>
  </si>
  <si>
    <t>TECIDO DESIREE - LINHO BLUE FA -  COR PALHA (</t>
  </si>
  <si>
    <t>111019/6</t>
  </si>
  <si>
    <t>TECIDO WERNER - SEDA PURA 100% - SUDAO</t>
  </si>
  <si>
    <t>TECIDO WERNER - SEDA PURA 100% - GRUTA</t>
  </si>
  <si>
    <t>111067</t>
  </si>
  <si>
    <t>ROSA</t>
  </si>
  <si>
    <t>TECIDO WERNER - SEDA PURA 100%</t>
  </si>
  <si>
    <t>111194 (2)</t>
  </si>
  <si>
    <t>TECIDO WERNER - SEDA PURA 100%  - SATIN SILK PREMIUM</t>
  </si>
  <si>
    <t>111194</t>
  </si>
  <si>
    <t>TECIDO WERNER - SEDA PURA 100% - GIARDINO  - SATIN  SILK PREMIUM</t>
  </si>
  <si>
    <t>TECIDO WERNER - SEDA PURA 100% - CREPE DE CHINE LEVE</t>
  </si>
  <si>
    <t>TECIDO WERNER - SEDA PURA 100% -  SATIN SILK PREMIUM</t>
  </si>
  <si>
    <t>111199</t>
  </si>
  <si>
    <t>1141</t>
  </si>
  <si>
    <t>11427</t>
  </si>
  <si>
    <t>TECIDO DESIREE - LINHO BLUE FA - COR</t>
  </si>
  <si>
    <t>11430</t>
  </si>
  <si>
    <t>TECIDO DESIREE - LINHO BLUE FA - COR NUDE (</t>
  </si>
  <si>
    <t>1172</t>
  </si>
  <si>
    <t>TECIDO STROBEL - 100% ACETATO</t>
  </si>
  <si>
    <t>12</t>
  </si>
  <si>
    <t>GRAOS</t>
  </si>
  <si>
    <t>122003</t>
  </si>
  <si>
    <t>TECIDO WERNER - 80% ACETATO 20% VISCOSE - CREPE LEGERE</t>
  </si>
  <si>
    <t>VERMELHO</t>
  </si>
  <si>
    <t>122041</t>
  </si>
  <si>
    <t>TECIDO WERNER - CREPE FLORA-  68% ACETATO 20% MODAL 12% LIOCEL</t>
  </si>
  <si>
    <t>12220</t>
  </si>
  <si>
    <t>TECIDO WERNER - ESSENCE -  63%ACETATO 34%POLIAMIDA 3%ELASTANO</t>
  </si>
  <si>
    <t>TECIDO WERNER - ESSENCE-  63% ACETATO 34% POLIAMIDA 34% ELASTANO</t>
  </si>
  <si>
    <t>122220</t>
  </si>
  <si>
    <t>LARANJA</t>
  </si>
  <si>
    <t>122448</t>
  </si>
  <si>
    <t>TECIDO WERNER - CREPE PATOU-  71%ACETATO 29% VISCOSE</t>
  </si>
  <si>
    <t>125110T000550011</t>
  </si>
  <si>
    <t>125110T7000162011</t>
  </si>
  <si>
    <t>125112C7000002011</t>
  </si>
  <si>
    <t>TECIDO INNOVATIV - 100% ALGODAO - AGRESTE</t>
  </si>
  <si>
    <t>125112C7000032011</t>
  </si>
  <si>
    <t>125135T07000218011</t>
  </si>
  <si>
    <t>TECIDO INNOVATIV - 100% ALGODAO</t>
  </si>
  <si>
    <t>125136T7000490011</t>
  </si>
  <si>
    <t>TECIDO INNOVATIV - 100% ALGODAO -  RELEVO (COSTURA)</t>
  </si>
  <si>
    <t>125137T7000490011</t>
  </si>
  <si>
    <t>125142</t>
  </si>
  <si>
    <t>TECIDO INNOVATIV - 100% ALGODAO - MOQUECA</t>
  </si>
  <si>
    <t>125142T7000550011</t>
  </si>
  <si>
    <t>12588</t>
  </si>
  <si>
    <t>TECIDO GVALLONE - MAXICOTTON -  67% VISCOSE 33% ALGODAO</t>
  </si>
  <si>
    <t>12610004</t>
  </si>
  <si>
    <t>1293000365Q3</t>
  </si>
  <si>
    <t>1293000716R7</t>
  </si>
  <si>
    <t>TECIDO PARAMOUNT - TWILL FLANEL - 1293</t>
  </si>
  <si>
    <t>1293000742Q3</t>
  </si>
  <si>
    <t>136212</t>
  </si>
  <si>
    <t>TECIDO INNOVATIV - 100% ALGODAO - MATELASSE LOGO MISCI</t>
  </si>
  <si>
    <t>136212T3700819011</t>
  </si>
  <si>
    <t>TECIDO INNOVATIV - 100% ALGODAO - FAVA</t>
  </si>
  <si>
    <t>136212T3700858011</t>
  </si>
  <si>
    <t>141000</t>
  </si>
  <si>
    <t>141003</t>
  </si>
  <si>
    <t>TECIDO WERNER - 100% LINHO</t>
  </si>
  <si>
    <t>148172T7000129011</t>
  </si>
  <si>
    <t>TECIDO INNOVATIV - GURU - 100% ALGODAO 00129</t>
  </si>
  <si>
    <t>148189C7000032011</t>
  </si>
  <si>
    <t>TECIDO INNOVATIV - 100% ALGODAO - SHIVA (IGUAL AMBROSIA)</t>
  </si>
  <si>
    <t>148250T700052011</t>
  </si>
  <si>
    <t>148281T7000275011</t>
  </si>
  <si>
    <t>148282T7000243011</t>
  </si>
  <si>
    <t>148307C7000032011</t>
  </si>
  <si>
    <t>TECIDO INNOVATIV - 100% ALGODAO - AMBROSIA (IGUAL AO SHIVA)</t>
  </si>
  <si>
    <t>148323C7000001011</t>
  </si>
  <si>
    <t>148324C7000001011</t>
  </si>
  <si>
    <t>TECIDO INNOVATIV - 100% ALGODAO - MATELASSE FUXICO</t>
  </si>
  <si>
    <t>148325T7000264001</t>
  </si>
  <si>
    <t>CINZA</t>
  </si>
  <si>
    <t>TECIDO INNOVATIV - 100% ALGODAO - FRAJAS</t>
  </si>
  <si>
    <t>148325T7000490011</t>
  </si>
  <si>
    <t>148327</t>
  </si>
  <si>
    <t>TECIDO INNOVATIV - 100% ALGODAO -  QUADRICULADO/DESFIADO</t>
  </si>
  <si>
    <t>148328</t>
  </si>
  <si>
    <t>148329</t>
  </si>
  <si>
    <t>14836T000447011</t>
  </si>
  <si>
    <t>150002151218</t>
  </si>
  <si>
    <t>15272CMB3</t>
  </si>
  <si>
    <t>15589</t>
  </si>
  <si>
    <t>TECIDO GVALLONE - CHRISTIE</t>
  </si>
  <si>
    <t>162014</t>
  </si>
  <si>
    <t>162555</t>
  </si>
  <si>
    <t>TECIDO WERNER - ALGODAO 52% VISCOSE 45% ELASTANO 3% - COTTON  STRETCH NATE</t>
  </si>
  <si>
    <t>191003</t>
  </si>
  <si>
    <t>TECIDO WERNER - 100% MODAL - BELLA MODAL</t>
  </si>
  <si>
    <t>192026</t>
  </si>
  <si>
    <t>TECIDO WERNER - CUPRO 57% MODAL 43% - AVA</t>
  </si>
  <si>
    <t>2150</t>
  </si>
  <si>
    <t>TECIDO STROBEL - SARJA S/D 131 - 100% ACETATO</t>
  </si>
  <si>
    <t>2202253026</t>
  </si>
  <si>
    <t>235</t>
  </si>
  <si>
    <t>TECIDO HJ - ANIMALE 100% ALGODAO -REND 3,6 - DEMI</t>
  </si>
  <si>
    <t>2425FT0103</t>
  </si>
  <si>
    <t>TECIDO FIOBOM - MINI-QUADRICULADO</t>
  </si>
  <si>
    <t>2569</t>
  </si>
  <si>
    <t>TECIDO GVALLONE - NASSAU 10995</t>
  </si>
  <si>
    <t>26442</t>
  </si>
  <si>
    <t>2700260154</t>
  </si>
  <si>
    <t>2700903026</t>
  </si>
  <si>
    <t>TECIDO BUDI - RIB 2X1 C/ELAST-98%ALGODAO2%ELASTANO-GD COR</t>
  </si>
  <si>
    <t>2700905274</t>
  </si>
  <si>
    <t>TECIDO BUDI - CANELADO RIB 2X1 C/ELAST COR</t>
  </si>
  <si>
    <t>2700909956</t>
  </si>
  <si>
    <t>OFF WHITE</t>
  </si>
  <si>
    <t>274</t>
  </si>
  <si>
    <t>PILOTO</t>
  </si>
  <si>
    <t>28798CMB2</t>
  </si>
  <si>
    <t>3038</t>
  </si>
  <si>
    <t>TECIDO HJ - ANIMALE 100% ALOGDAO - REND 3,6 - PETER</t>
  </si>
  <si>
    <t>3047003000101</t>
  </si>
  <si>
    <t>TECIDO JB - ANTUERPIA (V)</t>
  </si>
  <si>
    <t>3125671</t>
  </si>
  <si>
    <t>TECIDO GVALLONE - MARION 10838 100% ALGODAO</t>
  </si>
  <si>
    <t>3150</t>
  </si>
  <si>
    <t>TECIDO HJ - ANIMALE 100% ALGODAO -REND 3,6 - PORSHE</t>
  </si>
  <si>
    <t>3369</t>
  </si>
  <si>
    <t>TECIDO GVALLONE - KUMARI W299</t>
  </si>
  <si>
    <t>3453010715I3</t>
  </si>
  <si>
    <t>TECIDO PARAMOUNT - SUPER TROPICAL- 3453</t>
  </si>
  <si>
    <t>34732</t>
  </si>
  <si>
    <t>TECIDO DI GRECCO - SILK LIGHT ESTAMPADO</t>
  </si>
  <si>
    <t>34733</t>
  </si>
  <si>
    <t>TECIDO DI GRECCO - ESTAMPA</t>
  </si>
  <si>
    <t>34734</t>
  </si>
  <si>
    <t>34735</t>
  </si>
  <si>
    <t>39722CMB3</t>
  </si>
  <si>
    <t>4009111709Q3</t>
  </si>
  <si>
    <t>TECIDO PARAMOUNT - TROPICAL LEVE - 4009</t>
  </si>
  <si>
    <t>4157000774Q3</t>
  </si>
  <si>
    <t>TECIDO PARAMOUNT - GABARDINE SUPER 120 S - 4157</t>
  </si>
  <si>
    <t>4157000868Q3</t>
  </si>
  <si>
    <t>4167011707Q3</t>
  </si>
  <si>
    <t>TECIDO PARAMOUNT - PRUNEL FLANNEL S 120 - A4167 - C707- 100% LA</t>
  </si>
  <si>
    <t>4445</t>
  </si>
  <si>
    <t>TECIDO GVALLONE - KUMARI</t>
  </si>
  <si>
    <t>4528L01</t>
  </si>
  <si>
    <t>TECIDO FIOBOM - LISO</t>
  </si>
  <si>
    <t>4528L151</t>
  </si>
  <si>
    <t>4528L180</t>
  </si>
  <si>
    <t>4528lXXX</t>
  </si>
  <si>
    <t>4529EX74202</t>
  </si>
  <si>
    <t>TECIDO FIOBOM</t>
  </si>
  <si>
    <t>4529EX74602</t>
  </si>
  <si>
    <t>4529EX75206</t>
  </si>
  <si>
    <t>4529EX78401</t>
  </si>
  <si>
    <t>45891</t>
  </si>
  <si>
    <t>TECIDO GVALLONE - MARION 8134 100% ALGODAO</t>
  </si>
  <si>
    <t>4645</t>
  </si>
  <si>
    <t>48256CMB2</t>
  </si>
  <si>
    <t>48278CMB2</t>
  </si>
  <si>
    <t>48424CMB2</t>
  </si>
  <si>
    <t>4921021009998</t>
  </si>
  <si>
    <t>TECIDO JB - C.ST.BOTONE (FL)  PT (PR. P/TINGIR LISO)</t>
  </si>
  <si>
    <t>52308C8654</t>
  </si>
  <si>
    <t>5258003009998</t>
  </si>
  <si>
    <t>TECIDO JB - C.S.BLACK (MR/TB/PE)  PT (PR. P/TINGIR LISO)</t>
  </si>
  <si>
    <t>5286001009998</t>
  </si>
  <si>
    <t>5363007009998</t>
  </si>
  <si>
    <t>TECIDO JB - C.S.LINEN (V/FM)  PT (PR. P/TINGIR LISO) - CRU COM LISTRAS</t>
  </si>
  <si>
    <t>542157</t>
  </si>
  <si>
    <t>561397</t>
  </si>
  <si>
    <t>TECIDO GVALLONE - COCONUT LISTRA MISCI HORT/BORDO/</t>
  </si>
  <si>
    <t>5634L101</t>
  </si>
  <si>
    <t>5693159</t>
  </si>
  <si>
    <t>DIJON</t>
  </si>
  <si>
    <t>AMARELO</t>
  </si>
  <si>
    <t>5695321</t>
  </si>
  <si>
    <t>TECIDO GVALLONE - COCONUT MESCLA</t>
  </si>
  <si>
    <t>56FT3701</t>
  </si>
  <si>
    <t>586</t>
  </si>
  <si>
    <t>5913</t>
  </si>
  <si>
    <t>TECIDO GVALLONE - MAXINE ALFAIATARIA - 100% VISVOSE</t>
  </si>
  <si>
    <t>59672700813</t>
  </si>
  <si>
    <t>5971</t>
  </si>
  <si>
    <t>TECIDO GVALLONE - ALMA 100% ALGODAO</t>
  </si>
  <si>
    <t>6010</t>
  </si>
  <si>
    <t>6033</t>
  </si>
  <si>
    <t>TECIDO GVALLONE</t>
  </si>
  <si>
    <t>622</t>
  </si>
  <si>
    <t>6248FT2401</t>
  </si>
  <si>
    <t>6555</t>
  </si>
  <si>
    <t>TECIDO GVALLONE - CHRISTIE 10881</t>
  </si>
  <si>
    <t>659362</t>
  </si>
  <si>
    <t>TECIDO GVALLONE - NUSA</t>
  </si>
  <si>
    <t>6733008009998</t>
  </si>
  <si>
    <t>TECIDO JB - BOTONE BLACK (ML)  PT (PR. P/TINGIR LISO)</t>
  </si>
  <si>
    <t>6892470</t>
  </si>
  <si>
    <t>TECIDO GVALLONE - MAXINE ALFAIATARIA - 100% VISCOSE</t>
  </si>
  <si>
    <t>701</t>
  </si>
  <si>
    <t>TECIDO HJ - ANIMALE 100% ALGODAO -REND 3,6 -  CALDAS</t>
  </si>
  <si>
    <t>7013388705R7</t>
  </si>
  <si>
    <t>TECIDO PARAMOUNT - PRUNEL SUPER LEVE 120 S  - 100% LA</t>
  </si>
  <si>
    <t>703</t>
  </si>
  <si>
    <t>7065015717R7</t>
  </si>
  <si>
    <t>TECIDO PARAMOUNT - PRUNEL S 100 - 100% LA</t>
  </si>
  <si>
    <t>7097007009998</t>
  </si>
  <si>
    <t>TECIDO JB - P.F.MESCLA (V/FM)  PT (PR. P/TINGIR LISO)</t>
  </si>
  <si>
    <t>7112010502Q3</t>
  </si>
  <si>
    <t>TECIDO PARAMOUNT -  FLANEL LEVE -  A7112 - C502 - 100% LA</t>
  </si>
  <si>
    <t>7134000366R7</t>
  </si>
  <si>
    <t>TECIDO PARAMOUNT -  PRUNEL LEVE SUPER 120'S - 100% LA</t>
  </si>
  <si>
    <t>713400058R7</t>
  </si>
  <si>
    <t>7134000733R7</t>
  </si>
  <si>
    <t>7213</t>
  </si>
  <si>
    <t>TECIDO GV - MADONNA 100% ALGODAO</t>
  </si>
  <si>
    <t>7275</t>
  </si>
  <si>
    <t>TECIDO EVOLVE - COZY HERB</t>
  </si>
  <si>
    <t>791</t>
  </si>
  <si>
    <t>801</t>
  </si>
  <si>
    <t>8157000003Q3</t>
  </si>
  <si>
    <t>TECIDO PARAMOUNT - GABARDINE S'120</t>
  </si>
  <si>
    <t>8257015009998</t>
  </si>
  <si>
    <t>TECIDO JB - N.S.BOTONE  PT (PR. P/TINGIR LISO)</t>
  </si>
  <si>
    <t>8305007009998</t>
  </si>
  <si>
    <t>TECIDO JB - NATURE SOFT</t>
  </si>
  <si>
    <t>8342003009998</t>
  </si>
  <si>
    <t>VERMELHA</t>
  </si>
  <si>
    <t>TECIDO JB - N.S.BOTONE (TB)  PT (PR. P/TINGIR LISO) - NUDE A</t>
  </si>
  <si>
    <t>8342013009998</t>
  </si>
  <si>
    <t>TECIDO JB - N.S.BOTONE (J)  PT (PR. P/TINGIR LISO)</t>
  </si>
  <si>
    <t>8354001009998</t>
  </si>
  <si>
    <t>TECIDO JB -  NATURE SOFT  PT (PR. P/TINGIR LISO)</t>
  </si>
  <si>
    <t>8412022701I3</t>
  </si>
  <si>
    <t>RISCA DE GIZ</t>
  </si>
  <si>
    <t>TECIDO PARAMOUNT - PRUNEL BI-STRETCH - 8412 -ESCURO COM</t>
  </si>
  <si>
    <t>847</t>
  </si>
  <si>
    <t>8515000651Q3</t>
  </si>
  <si>
    <t>TECIDO PARAMOUNT - RUNEL</t>
  </si>
  <si>
    <t>8589027701Q3</t>
  </si>
  <si>
    <t>TECIDO PARAMOUNT - TWILL BISTRETCH - 8589</t>
  </si>
  <si>
    <t>8634995610Q3</t>
  </si>
  <si>
    <t>TECIDO PARAMOUNT - PALETO TWEED LA -  A8634 - C610 - 100% LA</t>
  </si>
  <si>
    <t>8765024801Q3</t>
  </si>
  <si>
    <t>TECIDO PARAMOUNT - JACKET LEVE WOOL SILK -  A8765 - C801 - 52% SEDA + 48% LA</t>
  </si>
  <si>
    <t>90326.523.36</t>
  </si>
  <si>
    <t>9032624.515</t>
  </si>
  <si>
    <t>9032624.523</t>
  </si>
  <si>
    <t>9032636.520</t>
  </si>
  <si>
    <t>914527</t>
  </si>
  <si>
    <t>926581</t>
  </si>
  <si>
    <t>963567</t>
  </si>
  <si>
    <t>A446810004</t>
  </si>
  <si>
    <t>TECIDO PANAMERICANA - IPANEMA</t>
  </si>
  <si>
    <t>A448030002</t>
  </si>
  <si>
    <t>TECIDO PANAMARICANA - VENEZA</t>
  </si>
  <si>
    <t>A491720004</t>
  </si>
  <si>
    <t>A491722000</t>
  </si>
  <si>
    <t>TECIDO ISTAMBUL</t>
  </si>
  <si>
    <t>ARG</t>
  </si>
  <si>
    <t>BAN</t>
  </si>
  <si>
    <t>BANQUETA MISCI01 PALHA</t>
  </si>
  <si>
    <t>BANQUETA SEM APOIO MISCI01 PALHA</t>
  </si>
  <si>
    <t>BAR</t>
  </si>
  <si>
    <t>BER</t>
  </si>
  <si>
    <t>BERMUDAO D-20</t>
  </si>
  <si>
    <t>BERMUDA ALFAIATARIA FEMININA</t>
  </si>
  <si>
    <t>BERMUDA BROTO LINHO QUADRICULADA</t>
  </si>
  <si>
    <t>BERMUDA VICOSE</t>
  </si>
  <si>
    <t>BERMUDA PET</t>
  </si>
  <si>
    <t>BERMUDA FLA</t>
  </si>
  <si>
    <t>BERMUDA SARJA</t>
  </si>
  <si>
    <t>BERMUDA ALGODAO LISTRA</t>
  </si>
  <si>
    <t>BERMUDAO MAMI</t>
  </si>
  <si>
    <t>BERMUDA MISCI + ESC</t>
  </si>
  <si>
    <t>BERMUDA ALFAIATARIA PEQUI</t>
  </si>
  <si>
    <t>BERMUDA LINHO</t>
  </si>
  <si>
    <t>BERMUDA ALGODAO</t>
  </si>
  <si>
    <t>BIQ</t>
  </si>
  <si>
    <t>BLA</t>
  </si>
  <si>
    <t>BLAZER ALFAIATARIA PHILO - 100% LA</t>
  </si>
  <si>
    <t>BLU</t>
  </si>
  <si>
    <t>BLUSA MANGA CURTA ELLE</t>
  </si>
  <si>
    <t>BLUSA</t>
  </si>
  <si>
    <t>BLUSAO RALADOR</t>
  </si>
  <si>
    <t>BLZ</t>
  </si>
  <si>
    <t>BLAZER ALFAIATARIA PANTU</t>
  </si>
  <si>
    <t>BLAZER ALFAIATARIA PEQUI</t>
  </si>
  <si>
    <t>BLAZER ALFAIATARIA PHILO</t>
  </si>
  <si>
    <t>BOL</t>
  </si>
  <si>
    <t>BOLSA COURO BAMBOLE</t>
  </si>
  <si>
    <t>BOLSA COURO PEQUENA</t>
  </si>
  <si>
    <t>BOLSA COURO PEQUENA JAMBO /</t>
  </si>
  <si>
    <t>BRA</t>
  </si>
  <si>
    <t>CAC</t>
  </si>
  <si>
    <t>CAD</t>
  </si>
  <si>
    <t>CADEIRA UNI / MISCI01 COURO</t>
  </si>
  <si>
    <t>CADEIRA MISCI01 PALHA</t>
  </si>
  <si>
    <t>CAL</t>
  </si>
  <si>
    <t>CALCA ALFAIATARIA CLASSICA  FEMININA</t>
  </si>
  <si>
    <t>CALCA DE ALFAIATARIA CREPE</t>
  </si>
  <si>
    <t>CALCA ALFAIATE</t>
  </si>
  <si>
    <t>CALCA ALFAIATARIA CLASSICA FEMININA</t>
  </si>
  <si>
    <t>CALCA ALFAIATARIA</t>
  </si>
  <si>
    <t>CALCA ALGODAO TREVO LISTRADA</t>
  </si>
  <si>
    <t>CALCA SARJA</t>
  </si>
  <si>
    <t>CALCA JEANS</t>
  </si>
  <si>
    <t>CALCA ALFAIATARIA BOIA</t>
  </si>
  <si>
    <t>CALCA</t>
  </si>
  <si>
    <t>CALCA TWEED LISTRADA</t>
  </si>
  <si>
    <t>CALCA TWEED</t>
  </si>
  <si>
    <t>MARINHO</t>
  </si>
  <si>
    <t>CALCA TWEED MESCLA</t>
  </si>
  <si>
    <t>CALCA ALGODAO LISTRA</t>
  </si>
  <si>
    <t>CALCA VISCOSE</t>
  </si>
  <si>
    <t>CALCA MAMI FLAIRE</t>
  </si>
  <si>
    <t>CALCA MOLETOM MINHOCAO</t>
  </si>
  <si>
    <t>CALCA TERNO PHYLO</t>
  </si>
  <si>
    <t>CALCA RITA ALFAIATARIA FEMININA</t>
  </si>
  <si>
    <t>CALCA ALGODAO TREVO</t>
  </si>
  <si>
    <t>CAM</t>
  </si>
  <si>
    <t>CAMISETA LISTRADA</t>
  </si>
  <si>
    <t>CAMISETA ALGODAO</t>
  </si>
  <si>
    <t>CAMISETA</t>
  </si>
  <si>
    <t>DOURADO</t>
  </si>
  <si>
    <t>CAMISETA BRANCA ESTAMPA LOGO MISCI</t>
  </si>
  <si>
    <t>CAMISETA MOSSORO</t>
  </si>
  <si>
    <t>CORAL</t>
  </si>
  <si>
    <t>CAS</t>
  </si>
  <si>
    <t>JAQUETA / CASACO ALFAIATARIA</t>
  </si>
  <si>
    <t>JAQUETA / CASACO ALFAIATARIA BOIA - "REF 06042"</t>
  </si>
  <si>
    <t>CHE</t>
  </si>
  <si>
    <t>CHEMISE MODAL</t>
  </si>
  <si>
    <t>CHEMISE COM MANGA ALGODAO</t>
  </si>
  <si>
    <t>CHEMISE COM MANGA LINHO</t>
  </si>
  <si>
    <t>CHEMISE SEM MANGA LINHO</t>
  </si>
  <si>
    <t>CHI</t>
  </si>
  <si>
    <t>CHINELO BITA DE COURO</t>
  </si>
  <si>
    <t>CHINELO MISCIANE - MISCI + THERPOLL - FILTRO DE BARRO - TIRA SEM PO DE MADEIRA</t>
  </si>
  <si>
    <t>CHINELO MISCIANE - MISCI + THERPOLL - ESTAMPA FILTRO</t>
  </si>
  <si>
    <t>CHINELO MISCIANE - MISCI + THERPOLL - FILTRO DE BARRO - TIRA COM PO DE MADEIRA</t>
  </si>
  <si>
    <t>CHINELO MISCIANE COM TIRA</t>
  </si>
  <si>
    <t>CHINELO MISCIANE - MISCI + THERPOLL - ESTAMPA MISCI - TIRA COM PO DE MADEIRA</t>
  </si>
  <si>
    <t>CMC</t>
  </si>
  <si>
    <t>AREIA</t>
  </si>
  <si>
    <t>CAMISA MANGA CURTA BRANCA PONTOS AZUIS</t>
  </si>
  <si>
    <t>CAMISA MANGA CURTA ALGODAO PIABA LISTRADA</t>
  </si>
  <si>
    <t>CAMISA MANGA CURTA ALGA ORGANZA 100% SEDA</t>
  </si>
  <si>
    <t>CAMISA MANGA CURTA AMPLA</t>
  </si>
  <si>
    <t>CAMISA MANGA CURTA ALGODAO</t>
  </si>
  <si>
    <t>CAMISA MANGA CURTA BICOLOR</t>
  </si>
  <si>
    <t>CAMISA MANGA CURTA LINHO</t>
  </si>
  <si>
    <t>XADREZ</t>
  </si>
  <si>
    <t>CAMISA MANGA CURTA MISCI ALGODAO</t>
  </si>
  <si>
    <t>CAMISA MANGA CURTA MISCI ALGODAO LISTRADA</t>
  </si>
  <si>
    <t>CAMISA MANGA CURTA ORGANZA SEDA DANI</t>
  </si>
  <si>
    <t>CAMISA MANGA CURTA ALGODAO FILTRO DE BARRO FUNDO</t>
  </si>
  <si>
    <t>CAMISA MANGA CURTA PURO LINHO LADY</t>
  </si>
  <si>
    <t>CAMISA MANGA CURTA VISCOSE LISTRADA</t>
  </si>
  <si>
    <t>CAMISA MANGA CURTA MISCI LISTRADA</t>
  </si>
  <si>
    <t>CAMISA MANGA CURTA SEDA</t>
  </si>
  <si>
    <t>CAMISA MANGA CURTA LINHO - CABACA - BORDADA</t>
  </si>
  <si>
    <t>CAMISA MANGA CURTA LINHO - CABACA</t>
  </si>
  <si>
    <t>CAMISA MANGA CURTA LISA LINHO</t>
  </si>
  <si>
    <t>CAMISA MANGA CURTA ALGODAO LISTRADA</t>
  </si>
  <si>
    <t>CAMISA MANGA CURTA MONOCOLOR</t>
  </si>
  <si>
    <t>CAMISA MANGA CURTA - MOQUECA</t>
  </si>
  <si>
    <t>CAMISA MANGA CURTA LISTRADA</t>
  </si>
  <si>
    <t>CAMISA MANGA CURTA MISCI</t>
  </si>
  <si>
    <t>CAMISA MANGA CURTA PET</t>
  </si>
  <si>
    <t>CAMISA MANGA CURTA VISCOSE BRANCA PONTOS</t>
  </si>
  <si>
    <t>CAMISA MANGA LONGA MISCI ALGODAO PIMA</t>
  </si>
  <si>
    <t>CMl</t>
  </si>
  <si>
    <t>CML</t>
  </si>
  <si>
    <t>CAMISA MANGA LONGA SEDA</t>
  </si>
  <si>
    <t>CAMISA MANGA LONGA MISCI COM LAPELA</t>
  </si>
  <si>
    <t>CAMISA MANGA LONGA VISCOSE LISTRADA</t>
  </si>
  <si>
    <t>CAMISA MANGA LONGA LINHO - CABACA</t>
  </si>
  <si>
    <t>CAMISA MANGA LONGA  LINHO</t>
  </si>
  <si>
    <t>CAMISA MANGA LONGA BORDADA LINHO</t>
  </si>
  <si>
    <t>CAMISA MANGA LONGA COM PREGAS</t>
  </si>
  <si>
    <t>CAMISA MANGA LONGA MISCI LISTRADA</t>
  </si>
  <si>
    <t>CAMISA MANGA LONGA MISCI</t>
  </si>
  <si>
    <t>CAMISA MANGA LONGA MISCI PESPONTO QUADRICULADA</t>
  </si>
  <si>
    <t>CAMISA MANGA LONGA LISTRADA</t>
  </si>
  <si>
    <t>CAMISA MANGA LONGA MISCI SEM LAPELA</t>
  </si>
  <si>
    <t>CAMISA MANGA LONGA ALGODAO</t>
  </si>
  <si>
    <t>CMR</t>
  </si>
  <si>
    <t>CAMISETA REGATA ALGODAO</t>
  </si>
  <si>
    <t>CAMISETA REGATA ALGODAO TELADO</t>
  </si>
  <si>
    <t>COL</t>
  </si>
  <si>
    <t>COLETE D-20</t>
  </si>
  <si>
    <t>DUS</t>
  </si>
  <si>
    <t>DUST BAG MAINHAS</t>
  </si>
  <si>
    <t>EI6021</t>
  </si>
  <si>
    <t>ET001</t>
  </si>
  <si>
    <t>ET002</t>
  </si>
  <si>
    <t>ET003</t>
  </si>
  <si>
    <t>ET004</t>
  </si>
  <si>
    <t>ET005</t>
  </si>
  <si>
    <t>ET006</t>
  </si>
  <si>
    <t>ET007</t>
  </si>
  <si>
    <t>ET008</t>
  </si>
  <si>
    <t>ET009</t>
  </si>
  <si>
    <t>ET010</t>
  </si>
  <si>
    <t>ET011</t>
  </si>
  <si>
    <t>ET012</t>
  </si>
  <si>
    <t>ETI</t>
  </si>
  <si>
    <t>TAG - ETIQUETA DE ROUPA EM PAPEL CORTA E SILK</t>
  </si>
  <si>
    <t>FER</t>
  </si>
  <si>
    <t>ZIPER YKK 15CM</t>
  </si>
  <si>
    <t>FT8086156</t>
  </si>
  <si>
    <t>JAQ</t>
  </si>
  <si>
    <t>JAQUETA ALFAIATARIA</t>
  </si>
  <si>
    <t>LIV</t>
  </si>
  <si>
    <t>MAI</t>
  </si>
  <si>
    <t>MCH</t>
  </si>
  <si>
    <t>MOCHILA COURO</t>
  </si>
  <si>
    <t>MEI</t>
  </si>
  <si>
    <t>MEIAS</t>
  </si>
  <si>
    <t>MOL</t>
  </si>
  <si>
    <t>MOLETOM LOGO MISCI</t>
  </si>
  <si>
    <t>MOLETOM MINHOCAO</t>
  </si>
  <si>
    <t>o CHI</t>
  </si>
  <si>
    <t>OCU</t>
  </si>
  <si>
    <t>OCULOS BOLEIA X VENTURURA</t>
  </si>
  <si>
    <t>OCULOS BOLEIA X VENTURURA - TARTUGA</t>
  </si>
  <si>
    <t>PAN</t>
  </si>
  <si>
    <t>PER</t>
  </si>
  <si>
    <t>POL</t>
  </si>
  <si>
    <t>POLO CANELADA VISCOSE</t>
  </si>
  <si>
    <t>PRD00001</t>
  </si>
  <si>
    <t>PRD00002</t>
  </si>
  <si>
    <t>PRD00003</t>
  </si>
  <si>
    <t>PRD00005</t>
  </si>
  <si>
    <t>PRD00006</t>
  </si>
  <si>
    <t>PRD00007</t>
  </si>
  <si>
    <t>PRD00008</t>
  </si>
  <si>
    <t>TECIDO PARAMOUNT</t>
  </si>
  <si>
    <t>PRD00010</t>
  </si>
  <si>
    <t>TAMANCO PALHA</t>
  </si>
  <si>
    <t>PRD00011</t>
  </si>
  <si>
    <t>PRD00012</t>
  </si>
  <si>
    <t>R206045</t>
  </si>
  <si>
    <t>R329897</t>
  </si>
  <si>
    <t>TECIDO CATAGUASES - CHAMBRAY CALANDRADO - TECIDO ALGODAO-TAFETA TF0157 - 100% ALGODAO</t>
  </si>
  <si>
    <t>R3380</t>
  </si>
  <si>
    <t>TECIDO CATAGUASES - GALLES MERCERIZADO 100% ALGODAO  TAFETA</t>
  </si>
  <si>
    <t>R3597</t>
  </si>
  <si>
    <t>TECIDO CATAGUASES - GALLES MERCERIZADO - ALGODAO-TAFETA - TP015301 - 100% ALGODAO</t>
  </si>
  <si>
    <t>R363323</t>
  </si>
  <si>
    <t>TECIDO CATAGUASES - BIARRITZ AMACIADO - ALGODAO-TAFETA - TF034011 - 100% ALGODAO</t>
  </si>
  <si>
    <t>R363325</t>
  </si>
  <si>
    <t>R5398</t>
  </si>
  <si>
    <t>TECIDO CATAGUASES - OXFORD CALANDRADO 100% ALGODAO  - FIO TINTO</t>
  </si>
  <si>
    <t>R7123</t>
  </si>
  <si>
    <t>RAS</t>
  </si>
  <si>
    <t>REG</t>
  </si>
  <si>
    <t>SAI</t>
  </si>
  <si>
    <t>SAIA ELLE</t>
  </si>
  <si>
    <t>SAIA FENDA PANTU</t>
  </si>
  <si>
    <t>SAN</t>
  </si>
  <si>
    <t>SAP</t>
  </si>
  <si>
    <t>SAPATO MULE MISCI COURO</t>
  </si>
  <si>
    <t>SHO</t>
  </si>
  <si>
    <t>SHORTINHOS DOSE</t>
  </si>
  <si>
    <t>SHORTS A FIO PEQUI</t>
  </si>
  <si>
    <t>SUE</t>
  </si>
  <si>
    <t>SUETER TRICOT IRRE</t>
  </si>
  <si>
    <t>SUN</t>
  </si>
  <si>
    <t>SUNGA MISCI + ESC</t>
  </si>
  <si>
    <t>TABLAA4064RN</t>
  </si>
  <si>
    <t>TECIDO VICUNHA - WHITE</t>
  </si>
  <si>
    <t>TABMCM4000VP</t>
  </si>
  <si>
    <t>TECIDO VICUNHA - AMSTERDAM TECIDO CETIM 56% ALGODAO 43% MODAL 1% ELASTANO LAR G 1,48 METROS</t>
  </si>
  <si>
    <t>TABMCM4000VR</t>
  </si>
  <si>
    <t>TECIDO VICUNHA - AMSTERDAM TECIDO CETIM 56% ALGODAO 43% MODAL 1% ELASTANO LAR G 1,46 METROS</t>
  </si>
  <si>
    <t>TAIAAA4002CA</t>
  </si>
  <si>
    <t>TAM</t>
  </si>
  <si>
    <t>TAP</t>
  </si>
  <si>
    <t>TECBD01</t>
  </si>
  <si>
    <t>TECIDO BD - CANELADO - ARTIGO 70090.11 RIB 2 X 1 NA COR</t>
  </si>
  <si>
    <t>TECIDO</t>
  </si>
  <si>
    <t>TOP</t>
  </si>
  <si>
    <t>TOP MAMI</t>
  </si>
  <si>
    <t>TOP A FIO UNO</t>
  </si>
  <si>
    <t>TTM89912005</t>
  </si>
  <si>
    <t>TECIDO SANTA COSTANCIA -  RADIOSA PLUS (LD) - PRODUTOS ELLE - 81%VISCOSE 15%POLIAMIDA 4%ELASTANO</t>
  </si>
  <si>
    <t>VES</t>
  </si>
  <si>
    <t>VESTIDO ALFAIATARIA PHILO</t>
  </si>
  <si>
    <t>VESTIDO CUPRO</t>
  </si>
  <si>
    <t>VESTIDO ALGODA</t>
  </si>
  <si>
    <t>VESTIDO D-20 - ALGODAO - PALHA /</t>
  </si>
  <si>
    <t>VESTIDO D-20 ALGODAO</t>
  </si>
  <si>
    <t>VESTIDO D-20 - CUPRO</t>
  </si>
  <si>
    <t>VESTIDO REGATA TRICOT</t>
  </si>
  <si>
    <t>VESTIDO REGATA RETO ALGODAO</t>
  </si>
  <si>
    <t>VESTIDO TRICOT SAUVA</t>
  </si>
  <si>
    <t>VESTIDO TRICOT</t>
  </si>
  <si>
    <t>ana chrysastomo de oliveira</t>
  </si>
  <si>
    <t>312.132.408-08</t>
  </si>
  <si>
    <t>anachwyastomo@hotmail.com</t>
  </si>
  <si>
    <t>98181-9064</t>
  </si>
  <si>
    <t>SP</t>
  </si>
  <si>
    <t>São Paulo</t>
  </si>
  <si>
    <t>MOL-MIN-ALG-AZU-P</t>
  </si>
  <si>
    <t>Pedido de Venda</t>
  </si>
  <si>
    <t>Autorizado</t>
  </si>
  <si>
    <t>Clientes - Revenda de Mercadoria</t>
  </si>
  <si>
    <t>A Prazo</t>
  </si>
  <si>
    <t>Abner Nodari</t>
  </si>
  <si>
    <t>009.084.990-60</t>
  </si>
  <si>
    <t>abnernodari@gmail.com</t>
  </si>
  <si>
    <t>RS</t>
  </si>
  <si>
    <t>Caxias do Sul</t>
  </si>
  <si>
    <t>BOL-NIN-COU-PRE-P</t>
  </si>
  <si>
    <t>À Vista</t>
  </si>
  <si>
    <t>Ademir Correa</t>
  </si>
  <si>
    <t>887.944.660-68</t>
  </si>
  <si>
    <t>ademirsilveiracorrea@gmail.com</t>
  </si>
  <si>
    <t>CMC-PRA-ALG-VRD-G</t>
  </si>
  <si>
    <t>CML-PRE-ALG-PRE-M</t>
  </si>
  <si>
    <t>Albert Victor</t>
  </si>
  <si>
    <t>063.547.573-13</t>
  </si>
  <si>
    <t>albvic20@gmail.com</t>
  </si>
  <si>
    <t>PI</t>
  </si>
  <si>
    <t>Teresina</t>
  </si>
  <si>
    <t>BOL-NIN-COU-WHI-P</t>
  </si>
  <si>
    <t>Aldemar Neto</t>
  </si>
  <si>
    <t>030.125.553-90</t>
  </si>
  <si>
    <t>aldemar2_3@hotmail.com</t>
  </si>
  <si>
    <t>CMR-51-ALG-CIN-P</t>
  </si>
  <si>
    <t>Ale Faitarone neto</t>
  </si>
  <si>
    <t>384.881.368-89</t>
  </si>
  <si>
    <t>alefaitarone@hotmail.com</t>
  </si>
  <si>
    <t>São José do Rio Preto</t>
  </si>
  <si>
    <t>CAL-ARI-ALG-AZU-40</t>
  </si>
  <si>
    <t>CAL-ARI-ALG-OCR-40</t>
  </si>
  <si>
    <t>Alessandra Belfort Bueno Fernandes de Castro</t>
  </si>
  <si>
    <t>084.606.007-85</t>
  </si>
  <si>
    <t>alessandrabelfortbueno@hotmail.com</t>
  </si>
  <si>
    <t>RJ</t>
  </si>
  <si>
    <t>Rio de Janeiro</t>
  </si>
  <si>
    <t>SAP-PIT-COR-OFF-38</t>
  </si>
  <si>
    <t>Alessandra Mendes</t>
  </si>
  <si>
    <t>421.313.878-06</t>
  </si>
  <si>
    <t>ale.tavaresm@gmail.com</t>
  </si>
  <si>
    <t>Alex Dhyonatham Magalhães</t>
  </si>
  <si>
    <t>386.631.318-79</t>
  </si>
  <si>
    <t>alxdhy@gmail.com</t>
  </si>
  <si>
    <t>Alex Hanazaki</t>
  </si>
  <si>
    <t>158.750.388-37</t>
  </si>
  <si>
    <t>alex@hanazaki.com.br</t>
  </si>
  <si>
    <t>SAP-PIT-COR-OFF-41</t>
  </si>
  <si>
    <t>SAP-PIT-COR-PRE-41</t>
  </si>
  <si>
    <t>Alexandre Dornellas</t>
  </si>
  <si>
    <t>343.915.368-11</t>
  </si>
  <si>
    <t>alexandre.dornellas@hotmail.com</t>
  </si>
  <si>
    <t>Jau</t>
  </si>
  <si>
    <t>CAM-CAN-ALG-TAM-G</t>
  </si>
  <si>
    <t>Alexandre insfran</t>
  </si>
  <si>
    <t>016.824.061-05</t>
  </si>
  <si>
    <t>ainsfran@demarest.com.br</t>
  </si>
  <si>
    <t>CMC-CHI-ALG-VRM-P</t>
  </si>
  <si>
    <t>Aléssia Guimarães</t>
  </si>
  <si>
    <t>035.989.755-03</t>
  </si>
  <si>
    <t>alessia@gdi.adv.br</t>
  </si>
  <si>
    <t>Porto Alegre</t>
  </si>
  <si>
    <t>SAP-PIT-COR-OFF-35</t>
  </si>
  <si>
    <t>Aline Raiser</t>
  </si>
  <si>
    <t>033.005.711-11</t>
  </si>
  <si>
    <t>aline_raiser@hotmail.com</t>
  </si>
  <si>
    <t>99661-1606</t>
  </si>
  <si>
    <t>MT</t>
  </si>
  <si>
    <t>Sorriso</t>
  </si>
  <si>
    <t>BOL-NIN-COU-OFF-P</t>
  </si>
  <si>
    <t>Aline Rodrigues</t>
  </si>
  <si>
    <t>024.773.990-12</t>
  </si>
  <si>
    <t>aline_da_silva_rodrigues@yahoo.com.br</t>
  </si>
  <si>
    <t>ALESSANDRO GUSMAO</t>
  </si>
  <si>
    <t>173.628.758-35</t>
  </si>
  <si>
    <t>alessandro.gusmao@icloud.com</t>
  </si>
  <si>
    <t>99156-5407</t>
  </si>
  <si>
    <t>POL-TRI-VIS-OFF-M</t>
  </si>
  <si>
    <t>POL-TRI-VIS-VRD-M</t>
  </si>
  <si>
    <t>ALEXANDRE BUENO</t>
  </si>
  <si>
    <t>404.572.468-04</t>
  </si>
  <si>
    <t>alexandrespbueno@gmail.com</t>
  </si>
  <si>
    <t>99749-2773</t>
  </si>
  <si>
    <t>CMC-JAC-ALG-CAP-P</t>
  </si>
  <si>
    <t>ALICE FERRAZ</t>
  </si>
  <si>
    <t>13.371.039/0001-67</t>
  </si>
  <si>
    <t>sdias@fhits.com.bras</t>
  </si>
  <si>
    <t>3061-6410</t>
  </si>
  <si>
    <t>ALICE SANTOS DINIZ JUNQUEIRA</t>
  </si>
  <si>
    <t>352.320.288-47</t>
  </si>
  <si>
    <t>alicesdjunqueira@hotmail.com</t>
  </si>
  <si>
    <t>Ribeirão Preto</t>
  </si>
  <si>
    <t>BOL-JAU-JUT-WHI-TU</t>
  </si>
  <si>
    <t>ALINE DUARTE BESSA</t>
  </si>
  <si>
    <t>012.793.405-76</t>
  </si>
  <si>
    <t>alibezz@gmail.com</t>
  </si>
  <si>
    <t>299-9151</t>
  </si>
  <si>
    <t>CMC-FIL-ALG-EST-P</t>
  </si>
  <si>
    <t>Amanda Kruschewsky</t>
  </si>
  <si>
    <t>016.996.825-18</t>
  </si>
  <si>
    <t>kruschewskyamanda@gmail.com</t>
  </si>
  <si>
    <t>BA</t>
  </si>
  <si>
    <t>Salvador</t>
  </si>
  <si>
    <t>BOL-BAM-COU-AZU-TU</t>
  </si>
  <si>
    <t>Amanda Tozetti</t>
  </si>
  <si>
    <t>410.772.898-63</t>
  </si>
  <si>
    <t>tozetti.amanda@gmail.com</t>
  </si>
  <si>
    <t>AMANDA FRANCO</t>
  </si>
  <si>
    <t>369.062.688-99</t>
  </si>
  <si>
    <t>amanda_aof@hotmail.com</t>
  </si>
  <si>
    <t>Osasco</t>
  </si>
  <si>
    <t>SAP-PIT-COR-OFF-36</t>
  </si>
  <si>
    <t>Ana Bavon</t>
  </si>
  <si>
    <t>262.381.558-50</t>
  </si>
  <si>
    <t>ana.b4p@gmail.com</t>
  </si>
  <si>
    <t>Santos</t>
  </si>
  <si>
    <t>VES-D20-ALG-OFF-P</t>
  </si>
  <si>
    <t>VES-PIN-ALG-AZU-P</t>
  </si>
  <si>
    <t>VES-PIN-ALG-OCR-P</t>
  </si>
  <si>
    <t>Ana Júlia Schenkel</t>
  </si>
  <si>
    <t>040.474.520-25</t>
  </si>
  <si>
    <t>ana.jus@icloud.com</t>
  </si>
  <si>
    <t>Marau</t>
  </si>
  <si>
    <t>BOL-BAM-COU-VRD-TU</t>
  </si>
  <si>
    <t>Ana Lara Capobiango Lopes</t>
  </si>
  <si>
    <t>111.890.736-17</t>
  </si>
  <si>
    <t>analarac@hotmail.com</t>
  </si>
  <si>
    <t>MG</t>
  </si>
  <si>
    <t>Vicosa</t>
  </si>
  <si>
    <t>CAM-LOG-ALG-PRE-P</t>
  </si>
  <si>
    <t>Ana Leticia Gomide Maldos</t>
  </si>
  <si>
    <t>037.288.631-06</t>
  </si>
  <si>
    <t>lemaldos@hotmail.com</t>
  </si>
  <si>
    <t>98185-1151</t>
  </si>
  <si>
    <t>CMC-MOQ-ALG-CRU-M</t>
  </si>
  <si>
    <t>CMC-FEM-JAC-ALG-CAP-PIL</t>
  </si>
  <si>
    <t>OCU-VEN-ACET-TAM-TU</t>
  </si>
  <si>
    <t>BIQ-MIS-POE-CER-P</t>
  </si>
  <si>
    <t>CAL-ARI-ALG-AZU-36</t>
  </si>
  <si>
    <t>Ana Paiva</t>
  </si>
  <si>
    <t>012.805.996-69</t>
  </si>
  <si>
    <t>milena_mtm@hotmail.com</t>
  </si>
  <si>
    <t>GO</t>
  </si>
  <si>
    <t>Goiania</t>
  </si>
  <si>
    <t>Ana Paula Rocha</t>
  </si>
  <si>
    <t>016.845.780-60</t>
  </si>
  <si>
    <t>apdsrocha@gmail.com</t>
  </si>
  <si>
    <t>CHI-MIS-BOR-VRD-39</t>
  </si>
  <si>
    <t>CHI-MIS-BOR-MAR-39</t>
  </si>
  <si>
    <t>CHI-MIS-BOR-VRD-43</t>
  </si>
  <si>
    <t>Anderson Diniz</t>
  </si>
  <si>
    <t>140.029.267-02</t>
  </si>
  <si>
    <t>and.diniz8@gmail.com</t>
  </si>
  <si>
    <t>98255-3372</t>
  </si>
  <si>
    <t>CAM-CAN-ALG-BRA-P</t>
  </si>
  <si>
    <t>CMC-MON-MAL-VRD-M</t>
  </si>
  <si>
    <t>Anderson Entrielli</t>
  </si>
  <si>
    <t>133.491.677-21</t>
  </si>
  <si>
    <t>entrielli@gmail.com</t>
  </si>
  <si>
    <t>CAL-LAI-VIS-VRD-P</t>
  </si>
  <si>
    <t>Andre Burin</t>
  </si>
  <si>
    <t>061.478.329-13</t>
  </si>
  <si>
    <t>andrelburin@hotmail.com</t>
  </si>
  <si>
    <t>BER-LAI-ALG-ROS-G</t>
  </si>
  <si>
    <t>CAM-51-ALG-ROS-M</t>
  </si>
  <si>
    <t>André Natalini Dalla</t>
  </si>
  <si>
    <t>469.209.968-20</t>
  </si>
  <si>
    <t>andredalla97@gmail.com</t>
  </si>
  <si>
    <t>96302-0632</t>
  </si>
  <si>
    <t>CAL-LAI-ALG-CRU-M</t>
  </si>
  <si>
    <t>CAS-BOI-LA-AZU-G</t>
  </si>
  <si>
    <t>BER-BRO-VIS-CON-G</t>
  </si>
  <si>
    <t>CAL-FLA-ALG-VRD-42</t>
  </si>
  <si>
    <t>André Vuaden</t>
  </si>
  <si>
    <t>159.381.027-07</t>
  </si>
  <si>
    <t>andrevuaden@gmail.com</t>
  </si>
  <si>
    <t>CAL-LAI-ALG-ROS-M</t>
  </si>
  <si>
    <t>CAL-ALF-VIS-BEG-M</t>
  </si>
  <si>
    <t>Angela Gil Borsoi</t>
  </si>
  <si>
    <t>145.921.341-68</t>
  </si>
  <si>
    <t>angelaborsoi@gmail.com</t>
  </si>
  <si>
    <t>DF</t>
  </si>
  <si>
    <t>Brasilia</t>
  </si>
  <si>
    <t>Angélica Passos</t>
  </si>
  <si>
    <t>246.589.408-09</t>
  </si>
  <si>
    <t>angelrpassos@yahoo.com.br</t>
  </si>
  <si>
    <t>Aníbal Telles Chagas</t>
  </si>
  <si>
    <t>999.671.544-20</t>
  </si>
  <si>
    <t>anibaltelles@uol.com.br</t>
  </si>
  <si>
    <t>CAL-LAI-VIS-VRD-M</t>
  </si>
  <si>
    <t>CMC-PRA-ALG-VRD-P</t>
  </si>
  <si>
    <t>Anna Clara</t>
  </si>
  <si>
    <t>066.433.046-01</t>
  </si>
  <si>
    <t>annaclara_mattar@hotmail.com</t>
  </si>
  <si>
    <t>98882-8340</t>
  </si>
  <si>
    <t>CAL-RIT-VIS-MAR-42</t>
  </si>
  <si>
    <t>CMC-ALG-SED-ROS-P</t>
  </si>
  <si>
    <t>Antonio Menezes</t>
  </si>
  <si>
    <t>033.720.965-09</t>
  </si>
  <si>
    <t>antonio.jlmenezes@gmail.com</t>
  </si>
  <si>
    <t>POL-TRI-VIS-AZU-P</t>
  </si>
  <si>
    <t>POL-TRI-VIS-PRE-P</t>
  </si>
  <si>
    <t>Antonio Pedro</t>
  </si>
  <si>
    <t>185.437.537-75</t>
  </si>
  <si>
    <t>cardosoantoniopedro@gmail.com</t>
  </si>
  <si>
    <t>JAQ-ING-COT-OLI-GG</t>
  </si>
  <si>
    <t>ANDREA FLORENCE SAMPAIO</t>
  </si>
  <si>
    <t>100.928.027-96</t>
  </si>
  <si>
    <t>andreaflorence@gmail.com</t>
  </si>
  <si>
    <t>CAL-ELL-RAD-VRD-P</t>
  </si>
  <si>
    <t>ANGELICA AMANDA AURELIA CAMPISTEGUY COCUZZA SCHULTZ BUCCI</t>
  </si>
  <si>
    <t>063.902.409-29</t>
  </si>
  <si>
    <t>angelica.sbucci@gmail.com</t>
  </si>
  <si>
    <t>BER-LAI-ALG-ROS-P</t>
  </si>
  <si>
    <t>CAM-BAU-ALG-LIL-M</t>
  </si>
  <si>
    <t>POL-TRI-VIS-AZU-M</t>
  </si>
  <si>
    <t>ANGELO RODRIGUES</t>
  </si>
  <si>
    <t>959.577.663-72</t>
  </si>
  <si>
    <t>gelobrito25@gmail.com</t>
  </si>
  <si>
    <t>CAM-LOG-ALG-BRA-P</t>
  </si>
  <si>
    <t>Arnaldo Junior</t>
  </si>
  <si>
    <t>390.124.448-45</t>
  </si>
  <si>
    <t>arnaldo.junior@gucci.com</t>
  </si>
  <si>
    <t>98691-3935</t>
  </si>
  <si>
    <t>Arthur Batista</t>
  </si>
  <si>
    <t>041.214.281-37</t>
  </si>
  <si>
    <t>artvcb@yahoo.com</t>
  </si>
  <si>
    <t>Serra do Salitre</t>
  </si>
  <si>
    <t>CAM-LOG-ALG-PRE-G</t>
  </si>
  <si>
    <t>Arthur Lobão</t>
  </si>
  <si>
    <t>102.171.516-63</t>
  </si>
  <si>
    <t>arthurlobaocontato@gmail.com</t>
  </si>
  <si>
    <t>CAM-CAN-ALG-PRE-G</t>
  </si>
  <si>
    <t>CAM-CAN-ALG-PRE-GG</t>
  </si>
  <si>
    <t>Arthur Nunes</t>
  </si>
  <si>
    <t>154.799.447-97</t>
  </si>
  <si>
    <t>arthurssnunes.ss@gmail.com</t>
  </si>
  <si>
    <t>Duque de Caxias</t>
  </si>
  <si>
    <t>BOL-NIN-COU-AZU-P</t>
  </si>
  <si>
    <t>Arthur Rodrigues</t>
  </si>
  <si>
    <t>136.288.667-07</t>
  </si>
  <si>
    <t>arthurgiardini@gmail.com</t>
  </si>
  <si>
    <t>Belo Horizonte</t>
  </si>
  <si>
    <t>CAL-ALF-VIS-PRE-P</t>
  </si>
  <si>
    <t>Artur Santiago</t>
  </si>
  <si>
    <t>362.705.298-67</t>
  </si>
  <si>
    <t>artur.santiago@hotmail.com</t>
  </si>
  <si>
    <t>97544-9334</t>
  </si>
  <si>
    <t>ARLINDO GRUND</t>
  </si>
  <si>
    <t>669.219.374-53</t>
  </si>
  <si>
    <t>agrund@agrund.com</t>
  </si>
  <si>
    <t>CAL-ARI-ALG-IND-38</t>
  </si>
  <si>
    <t>CAL-ARI-ALG-OFF-38</t>
  </si>
  <si>
    <t>CAM-LIS-ALG-PRE-M</t>
  </si>
  <si>
    <t>ARMANDO COUCEIRO</t>
  </si>
  <si>
    <t>929.722.922-00</t>
  </si>
  <si>
    <t>armandocouceiro@live.com</t>
  </si>
  <si>
    <t>93325-3020</t>
  </si>
  <si>
    <t>POL-TRI-VIS-CER-M</t>
  </si>
  <si>
    <t>POL-TRI-VIS-OFF-P</t>
  </si>
  <si>
    <t>CAM-CAN-ALG-PRE-P</t>
  </si>
  <si>
    <t>RAS-CHI-COR-WHI-40</t>
  </si>
  <si>
    <t>ARTHUR CARNEIRO CHINI</t>
  </si>
  <si>
    <t>023.372.940-21</t>
  </si>
  <si>
    <t>arthur@haystudio.com.br</t>
  </si>
  <si>
    <t>94465-8675</t>
  </si>
  <si>
    <t>MCH-PIP-COU-PRE-TU</t>
  </si>
  <si>
    <t>ARTHUR EMANUEL</t>
  </si>
  <si>
    <t>087.771.334-04</t>
  </si>
  <si>
    <t>arthurdantasaraujo@gmail.com</t>
  </si>
  <si>
    <t>99301-6400</t>
  </si>
  <si>
    <t>BER-MIS-POE-AZU-M</t>
  </si>
  <si>
    <t>BER-MIS-POE-VRD-M</t>
  </si>
  <si>
    <t>SUN-MIS-POE-TEL-M</t>
  </si>
  <si>
    <t>SUN-MIS-POE-VRD-M</t>
  </si>
  <si>
    <t>Ashalyn Hardy</t>
  </si>
  <si>
    <t>716.907.371-40</t>
  </si>
  <si>
    <t>hidalgo.madel@gmail.com</t>
  </si>
  <si>
    <t>Austin Osemudiamhen Christopher</t>
  </si>
  <si>
    <t>515.924.198-10</t>
  </si>
  <si>
    <t>aofec.christopher@gmail.com</t>
  </si>
  <si>
    <t>Austral BGB Comércio e Indústria de Roupas LTDA</t>
  </si>
  <si>
    <t>28.442.188/0001-47</t>
  </si>
  <si>
    <t>joaquim@austral.com.br</t>
  </si>
  <si>
    <t>BAR-CAR-MAD-JEQ</t>
  </si>
  <si>
    <t>barbara lucena</t>
  </si>
  <si>
    <t>525.915.648-09</t>
  </si>
  <si>
    <t>babilucena24@gmail.com</t>
  </si>
  <si>
    <t>beatriz love</t>
  </si>
  <si>
    <t>430.369.468-10</t>
  </si>
  <si>
    <t>bia_della@hotmail.com</t>
  </si>
  <si>
    <t>São Caetano do Sul</t>
  </si>
  <si>
    <t>CAC-PRA-TIE-MIS-G</t>
  </si>
  <si>
    <t>COL-PRA-TIE-MIS-P</t>
  </si>
  <si>
    <t>bernardo benevides</t>
  </si>
  <si>
    <t>173.569.477-06</t>
  </si>
  <si>
    <t>bernardo.benevides@hotmail.com</t>
  </si>
  <si>
    <t>99120-6462</t>
  </si>
  <si>
    <t>bianca boeckel</t>
  </si>
  <si>
    <t>079.895.097-84</t>
  </si>
  <si>
    <t>adm@misci.co</t>
  </si>
  <si>
    <t>99903-5199</t>
  </si>
  <si>
    <t>bruno padilha walter</t>
  </si>
  <si>
    <t>376.299.988-05</t>
  </si>
  <si>
    <t>brundopwalter@gmail.com</t>
  </si>
  <si>
    <t>97226-7797</t>
  </si>
  <si>
    <t>CAL-ARI-ALG-VRD-38</t>
  </si>
  <si>
    <t>Barbara Daniella Lago Modernell</t>
  </si>
  <si>
    <t>002.090.962-41</t>
  </si>
  <si>
    <t>barbara.modernell@gmail.com</t>
  </si>
  <si>
    <t>Barbara Light</t>
  </si>
  <si>
    <t>018.595.427-86</t>
  </si>
  <si>
    <t>barbarapastorlight@gmail.com</t>
  </si>
  <si>
    <t>Barbara Pilz</t>
  </si>
  <si>
    <t>055.861.859-62</t>
  </si>
  <si>
    <t>barbara_pilz@hotmail.com</t>
  </si>
  <si>
    <t>CAL-FLA-ALG-MAR-42</t>
  </si>
  <si>
    <t>Beatriz Bettiol</t>
  </si>
  <si>
    <t>051.760.761-10</t>
  </si>
  <si>
    <t>biabettiol@gmail.com</t>
  </si>
  <si>
    <t>BER-MIS-POE-VRD-PP</t>
  </si>
  <si>
    <t>CMC-PAR-ALG-VRD-P</t>
  </si>
  <si>
    <t>Bernardo Bessa</t>
  </si>
  <si>
    <t>011.409.122-67</t>
  </si>
  <si>
    <t>bernardonsbessa@gmail.com</t>
  </si>
  <si>
    <t>Bianca Lopes</t>
  </si>
  <si>
    <t>431.507.358-07</t>
  </si>
  <si>
    <t>biancalopes_15@hotmail.com</t>
  </si>
  <si>
    <t>CAM-CAN-ALG-MES-M</t>
  </si>
  <si>
    <t>CAM-CAN-ALG-PRE-M</t>
  </si>
  <si>
    <t>Bianca Ramos</t>
  </si>
  <si>
    <t>428.386.708-08</t>
  </si>
  <si>
    <t>biah.rp@hotmail.com</t>
  </si>
  <si>
    <t>Breno Souza</t>
  </si>
  <si>
    <t>106.139.776-96</t>
  </si>
  <si>
    <t>souzabs@hotmail.com</t>
  </si>
  <si>
    <t>Capitolio</t>
  </si>
  <si>
    <t>BOL-NIN-COU-WHI-G</t>
  </si>
  <si>
    <t>Bruna Rassi</t>
  </si>
  <si>
    <t>060.662.111-37</t>
  </si>
  <si>
    <t>bbrunarassi@gmail.com</t>
  </si>
  <si>
    <t>Brunella Leão</t>
  </si>
  <si>
    <t>055.580.977-36</t>
  </si>
  <si>
    <t>br12341911@gmail.com</t>
  </si>
  <si>
    <t>SAN-JES-COR-WHI-36</t>
  </si>
  <si>
    <t>VES-PIN-ALG-OCR-M</t>
  </si>
  <si>
    <t>Brunna Iorio Ameruso</t>
  </si>
  <si>
    <t>411.504.668-63</t>
  </si>
  <si>
    <t>brunnaiorio@gmail.com</t>
  </si>
  <si>
    <t>CHI-MIS-BOR-MAR-41</t>
  </si>
  <si>
    <t>Bruno Banchieri</t>
  </si>
  <si>
    <t>728.172.671-68</t>
  </si>
  <si>
    <t>banchieri.bruno@gmail.com</t>
  </si>
  <si>
    <t>Bruno Batistela</t>
  </si>
  <si>
    <t>043.542.879-94</t>
  </si>
  <si>
    <t>batistela.bruno@gmail.com</t>
  </si>
  <si>
    <t>98259-8489</t>
  </si>
  <si>
    <t>CMC-JAC-ALG-EPI-P</t>
  </si>
  <si>
    <t>SAN-JES-COR-WHI-39</t>
  </si>
  <si>
    <t>Bruno Costa</t>
  </si>
  <si>
    <t>061.647.526-80</t>
  </si>
  <si>
    <t>bruno.fcosta@hotmail.com</t>
  </si>
  <si>
    <t>Manhuaçu</t>
  </si>
  <si>
    <t>SAN-JES-COR-WHI-43</t>
  </si>
  <si>
    <t>Bruno Coutinho</t>
  </si>
  <si>
    <t>091.591.047-08</t>
  </si>
  <si>
    <t>brucoutinho09@gmail.com</t>
  </si>
  <si>
    <t>99016-2112</t>
  </si>
  <si>
    <t>SUE-IRR-TRI-CRU-M</t>
  </si>
  <si>
    <t>Bruno de Oliveira Trevisan</t>
  </si>
  <si>
    <t>020.344.941-05</t>
  </si>
  <si>
    <t>trevisan.bruno@gmail.com</t>
  </si>
  <si>
    <t>Sinop</t>
  </si>
  <si>
    <t>CMC-JAC-ALG-CAP-M</t>
  </si>
  <si>
    <t>Bruno Feliciano</t>
  </si>
  <si>
    <t>390.951.828-19</t>
  </si>
  <si>
    <t>brunofelici2004@gmail.com</t>
  </si>
  <si>
    <t>Bruno Fonseca</t>
  </si>
  <si>
    <t>393.893.718-13</t>
  </si>
  <si>
    <t>bruno.costa.fonseca@gmail.com</t>
  </si>
  <si>
    <t>11 99126-2469</t>
  </si>
  <si>
    <t>SUE-IRR-TRI-CRU-G</t>
  </si>
  <si>
    <t>BRENO SANTOS TRINDADE</t>
  </si>
  <si>
    <t>028.991.805-76</t>
  </si>
  <si>
    <t>breno.st@gmail.com</t>
  </si>
  <si>
    <t>Mairi</t>
  </si>
  <si>
    <t>CMC-FIL-ALG-EST-M</t>
  </si>
  <si>
    <t>BRUNO BARRETO DE SOUZA</t>
  </si>
  <si>
    <t>314.404.738-46</t>
  </si>
  <si>
    <t>ghortola@gmail.com,barretosouza@gmail.com</t>
  </si>
  <si>
    <t>2385-5852</t>
  </si>
  <si>
    <t>BER-BRO-VIS-VRD-M</t>
  </si>
  <si>
    <t>BER-GIZ-POL-CIN-M</t>
  </si>
  <si>
    <t>BER-ZEB-PET-MAR-M</t>
  </si>
  <si>
    <t>BRUNO CARRARA</t>
  </si>
  <si>
    <t>224.093.498-03</t>
  </si>
  <si>
    <t>bredoca.carrara@gmail.com</t>
  </si>
  <si>
    <t>97027-5898</t>
  </si>
  <si>
    <t>CML-LIN-CAB-OFF-P</t>
  </si>
  <si>
    <t>BRUNO OPPIDO</t>
  </si>
  <si>
    <t>310.592.908-80</t>
  </si>
  <si>
    <t>brunooppido@gmail.com</t>
  </si>
  <si>
    <t>99320-0692</t>
  </si>
  <si>
    <t>RAS-CHI-COR-WHI-36</t>
  </si>
  <si>
    <t>BOL-NIN-COU-VRM-P</t>
  </si>
  <si>
    <t>CAL-ALF-PRE-LA-BEG-PIL</t>
  </si>
  <si>
    <t>BRUNO SIFUENTES</t>
  </si>
  <si>
    <t>031.055.506-07</t>
  </si>
  <si>
    <t>brunosifuentes@gmail.com</t>
  </si>
  <si>
    <t>8894-0770</t>
  </si>
  <si>
    <t>CMC-CAN-ALG-BEG-P</t>
  </si>
  <si>
    <t>carla hidalgo</t>
  </si>
  <si>
    <t>412.668.848-07</t>
  </si>
  <si>
    <t>caca.hidalgo@gmail.com</t>
  </si>
  <si>
    <t>MS</t>
  </si>
  <si>
    <t>Campo Grande</t>
  </si>
  <si>
    <t>carlos carvalho</t>
  </si>
  <si>
    <t>116.810.727-00</t>
  </si>
  <si>
    <t>carloscarvalhoarq@gmail.com</t>
  </si>
  <si>
    <t>98896-9555</t>
  </si>
  <si>
    <t>CMC-REG-LIN-OFF-M</t>
  </si>
  <si>
    <t>carlos henrique queiroz</t>
  </si>
  <si>
    <t>063.623.656-07</t>
  </si>
  <si>
    <t>me@carlosqueirozi.com</t>
  </si>
  <si>
    <t>99985-9701</t>
  </si>
  <si>
    <t>CAL-FLA-ALG-VRD-40</t>
  </si>
  <si>
    <t>CMC-JAC-ALG-EPI-M</t>
  </si>
  <si>
    <t>CMC-LIN-CAB-VRD-M</t>
  </si>
  <si>
    <t>carlos lázaro barbosa</t>
  </si>
  <si>
    <t>065.855.871-46</t>
  </si>
  <si>
    <t>carloslbarbosa@icloud.com</t>
  </si>
  <si>
    <t>casa do saber eventos culturais</t>
  </si>
  <si>
    <t>05.452.257/0001-06</t>
  </si>
  <si>
    <t>financeiro@casadosaber.com.br</t>
  </si>
  <si>
    <t>CMC-CHI-ALG-AZU-M</t>
  </si>
  <si>
    <t>CML-ROB-ALG-BRA-M</t>
  </si>
  <si>
    <t>chico predrini</t>
  </si>
  <si>
    <t>311.186.188-07</t>
  </si>
  <si>
    <t>chico@prodigo.com.br</t>
  </si>
  <si>
    <t>98836-5160</t>
  </si>
  <si>
    <t>COL-D20-ALG-AZU-P</t>
  </si>
  <si>
    <t>claudio soares</t>
  </si>
  <si>
    <t>010.385.347-20</t>
  </si>
  <si>
    <t>claudioss15@yahoo.com.br</t>
  </si>
  <si>
    <t>MOL-LOG-ALG-PRE-M</t>
  </si>
  <si>
    <t>Caio Cesar Aragão</t>
  </si>
  <si>
    <t>058.562.607-32</t>
  </si>
  <si>
    <t>caiocaragao@gmail.com</t>
  </si>
  <si>
    <t>CAM-BAU-ALG-LIL-P</t>
  </si>
  <si>
    <t>Caio Cunha</t>
  </si>
  <si>
    <t>028.943.041-02</t>
  </si>
  <si>
    <t>caaio.boc@gmail.com</t>
  </si>
  <si>
    <t>CMC-FIL-ALG-AZU-P</t>
  </si>
  <si>
    <t>Caio Martins</t>
  </si>
  <si>
    <t>015.330.392-16</t>
  </si>
  <si>
    <t>caiorodriigo@gmail.com</t>
  </si>
  <si>
    <t>AM</t>
  </si>
  <si>
    <t>Manaus</t>
  </si>
  <si>
    <t>CAS-BOI-LA-MAR-G</t>
  </si>
  <si>
    <t>RAS-CHI-COR-WHI-41</t>
  </si>
  <si>
    <t>Caio Paiva</t>
  </si>
  <si>
    <t>008.448.173-09</t>
  </si>
  <si>
    <t>caiofilipepaiva@gmail.com</t>
  </si>
  <si>
    <t>CAL-ARI-ALG-VRD-40</t>
  </si>
  <si>
    <t>Caio Pimentel</t>
  </si>
  <si>
    <t>131.512.267-79</t>
  </si>
  <si>
    <t>ccaiopimentel@gmail.com</t>
  </si>
  <si>
    <t>ES</t>
  </si>
  <si>
    <t>Vitória</t>
  </si>
  <si>
    <t>Caique Sampaio</t>
  </si>
  <si>
    <t>031.832.345-13</t>
  </si>
  <si>
    <t>sampaioscaique@gmail.com</t>
  </si>
  <si>
    <t>CAM-51-ALG-ROS-G</t>
  </si>
  <si>
    <t>CMR-51-ALG-CIN-M</t>
  </si>
  <si>
    <t>Camila Coutinho</t>
  </si>
  <si>
    <t>131.373.827-18</t>
  </si>
  <si>
    <t>camscoutinho@gmail.com</t>
  </si>
  <si>
    <t>Camila Nogueira</t>
  </si>
  <si>
    <t>147.616.957-81</t>
  </si>
  <si>
    <t>sobreironog@gmail.com</t>
  </si>
  <si>
    <t>Camyla Terra</t>
  </si>
  <si>
    <t>120.223.757-69</t>
  </si>
  <si>
    <t>terracamyla@gmail.com</t>
  </si>
  <si>
    <t>Carla Guedes</t>
  </si>
  <si>
    <t>935.735.702-59</t>
  </si>
  <si>
    <t>guedes.carla@hotmail.com</t>
  </si>
  <si>
    <t>CAL-MAM-VIS-GOI-P</t>
  </si>
  <si>
    <t>TOP-MAM-AVE-GOI-P</t>
  </si>
  <si>
    <t>BLZ-PEQ-AVE-VRD-P</t>
  </si>
  <si>
    <t>SHO-PEQ-AVE-VRD-38</t>
  </si>
  <si>
    <t>TOP-UNO-AVE-VRD-P</t>
  </si>
  <si>
    <t>Carlos Edinger</t>
  </si>
  <si>
    <t>028.708.120-60</t>
  </si>
  <si>
    <t>carlos@edinger.adv.br</t>
  </si>
  <si>
    <t>Carlos Henrique Azevedo</t>
  </si>
  <si>
    <t>030.286.800-33</t>
  </si>
  <si>
    <t>carloshenrique_fv@hotmail.com</t>
  </si>
  <si>
    <t>97443-5288</t>
  </si>
  <si>
    <t>CML-ALI-SED-VRD-M</t>
  </si>
  <si>
    <t>SAP-PIT-COR-PRE-40</t>
  </si>
  <si>
    <t>Carlos Kreamer</t>
  </si>
  <si>
    <t>048.033.350-52</t>
  </si>
  <si>
    <t>dudags94@gmail.com</t>
  </si>
  <si>
    <t>Lajeado</t>
  </si>
  <si>
    <t>CAL-ARI-ALG-OFF-40</t>
  </si>
  <si>
    <t>Carolina Cardoso</t>
  </si>
  <si>
    <t>384.302.498-77</t>
  </si>
  <si>
    <t>dominguesmanuela@icloud.com</t>
  </si>
  <si>
    <t>SC</t>
  </si>
  <si>
    <t>Itajai</t>
  </si>
  <si>
    <t>OCU-VEN-ACET-TAB-TU</t>
  </si>
  <si>
    <t>Carolina das Neves Rocha</t>
  </si>
  <si>
    <t>104.800.096-60</t>
  </si>
  <si>
    <t>carolinanr16@gmail.com</t>
  </si>
  <si>
    <t>Carolina Faria</t>
  </si>
  <si>
    <t>336.491.338-22</t>
  </si>
  <si>
    <t>hi@bahrco.com.br</t>
  </si>
  <si>
    <t>Carolina Portela</t>
  </si>
  <si>
    <t>451.284.318-35</t>
  </si>
  <si>
    <t>prtlcarolina@gmail.com</t>
  </si>
  <si>
    <t>COL-D20-ALG-BEG-P</t>
  </si>
  <si>
    <t>Carolina Zibetti</t>
  </si>
  <si>
    <t>042.182.159-01</t>
  </si>
  <si>
    <t>carolinaczibetti@gmail.com</t>
  </si>
  <si>
    <t>Caroline Peixer</t>
  </si>
  <si>
    <t>072.869.699-19</t>
  </si>
  <si>
    <t>carolinepeixer@solopar.com</t>
  </si>
  <si>
    <t>99647-2288</t>
  </si>
  <si>
    <t>Cassiana Meneguini</t>
  </si>
  <si>
    <t>286.079.188-42</t>
  </si>
  <si>
    <t>cassimeneguini@hotmail.com</t>
  </si>
  <si>
    <t>Santana de Parnaiba</t>
  </si>
  <si>
    <t>CAIO BRUSAMARELLO SOARES</t>
  </si>
  <si>
    <t>010.823.301-40</t>
  </si>
  <si>
    <t>caio_bsoares@hotmail.com</t>
  </si>
  <si>
    <t>CAIQUE DINIZ SILVA</t>
  </si>
  <si>
    <t>415.677.708-19</t>
  </si>
  <si>
    <t>caique3@gmail.com</t>
  </si>
  <si>
    <t>9750-7155</t>
  </si>
  <si>
    <t>CMC-CAD-LIN-MAR-M</t>
  </si>
  <si>
    <t>CMC-CAD-LIN-VRD-M</t>
  </si>
  <si>
    <t>CMC-MOD-MOD-AZU-M</t>
  </si>
  <si>
    <t>CARLA GANDRA</t>
  </si>
  <si>
    <t>963.738.307-72</t>
  </si>
  <si>
    <t>carlagandralopes@gmail.com</t>
  </si>
  <si>
    <t>98693-8983</t>
  </si>
  <si>
    <t>BOL-JAU-RAN-WHI-G</t>
  </si>
  <si>
    <t>CARLOS BACCHI FILHO</t>
  </si>
  <si>
    <t>825.700.780-34</t>
  </si>
  <si>
    <t>carlos@carlosbacchi.com</t>
  </si>
  <si>
    <t>9200-7473</t>
  </si>
  <si>
    <t>POL-TRI-VIS-OFF-G</t>
  </si>
  <si>
    <t>RAS-CHI-COR-WHI-42</t>
  </si>
  <si>
    <t>CARLOS EDUARDO VIEIRA ROMANO DANTAS</t>
  </si>
  <si>
    <t>046.558.066-13</t>
  </si>
  <si>
    <t>kadudantas@gmail.com</t>
  </si>
  <si>
    <t>98182-6669</t>
  </si>
  <si>
    <t>CHI-MIS-BOR-MAR-43</t>
  </si>
  <si>
    <t>CMC-FIL-ALG-EST-G</t>
  </si>
  <si>
    <t>CAROLINA FRARE DA CUNHA ME</t>
  </si>
  <si>
    <t>20.737.584/0001-90</t>
  </si>
  <si>
    <t>celinafraredacunha@hotmail.com</t>
  </si>
  <si>
    <t>CAS-BOI-LA-AZU-M</t>
  </si>
  <si>
    <t>CML-PUB-ALG-AZB-M</t>
  </si>
  <si>
    <t>CML-PUB-ALG-AZB-P</t>
  </si>
  <si>
    <t>TAM-CAR-COU-WHI-37</t>
  </si>
  <si>
    <t>VES-PIN-ALG-AZU-G</t>
  </si>
  <si>
    <t>VES-PIN-ALG-AZU-M</t>
  </si>
  <si>
    <t>VES-PIN-ALG-OCR-G</t>
  </si>
  <si>
    <t>CAUE FERNANDES</t>
  </si>
  <si>
    <t>346.322.928-50</t>
  </si>
  <si>
    <t>caue.s.fernandes@gmail.com</t>
  </si>
  <si>
    <t>99847-8128</t>
  </si>
  <si>
    <t>POL-TRI-VIS-VRD-P</t>
  </si>
  <si>
    <t>Ceila Santana</t>
  </si>
  <si>
    <t>046.698.613-01</t>
  </si>
  <si>
    <t>cs554226@gmail.com</t>
  </si>
  <si>
    <t>César de Lucca</t>
  </si>
  <si>
    <t>097.565.476-42</t>
  </si>
  <si>
    <t>cesar.lucca.adv@gmail.com</t>
  </si>
  <si>
    <t>Cilene Poli</t>
  </si>
  <si>
    <t>023.117.828-00</t>
  </si>
  <si>
    <t>cilenempoli@gmail.com</t>
  </si>
  <si>
    <t>CAL-ALF-VIS-PRE-M</t>
  </si>
  <si>
    <t>CML-PRE-ALG-VRD-M</t>
  </si>
  <si>
    <t>CINTIA LEITAO</t>
  </si>
  <si>
    <t>713.636.029-34</t>
  </si>
  <si>
    <t>vendas@misci.co</t>
  </si>
  <si>
    <t>BLU-ELL-MPE-OFF-M</t>
  </si>
  <si>
    <t>Clarissa Miranda</t>
  </si>
  <si>
    <t>094.844.146-13</t>
  </si>
  <si>
    <t>clarissacmiranda@gmail.com</t>
  </si>
  <si>
    <t>SAN-JES-COR-WHI-37</t>
  </si>
  <si>
    <t>Claudio Vieira</t>
  </si>
  <si>
    <t>811.581.905-06</t>
  </si>
  <si>
    <t>cau@macacogordo.com.br</t>
  </si>
  <si>
    <t>CAM-BAU-ALG-CAR-M</t>
  </si>
  <si>
    <t>Clodoaldo Ferreira Fernandes da Silva</t>
  </si>
  <si>
    <t>929.347.811-00</t>
  </si>
  <si>
    <t>aldoff@uol.com.br</t>
  </si>
  <si>
    <t>Anápolis</t>
  </si>
  <si>
    <t>Cyro Guimarães Neto</t>
  </si>
  <si>
    <t>048.099.219-30</t>
  </si>
  <si>
    <t>cyrogn@icloud.com</t>
  </si>
  <si>
    <t>CHI-MIS-BOR-VRD-41</t>
  </si>
  <si>
    <t>CYNTHIA DE SANGALO</t>
  </si>
  <si>
    <t>544.118.155-91</t>
  </si>
  <si>
    <t>cynthia@iessi.com.br</t>
  </si>
  <si>
    <t>Clientes - Venda de Mercadoria Fabricadas</t>
  </si>
  <si>
    <t>Damaris De Sousa Garcez</t>
  </si>
  <si>
    <t>000.423.092-20</t>
  </si>
  <si>
    <t>renato.mar@gmail.com</t>
  </si>
  <si>
    <t>SAN-JES-COR-WHI-40</t>
  </si>
  <si>
    <t>Daniel B Mariani</t>
  </si>
  <si>
    <t>053.848.317-23</t>
  </si>
  <si>
    <t>danielbmariani@gmail.com</t>
  </si>
  <si>
    <t>CMC-LIN-ALG-BEG-G</t>
  </si>
  <si>
    <t>Daniel Douek</t>
  </si>
  <si>
    <t>365.041.868-12</t>
  </si>
  <si>
    <t>danieldouek@gmail.com</t>
  </si>
  <si>
    <t>99620-9095</t>
  </si>
  <si>
    <t>CHI-FIL-MAD-MAR-41</t>
  </si>
  <si>
    <t>CMC-CAN-ALG-BEG-M</t>
  </si>
  <si>
    <t>CMC-SER-VIS-BRA-M</t>
  </si>
  <si>
    <t>Daniel Feitoza</t>
  </si>
  <si>
    <t>060.675.964-66</t>
  </si>
  <si>
    <t>danielssfeitoza@gmail.com</t>
  </si>
  <si>
    <t>BER-JUN-ALG-OFF-M</t>
  </si>
  <si>
    <t>CAL-ELL-RAD-VR2-M</t>
  </si>
  <si>
    <t>Daniel Gottardi Villas</t>
  </si>
  <si>
    <t>165.486.877-95</t>
  </si>
  <si>
    <t>danielgvillas@hotmail.com</t>
  </si>
  <si>
    <t>Vila Velha</t>
  </si>
  <si>
    <t>CAM-CAN-ALG-BRA-G</t>
  </si>
  <si>
    <t>POL-TRI-VIS-AZU-G</t>
  </si>
  <si>
    <t>Daniel Menelau</t>
  </si>
  <si>
    <t>072.923.484-32</t>
  </si>
  <si>
    <t>daniel.menelau@hotmail.com</t>
  </si>
  <si>
    <t>PE</t>
  </si>
  <si>
    <t>Recife</t>
  </si>
  <si>
    <t>Daniel Rufino Marques Mota</t>
  </si>
  <si>
    <t>030.048.022-95</t>
  </si>
  <si>
    <t>motardaniel@gmail.com</t>
  </si>
  <si>
    <t>RR</t>
  </si>
  <si>
    <t>Boa Vista</t>
  </si>
  <si>
    <t>CML-ALI-SED-VRD-PP</t>
  </si>
  <si>
    <t>Daniel Vidal</t>
  </si>
  <si>
    <t>108.795.776-14</t>
  </si>
  <si>
    <t>danielvidal1993@gmail.com</t>
  </si>
  <si>
    <t>JAQ-MI-CET-BEG-M</t>
  </si>
  <si>
    <t>Daniela Oliveira</t>
  </si>
  <si>
    <t>781.237.555-20</t>
  </si>
  <si>
    <t>dani.lago.arq@gmail.com</t>
  </si>
  <si>
    <t>Daniela Schmitz</t>
  </si>
  <si>
    <t>132.913.778-77</t>
  </si>
  <si>
    <t>danielarj.schmitz@gmail.com</t>
  </si>
  <si>
    <t>Danillo Pestana</t>
  </si>
  <si>
    <t>136.389.437-47</t>
  </si>
  <si>
    <t>danillopestana@gmail.com</t>
  </si>
  <si>
    <t>99601-4330</t>
  </si>
  <si>
    <t>Danilo Ferreira</t>
  </si>
  <si>
    <t>857.682.775-10</t>
  </si>
  <si>
    <t>danioferreira91@gmail.com</t>
  </si>
  <si>
    <t>Danilo Pelegrini</t>
  </si>
  <si>
    <t>089.577.946-38</t>
  </si>
  <si>
    <t>ganache-ondinha-0z@icloud.com</t>
  </si>
  <si>
    <t>Danilo Sangaletti</t>
  </si>
  <si>
    <t>226.280.198-33</t>
  </si>
  <si>
    <t>sangalettidanilo@hotmail.com</t>
  </si>
  <si>
    <t>Tanabi</t>
  </si>
  <si>
    <t>SUN-MIS-POE-VRD-GG</t>
  </si>
  <si>
    <t>Davi Brandao</t>
  </si>
  <si>
    <t>458.583.368-41</t>
  </si>
  <si>
    <t>contatodbrandao@outlook.com</t>
  </si>
  <si>
    <t>Balneario Camboriu</t>
  </si>
  <si>
    <t>CAM-LOG-ALG-BRA-GG</t>
  </si>
  <si>
    <t>David Cordoba</t>
  </si>
  <si>
    <t>028.840.765-22</t>
  </si>
  <si>
    <t>cordobawr@gmail.com</t>
  </si>
  <si>
    <t>Davis Genuino</t>
  </si>
  <si>
    <t>203.984.388-46</t>
  </si>
  <si>
    <t>devisgenuino@gmail.com</t>
  </si>
  <si>
    <t>CMC-JEG-VIC-AZU-M</t>
  </si>
  <si>
    <t>DANIELA RODRIGUES</t>
  </si>
  <si>
    <t>035.458.249-69</t>
  </si>
  <si>
    <t>danikoyama@yahoo.com</t>
  </si>
  <si>
    <t>97385-7007</t>
  </si>
  <si>
    <t>DANILLO BANDEIRA</t>
  </si>
  <si>
    <t>083.382.504-65</t>
  </si>
  <si>
    <t>danillobandeiraa@hotmail.com</t>
  </si>
  <si>
    <t>9999-6806</t>
  </si>
  <si>
    <t>CAL-ARI-ALG-IND-40</t>
  </si>
  <si>
    <t>CAM-BAU-ALG-LIL-GG</t>
  </si>
  <si>
    <t>CMC-JUA-LIN-MAR-G</t>
  </si>
  <si>
    <t>CMC-LIN-BOR-OFF-G</t>
  </si>
  <si>
    <t>SHO-DOS-MAL-CER-42</t>
  </si>
  <si>
    <t>Debora Gomide Bastos</t>
  </si>
  <si>
    <t>330.460.118-06</t>
  </si>
  <si>
    <t>deboragbastos@gmail.com</t>
  </si>
  <si>
    <t>DENNIS RUIZ VEIGA</t>
  </si>
  <si>
    <t>118.426.658-12</t>
  </si>
  <si>
    <t>dennis.ruiz@bol.com.br</t>
  </si>
  <si>
    <t>CML-ARI-ALG-ING-P</t>
  </si>
  <si>
    <t>Débora Loch</t>
  </si>
  <si>
    <t>009.892.059-67</t>
  </si>
  <si>
    <t>loch.debora@gmail.com</t>
  </si>
  <si>
    <t>Débora Nascimento</t>
  </si>
  <si>
    <t>344.107.828-43</t>
  </si>
  <si>
    <t>debra@deboranascimento.com</t>
  </si>
  <si>
    <t>SAP-PIT-COR-OFF-39</t>
  </si>
  <si>
    <t>Diego Bielinski</t>
  </si>
  <si>
    <t>058.260.237-83</t>
  </si>
  <si>
    <t>diegobielinski@gmail.com</t>
  </si>
  <si>
    <t>Diego de Almeida Santos</t>
  </si>
  <si>
    <t>426.047.758-75</t>
  </si>
  <si>
    <t>ogeidiego@icloud.com</t>
  </si>
  <si>
    <t>Diego Nogueira</t>
  </si>
  <si>
    <t>083.603.344-20</t>
  </si>
  <si>
    <t>diego.nogueira@hotmail.com</t>
  </si>
  <si>
    <t>CAL-MIN-ALG-OFF-M</t>
  </si>
  <si>
    <t>Diego Wogel</t>
  </si>
  <si>
    <t>422.546.708-24</t>
  </si>
  <si>
    <t>diegowogel@gmail.com</t>
  </si>
  <si>
    <t>98676-3478</t>
  </si>
  <si>
    <t>Dimas Gaspar</t>
  </si>
  <si>
    <t>078.120.349-09</t>
  </si>
  <si>
    <t>dimas_bg@hotmail.com</t>
  </si>
  <si>
    <t>PR</t>
  </si>
  <si>
    <t>Curitiba</t>
  </si>
  <si>
    <t>Diogo Ferreira</t>
  </si>
  <si>
    <t>014.842.800-24</t>
  </si>
  <si>
    <t>diogo.ferreiras@hotmail.com</t>
  </si>
  <si>
    <t>BER-BRO-VIS-CON-P</t>
  </si>
  <si>
    <t>CMC-REG-LIN-OFF-P</t>
  </si>
  <si>
    <t>DIMITRI MUSSARD</t>
  </si>
  <si>
    <t>233.769.138-11</t>
  </si>
  <si>
    <t>dimitri@mvgrupo.com</t>
  </si>
  <si>
    <t>LIV-BRA-FEL-COL-TU</t>
  </si>
  <si>
    <t>Dominique Antunes</t>
  </si>
  <si>
    <t>080.450.689-22</t>
  </si>
  <si>
    <t>domini.antunes@gmail.com</t>
  </si>
  <si>
    <t>Douglas Conceição</t>
  </si>
  <si>
    <t>116.338.007-50</t>
  </si>
  <si>
    <t>jhonnydouglas@hotmail.com</t>
  </si>
  <si>
    <t>DOMINIQUE SÁ</t>
  </si>
  <si>
    <t>054.200.654-52</t>
  </si>
  <si>
    <t>rpsdominique@gmail.com</t>
  </si>
  <si>
    <t>RN</t>
  </si>
  <si>
    <t>Natal</t>
  </si>
  <si>
    <t>elida mota gonçalves</t>
  </si>
  <si>
    <t>032.452.773-00</t>
  </si>
  <si>
    <t>elidamota@msn.com</t>
  </si>
  <si>
    <t>MA</t>
  </si>
  <si>
    <t>São Luis</t>
  </si>
  <si>
    <t>BER-ALF-FEM-OFF-PIL</t>
  </si>
  <si>
    <t>BER-ZEB-PET-MAR-G</t>
  </si>
  <si>
    <t>CMC-LIN-VRD-PILOTO</t>
  </si>
  <si>
    <t>eloah cardoso</t>
  </si>
  <si>
    <t>740.870.701-82</t>
  </si>
  <si>
    <t>eloahbcardoso@gmail.com</t>
  </si>
  <si>
    <t>Eduardo Esteves</t>
  </si>
  <si>
    <t>108.213.307-80</t>
  </si>
  <si>
    <t>esteves.eduardo@outlook.com</t>
  </si>
  <si>
    <t>MOL-ELL-RAD-OFF-P</t>
  </si>
  <si>
    <t>Eduardo Farah</t>
  </si>
  <si>
    <t>410.500.438-71</t>
  </si>
  <si>
    <t>eduardo_farah@outlook.com</t>
  </si>
  <si>
    <t>99944-4725</t>
  </si>
  <si>
    <t>Eduardo Martins</t>
  </si>
  <si>
    <t>005.472.452-03</t>
  </si>
  <si>
    <t>esmartins.neto@gmail.com</t>
  </si>
  <si>
    <t>EDUARDO BREMM</t>
  </si>
  <si>
    <t>083.073.389-21</t>
  </si>
  <si>
    <t>eduardobremm@hotmail.com</t>
  </si>
  <si>
    <t>99937-5552</t>
  </si>
  <si>
    <t>CAL-ELL-RAD-OFF-P</t>
  </si>
  <si>
    <t>JAQ-MI-CET-VRD-M</t>
  </si>
  <si>
    <t>MOL-ELL-RAD-OFF-M</t>
  </si>
  <si>
    <t>MOL-ELL-RAD-VRD-M</t>
  </si>
  <si>
    <t>Eliseu Francisco da Silva Junior</t>
  </si>
  <si>
    <t>029.920.120-17</t>
  </si>
  <si>
    <t>junior.eliseufs@gmail.com</t>
  </si>
  <si>
    <t>ELEONORA GOMES</t>
  </si>
  <si>
    <t>040.074.499-61</t>
  </si>
  <si>
    <t>eleonoragomes@hotmail.com</t>
  </si>
  <si>
    <t>99973-2949</t>
  </si>
  <si>
    <t>Pinhais</t>
  </si>
  <si>
    <t>CMC-AMP-MOD-BRA-M</t>
  </si>
  <si>
    <t>ELIZABETH KIM</t>
  </si>
  <si>
    <t>398.308.278-52</t>
  </si>
  <si>
    <t>kethbim@gmail.com</t>
  </si>
  <si>
    <t>CMC-SER-VIS-BRA-P</t>
  </si>
  <si>
    <t>ELOISA HELENA RUBELLO VALLER CELERI</t>
  </si>
  <si>
    <t>025.078.428-90</t>
  </si>
  <si>
    <t>evaller@unicamp.br</t>
  </si>
  <si>
    <t>Campinas</t>
  </si>
  <si>
    <t>Emerson Meneses</t>
  </si>
  <si>
    <t>180.184.548-41</t>
  </si>
  <si>
    <t>emer.meneses@gmail.com</t>
  </si>
  <si>
    <t>CAM-CAN-ALG-BRA-M</t>
  </si>
  <si>
    <t>EMBREPAR DO BRASIL EIRELI</t>
  </si>
  <si>
    <t>12.049.403/0001-04</t>
  </si>
  <si>
    <t>Maringa</t>
  </si>
  <si>
    <t>EMILLY NUNES FIGUEIRA</t>
  </si>
  <si>
    <t>018.611.892-90</t>
  </si>
  <si>
    <t>deciosevero@terra.com.br</t>
  </si>
  <si>
    <t>4561-1800</t>
  </si>
  <si>
    <t>SHO-PEQ-AVE-VRD-36</t>
  </si>
  <si>
    <t>TOP-UNO-AVE-VRD-PP</t>
  </si>
  <si>
    <t>Enercy Montojos</t>
  </si>
  <si>
    <t>002.657.867-03</t>
  </si>
  <si>
    <t>enercymontojos@gmail.com</t>
  </si>
  <si>
    <t>Enock Neto</t>
  </si>
  <si>
    <t>029.711.735-18</t>
  </si>
  <si>
    <t>enockferreiraneto@gmail.com</t>
  </si>
  <si>
    <t>Enrico Mazza</t>
  </si>
  <si>
    <t>146.133.827-18</t>
  </si>
  <si>
    <t>emazza10@gmail.com</t>
  </si>
  <si>
    <t>CAL-LAI-VIS-MAR-M</t>
  </si>
  <si>
    <t>CAS-BOI-LA-MAR-M</t>
  </si>
  <si>
    <t>JAQ-ING-COT-MAS-M</t>
  </si>
  <si>
    <t>MOL-MIN-ALG-VRD-M</t>
  </si>
  <si>
    <t>SUE-IRR-TRI-CER-M</t>
  </si>
  <si>
    <t>ENZO CELULARI</t>
  </si>
  <si>
    <t>173.927.817-82</t>
  </si>
  <si>
    <t>enzorc@me.com</t>
  </si>
  <si>
    <t>97295-5353</t>
  </si>
  <si>
    <t>Estefânia Verreschi</t>
  </si>
  <si>
    <t>394.218.978-03</t>
  </si>
  <si>
    <t>estefaniaverreschi@gmail.com</t>
  </si>
  <si>
    <t>Guaratinguetá</t>
  </si>
  <si>
    <t>felipe de azevedo fonseca</t>
  </si>
  <si>
    <t>057.710.037-86</t>
  </si>
  <si>
    <t>felipe.azev96@gmail.com</t>
  </si>
  <si>
    <t>felipe martins</t>
  </si>
  <si>
    <t>396.646.708-98</t>
  </si>
  <si>
    <t>martinsfelipe1@hotmail.com</t>
  </si>
  <si>
    <t>CAL-PER-ALG-BEG-M</t>
  </si>
  <si>
    <t>BER-MIS-POE-AZU-G</t>
  </si>
  <si>
    <t>Fabio Okino</t>
  </si>
  <si>
    <t>235.651.738-31</t>
  </si>
  <si>
    <t>fabio.okino@gmail.com</t>
  </si>
  <si>
    <t>SAP-MI-COR-WHI-40</t>
  </si>
  <si>
    <t>Fabricio Ribeiro</t>
  </si>
  <si>
    <t>014.322.386-04</t>
  </si>
  <si>
    <t>fabriciohgribeiro@hotmail.com</t>
  </si>
  <si>
    <t>99347-2120</t>
  </si>
  <si>
    <t>FABIO CARDOSO</t>
  </si>
  <si>
    <t>348.895.138-33</t>
  </si>
  <si>
    <t>fabio@theburgermap.com.br</t>
  </si>
  <si>
    <t>Lencois</t>
  </si>
  <si>
    <t>CMC-FIL-ALG-EST-GG</t>
  </si>
  <si>
    <t>FABIO MATSUDA</t>
  </si>
  <si>
    <t>351.509.708-24</t>
  </si>
  <si>
    <t>fabio.ud@gmail.com</t>
  </si>
  <si>
    <t>Fábia Galvão</t>
  </si>
  <si>
    <t>003.589.211-04</t>
  </si>
  <si>
    <t>fabia.galvao@gmail.com</t>
  </si>
  <si>
    <t>Fábio Carlos Marques</t>
  </si>
  <si>
    <t>044.115.411-57</t>
  </si>
  <si>
    <t>OCU-VEN-ACET-PRE-TU</t>
  </si>
  <si>
    <t>Felipe de Carolis Mendes Correa</t>
  </si>
  <si>
    <t>110.810.627-70</t>
  </si>
  <si>
    <t>felipedecarolis@gmail.com</t>
  </si>
  <si>
    <t>CMC-SED-SED-AMA-M</t>
  </si>
  <si>
    <t>CML-ALI-SED-ROS-M</t>
  </si>
  <si>
    <t>Felipe Proença</t>
  </si>
  <si>
    <t>425.839.478-50</t>
  </si>
  <si>
    <t>proencafelipe7@gmail.com</t>
  </si>
  <si>
    <t>Felipe Simi</t>
  </si>
  <si>
    <t>317.735.538-01</t>
  </si>
  <si>
    <t>felipesimi@gmail.com</t>
  </si>
  <si>
    <t>Felipe Turione</t>
  </si>
  <si>
    <t>383.196.638-90</t>
  </si>
  <si>
    <t>felipeturione@gmail.com</t>
  </si>
  <si>
    <t>BER-TRE-ALG-VRD-M</t>
  </si>
  <si>
    <t>CMC-PRA-ALG-VRD-M</t>
  </si>
  <si>
    <t>Fernanda Amaral</t>
  </si>
  <si>
    <t>046.069.189-93</t>
  </si>
  <si>
    <t>fernanda_anita@yahoo.com.br</t>
  </si>
  <si>
    <t>Fernanda Jo</t>
  </si>
  <si>
    <t>469.737.498-36</t>
  </si>
  <si>
    <t>fezinha_95@hotmail.com</t>
  </si>
  <si>
    <t>Fernanda Nehring</t>
  </si>
  <si>
    <t>352.674.248-03</t>
  </si>
  <si>
    <t>fsnehring@gmail.com</t>
  </si>
  <si>
    <t>Fernanda Picanco</t>
  </si>
  <si>
    <t>099.611.657-56</t>
  </si>
  <si>
    <t>fernandalimapicanco@yahoo.com.br</t>
  </si>
  <si>
    <t>BLU-ELL-MPE-OFF-G</t>
  </si>
  <si>
    <t>BLU-ELL-MPE-PRE-G</t>
  </si>
  <si>
    <t>MOL-ELL-RAD-OFF-G</t>
  </si>
  <si>
    <t>Fernanda Pinto</t>
  </si>
  <si>
    <t>048.989.436-40</t>
  </si>
  <si>
    <t>fe.marques@globo.com</t>
  </si>
  <si>
    <t>99442-4745</t>
  </si>
  <si>
    <t>Fernando Caetano</t>
  </si>
  <si>
    <t>147.120.267-40</t>
  </si>
  <si>
    <t>fernandhcaetano@gmail.com</t>
  </si>
  <si>
    <t>Fernando Celio Rissi Nogari</t>
  </si>
  <si>
    <t>062.740.959-85</t>
  </si>
  <si>
    <t>fernandonogari@gmail.com</t>
  </si>
  <si>
    <t>BER-MIS-POE-VRD-P</t>
  </si>
  <si>
    <t>SUN-MIS-POE-VRD-P</t>
  </si>
  <si>
    <t>Fernando Forte</t>
  </si>
  <si>
    <t>263.720.608-09</t>
  </si>
  <si>
    <t>forte@fgmf.com.br</t>
  </si>
  <si>
    <t>Fernando Stocco</t>
  </si>
  <si>
    <t>430.357.838-02</t>
  </si>
  <si>
    <t>ferm.stocco@gmail.com</t>
  </si>
  <si>
    <t>96340-8279</t>
  </si>
  <si>
    <t>CAD-MIS-COU-PRE-TU</t>
  </si>
  <si>
    <t>FELIPE VALADARES</t>
  </si>
  <si>
    <t>051.670.914-38</t>
  </si>
  <si>
    <t>felipevaladaresmelo@gmail.com</t>
  </si>
  <si>
    <t>8863-1190</t>
  </si>
  <si>
    <t>Caruaru</t>
  </si>
  <si>
    <t>FERNANDA D GIGLIO</t>
  </si>
  <si>
    <t>299.393.468-67</t>
  </si>
  <si>
    <t>fernanda.petreche@gmail.com</t>
  </si>
  <si>
    <t>98181-3690</t>
  </si>
  <si>
    <t>FERNANDA GOZZI PEREIRA LIMA</t>
  </si>
  <si>
    <t>009.803.279-89</t>
  </si>
  <si>
    <t>fernandagplima@hotmail.com</t>
  </si>
  <si>
    <t>98738-1536</t>
  </si>
  <si>
    <t>SAI-FEN-PAN-MAR-G</t>
  </si>
  <si>
    <t>FERNANDO RAMALHO DE ARAUJO</t>
  </si>
  <si>
    <t>458.999.788-64</t>
  </si>
  <si>
    <t>fernandoramalhoaraujo@gmail.com</t>
  </si>
  <si>
    <t>JAQ-MI-CET-VRD-P</t>
  </si>
  <si>
    <t>FERNANDO SAHB</t>
  </si>
  <si>
    <t>136.355.287-22</t>
  </si>
  <si>
    <t>fernando.sahb@gmail.com</t>
  </si>
  <si>
    <t>99882-1088</t>
  </si>
  <si>
    <t>BER-BRO-VIS-OFF-P</t>
  </si>
  <si>
    <t>CMC-MOD-MOD-AZU-P</t>
  </si>
  <si>
    <t>CMC-MOD-MOD-VRD-G</t>
  </si>
  <si>
    <t>CML-ALI-SED-ROS-GG</t>
  </si>
  <si>
    <t>Filipe Rodrigues</t>
  </si>
  <si>
    <t>111.749.617-16</t>
  </si>
  <si>
    <t>fmraiz@hotmail.com</t>
  </si>
  <si>
    <t>Niteroi</t>
  </si>
  <si>
    <t>FORTUNATO BORIN</t>
  </si>
  <si>
    <t>453.085.199-00</t>
  </si>
  <si>
    <t>mad_borin@hotmail.com</t>
  </si>
  <si>
    <t>Marcelândia</t>
  </si>
  <si>
    <t>Franklin Pablo Souza Vasconcelos</t>
  </si>
  <si>
    <t>029.718.963-82</t>
  </si>
  <si>
    <t>franklin.pablo@hotmail.com</t>
  </si>
  <si>
    <t>Frederico Rocha Marcelino</t>
  </si>
  <si>
    <t>028.722.381-74</t>
  </si>
  <si>
    <t>rochafredrochafred@gmail.com</t>
  </si>
  <si>
    <t>CMC-ROB-ALG-LIS-M</t>
  </si>
  <si>
    <t>gabriel contreira ferreira</t>
  </si>
  <si>
    <t>354.255.948-28</t>
  </si>
  <si>
    <t>gabrielcontreira@icloud.com</t>
  </si>
  <si>
    <t>98940-0380</t>
  </si>
  <si>
    <t>SAP-PIT-COR-OFF-44</t>
  </si>
  <si>
    <t>gabriel palma</t>
  </si>
  <si>
    <t>024.847.320-40</t>
  </si>
  <si>
    <t>palmacgabriel@gmail.com</t>
  </si>
  <si>
    <t>giulia calbucci</t>
  </si>
  <si>
    <t>165.751.877-90</t>
  </si>
  <si>
    <t>giuliacalbucci@hotmail.com</t>
  </si>
  <si>
    <t>SUE-IRR-TRI-OFF-P</t>
  </si>
  <si>
    <t>gustavo francelino rocha</t>
  </si>
  <si>
    <t>098.650.249-93</t>
  </si>
  <si>
    <t>gustavorarissima@gmail.com</t>
  </si>
  <si>
    <t>Guarulhos</t>
  </si>
  <si>
    <t>Gabriel Amaral</t>
  </si>
  <si>
    <t>448.137.508-69</t>
  </si>
  <si>
    <t>gabriel.samaral@outlook.com.br</t>
  </si>
  <si>
    <t>Gabriel Bezerra Batista</t>
  </si>
  <si>
    <t>120.683.856-60</t>
  </si>
  <si>
    <t>gabrielbezerrabatista@hotmail.com</t>
  </si>
  <si>
    <t>Governador Valadares</t>
  </si>
  <si>
    <t>CAM-LIS-ALG-BRA-M</t>
  </si>
  <si>
    <t>Gabriel Brito</t>
  </si>
  <si>
    <t>418.914.558-00</t>
  </si>
  <si>
    <t>contatogabrielbrito@gmail.com</t>
  </si>
  <si>
    <t>97498-7732</t>
  </si>
  <si>
    <t>Gabriel Carvalho</t>
  </si>
  <si>
    <t>101.059.817-10</t>
  </si>
  <si>
    <t>gcarvalho@fabricaag.com.br</t>
  </si>
  <si>
    <t>CMC-LIN-ALG-MAR-GG</t>
  </si>
  <si>
    <t>Gabriel Nascimento Brito</t>
  </si>
  <si>
    <t>031.688.372-70</t>
  </si>
  <si>
    <t>gabrielwilkern@gmail.com</t>
  </si>
  <si>
    <t>PA</t>
  </si>
  <si>
    <t>Belém</t>
  </si>
  <si>
    <t>CMC-FIL-ALG-AZU-PP</t>
  </si>
  <si>
    <t>Gabriel Not</t>
  </si>
  <si>
    <t>810.202.600-68</t>
  </si>
  <si>
    <t>gabrielnot@gmail.com</t>
  </si>
  <si>
    <t>Gabriel Tavares de Lima</t>
  </si>
  <si>
    <t>079.824.174-85</t>
  </si>
  <si>
    <t>gabrieltavi@gmail.com</t>
  </si>
  <si>
    <t>Gabriela Donato</t>
  </si>
  <si>
    <t>396.206.988-78</t>
  </si>
  <si>
    <t>contatogabidonato@gmail.com</t>
  </si>
  <si>
    <t>Gabriela Rios</t>
  </si>
  <si>
    <t>281.660.878-63</t>
  </si>
  <si>
    <t>gabi.rios.corral@gmail.com</t>
  </si>
  <si>
    <t>Gabryel Sampaio Mendes</t>
  </si>
  <si>
    <t>072.739.856-35</t>
  </si>
  <si>
    <t>gabryelsm@gmail.com</t>
  </si>
  <si>
    <t>99995-2725</t>
  </si>
  <si>
    <t>COL-D20-ALG-BEG-M</t>
  </si>
  <si>
    <t>GABRIEL BRUGNARA</t>
  </si>
  <si>
    <t>127.377.566-00</t>
  </si>
  <si>
    <t>gabrielbrugnara@me.com</t>
  </si>
  <si>
    <t>GABRIEL MARTINS</t>
  </si>
  <si>
    <t>083.155.039-28</t>
  </si>
  <si>
    <t>gabrlmartns@gmail.com</t>
  </si>
  <si>
    <t>Londrina</t>
  </si>
  <si>
    <t>CAL-ARI-ALG-OCR-44</t>
  </si>
  <si>
    <t>426.330.228-12</t>
  </si>
  <si>
    <t>gabrielschimitt@icloud.com</t>
  </si>
  <si>
    <t>GABRIEL POLTRONIERI BRUSASCO</t>
  </si>
  <si>
    <t>410.618.148-74</t>
  </si>
  <si>
    <t>gabriel@farahservice.com.br</t>
  </si>
  <si>
    <t>Santo Andre</t>
  </si>
  <si>
    <t>GABRIEL QUEIROZ</t>
  </si>
  <si>
    <t>335.928.778-95</t>
  </si>
  <si>
    <t>g.soaresqueiroz@gmail.com</t>
  </si>
  <si>
    <t>97575-6871</t>
  </si>
  <si>
    <t>CMC-LIN-CAB-TAB-P</t>
  </si>
  <si>
    <t>GABRIELI CAROLINE MELOZZI</t>
  </si>
  <si>
    <t>059.413.011-54</t>
  </si>
  <si>
    <t>gabii_melozzi@hotmail.com</t>
  </si>
  <si>
    <t>9991-1670</t>
  </si>
  <si>
    <t>BOL-NIN-COU-PRE-G</t>
  </si>
  <si>
    <t>Georgea Peres</t>
  </si>
  <si>
    <t>810.972.711-53</t>
  </si>
  <si>
    <t>georgeadigiorgio@gmail.com</t>
  </si>
  <si>
    <t>GEORGE LIMA</t>
  </si>
  <si>
    <t>354.383.578-54</t>
  </si>
  <si>
    <t>george_lima_18@hotmail.com</t>
  </si>
  <si>
    <t>CAL-ARI-ALG-OFF-42</t>
  </si>
  <si>
    <t>GERSON GOMES</t>
  </si>
  <si>
    <t>021.433.291-80</t>
  </si>
  <si>
    <t>gersonrgomes@gmail.com</t>
  </si>
  <si>
    <t>9599-6346</t>
  </si>
  <si>
    <t>Giovani Cardoso Lanzotti</t>
  </si>
  <si>
    <t>464.606.078-77</t>
  </si>
  <si>
    <t>glanzotti17@gmail.com</t>
  </si>
  <si>
    <t>Francisco Morato</t>
  </si>
  <si>
    <t>Giovanna Teixeira</t>
  </si>
  <si>
    <t>162.566.757-46</t>
  </si>
  <si>
    <t>jojodspmt@hotmail.com</t>
  </si>
  <si>
    <t>Giuliano Carneiro</t>
  </si>
  <si>
    <t>372.308.218-19</t>
  </si>
  <si>
    <t>giujc@hotmail.com</t>
  </si>
  <si>
    <t>GIULIA PRADO</t>
  </si>
  <si>
    <t>400.695.498-00</t>
  </si>
  <si>
    <t>giuliasemeguini@gmail.com</t>
  </si>
  <si>
    <t>CMl-JUA-ALG-BEG-G</t>
  </si>
  <si>
    <t>COL-D20-ALG-BEG-PIL</t>
  </si>
  <si>
    <t>GRAZIELA NOBREGA</t>
  </si>
  <si>
    <t>426.611.858-95</t>
  </si>
  <si>
    <t>grazielanobrega@hotmail.com</t>
  </si>
  <si>
    <t>RAS-CHI-COR-WHI-35</t>
  </si>
  <si>
    <t>Guilherme Almeida Farabello</t>
  </si>
  <si>
    <t>402.112.188-98</t>
  </si>
  <si>
    <t>guilhermefarabello@gmail.com</t>
  </si>
  <si>
    <t>CML-TIB-ALG-VER-G</t>
  </si>
  <si>
    <t>Guilherme Fernandes</t>
  </si>
  <si>
    <t>388.484.808-96</t>
  </si>
  <si>
    <t>guilherme.marcondes@live.com</t>
  </si>
  <si>
    <t>98135-1733</t>
  </si>
  <si>
    <t>Guilherme Ferreira Lopes</t>
  </si>
  <si>
    <t>014.806.270-97</t>
  </si>
  <si>
    <t>guilherme_flopes@hotmail.com</t>
  </si>
  <si>
    <t>Guilherme Garcia</t>
  </si>
  <si>
    <t>099.218.839-33</t>
  </si>
  <si>
    <t>guilhermegarciadi@gmail.com</t>
  </si>
  <si>
    <t>99970-9856</t>
  </si>
  <si>
    <t>Florianópolis</t>
  </si>
  <si>
    <t>Guilherme Maia</t>
  </si>
  <si>
    <t>351.319.418-81</t>
  </si>
  <si>
    <t>guilherme@agencialema.com.br</t>
  </si>
  <si>
    <t>Guilherme Nista</t>
  </si>
  <si>
    <t>442.672.638-76</t>
  </si>
  <si>
    <t>guilhermenistag@gmail.com</t>
  </si>
  <si>
    <t>Guilherme Valente</t>
  </si>
  <si>
    <t>407.076.558-11</t>
  </si>
  <si>
    <t>gui.valente_25@hotmail.com</t>
  </si>
  <si>
    <t>Marilia</t>
  </si>
  <si>
    <t>CAM-BAU-ALG-CAR-PP</t>
  </si>
  <si>
    <t>Gustavo Aronis</t>
  </si>
  <si>
    <t>497.002.758-76</t>
  </si>
  <si>
    <t>gusaronis@icloud.com</t>
  </si>
  <si>
    <t>Gustavo Lima</t>
  </si>
  <si>
    <t>119.321.446-76</t>
  </si>
  <si>
    <t>contatoeugustavolima@gmail.com</t>
  </si>
  <si>
    <t>Gustavo Melo Franco Vieira</t>
  </si>
  <si>
    <t>014.805.876-05</t>
  </si>
  <si>
    <t>gutvieira@yahoo.com</t>
  </si>
  <si>
    <t>Formiga</t>
  </si>
  <si>
    <t>Gustavo Nunez</t>
  </si>
  <si>
    <t>393.589.028-17</t>
  </si>
  <si>
    <t>gvnunez03@gmail.com</t>
  </si>
  <si>
    <t>MOL-LOG-ALG-PRE-P</t>
  </si>
  <si>
    <t>Gustavo Pinto Nogueira</t>
  </si>
  <si>
    <t>117.974.057-21</t>
  </si>
  <si>
    <t>gustavopnogueira@gmail.com</t>
  </si>
  <si>
    <t>GUILHERME CARLOS</t>
  </si>
  <si>
    <t>424.261.198-61</t>
  </si>
  <si>
    <t>guilhermemcarlos@gmail.com</t>
  </si>
  <si>
    <t>CAL-ARI-ALG-OFF-36</t>
  </si>
  <si>
    <t>GUILHERME CEVIDANES SOUTO DE OLIVEIRA</t>
  </si>
  <si>
    <t>062.202.117-66</t>
  </si>
  <si>
    <t>gcevidanes@gmail.com</t>
  </si>
  <si>
    <t>98464-9250</t>
  </si>
  <si>
    <t>GUILHERME HAIDAR BERJEAUT</t>
  </si>
  <si>
    <t>407.483.538-01</t>
  </si>
  <si>
    <t>guihaidar@hotmail.com</t>
  </si>
  <si>
    <t>99589-5299</t>
  </si>
  <si>
    <t>CAL-ARI-ALG-OCR-46</t>
  </si>
  <si>
    <t>CAS-BOI-LA-MAR-GG</t>
  </si>
  <si>
    <t>POL-TRI-VIS-OFF-GG</t>
  </si>
  <si>
    <t>GUILHERME PRATA</t>
  </si>
  <si>
    <t>020.642.561-99</t>
  </si>
  <si>
    <t>guilherme_prata@hotmail.com</t>
  </si>
  <si>
    <t>99658-8569</t>
  </si>
  <si>
    <t>GUSTAVO RODI</t>
  </si>
  <si>
    <t>064.907.929-90</t>
  </si>
  <si>
    <t>GUSTAVO TOKIHIRO</t>
  </si>
  <si>
    <t>474.094.948-24</t>
  </si>
  <si>
    <t>obrigadx@misci.co</t>
  </si>
  <si>
    <t>96764-2373</t>
  </si>
  <si>
    <t>Harlen Brandão</t>
  </si>
  <si>
    <t>026.799.239-44</t>
  </si>
  <si>
    <t>harlen@harlenbrandao.com.br</t>
  </si>
  <si>
    <t>HAYDE PORLAN GARCIA ALVES DE OLIVEIRA</t>
  </si>
  <si>
    <t>230.071.858-82</t>
  </si>
  <si>
    <t>haydeporlan@gmail.com</t>
  </si>
  <si>
    <t>Hector Melquíades</t>
  </si>
  <si>
    <t>052.807.015-05</t>
  </si>
  <si>
    <t>hectormelquiades@hotmail.com</t>
  </si>
  <si>
    <t>Feira de Santana</t>
  </si>
  <si>
    <t>CHI-MIS-BOR-MAR-37</t>
  </si>
  <si>
    <t>Helena Lutz M Barros</t>
  </si>
  <si>
    <t>395.908.778-00</t>
  </si>
  <si>
    <t>leleca_lmb@hotmail.com</t>
  </si>
  <si>
    <t>Helio Bairros</t>
  </si>
  <si>
    <t>091.937.969-94</t>
  </si>
  <si>
    <t>heliocesarbairros@gmail.com</t>
  </si>
  <si>
    <t>Heloisa Xavier</t>
  </si>
  <si>
    <t>455.414.000-82</t>
  </si>
  <si>
    <t>paxferrari10@gmail.com</t>
  </si>
  <si>
    <t>Henrique Zorzi</t>
  </si>
  <si>
    <t>019.988.040-97</t>
  </si>
  <si>
    <t>henrique@bvzagencia.com.br</t>
  </si>
  <si>
    <t>Novo Hamburgo</t>
  </si>
  <si>
    <t>Hericles Almeida</t>
  </si>
  <si>
    <t>103.822.714-32</t>
  </si>
  <si>
    <t>hericles-almeida@hotmail.com</t>
  </si>
  <si>
    <t>PB</t>
  </si>
  <si>
    <t>João Pessoa</t>
  </si>
  <si>
    <t>HENRIQUE CUNHA PIMENTEL FILHO</t>
  </si>
  <si>
    <t>050.392.735-09</t>
  </si>
  <si>
    <t>henriquecunhapimentel@gmail.com</t>
  </si>
  <si>
    <t>BER-LAI-ALG-CRU-M</t>
  </si>
  <si>
    <t>CMC-PAR-LIN-OFF-P</t>
  </si>
  <si>
    <t>HENRIQUE DUARTE</t>
  </si>
  <si>
    <t>091.619.206-73</t>
  </si>
  <si>
    <t>hickduarte@gmail.com</t>
  </si>
  <si>
    <t>99674-1313</t>
  </si>
  <si>
    <t>CAL-ALG-TRE-OFF-40</t>
  </si>
  <si>
    <t>Hugo Calvocanti</t>
  </si>
  <si>
    <t>153.141.608-03</t>
  </si>
  <si>
    <t>hugorcalvocanti@gmail.com</t>
  </si>
  <si>
    <t>93433-7731</t>
  </si>
  <si>
    <t>Porto Seguro</t>
  </si>
  <si>
    <t>PAN-MIS-POE-PRE-U</t>
  </si>
  <si>
    <t>Hugo Quirin</t>
  </si>
  <si>
    <t>087.966.514-90</t>
  </si>
  <si>
    <t>hugo.cquirin@gmail.com</t>
  </si>
  <si>
    <t>Husney Cavalcante</t>
  </si>
  <si>
    <t>028.932.683-40</t>
  </si>
  <si>
    <t>husney@gmail.com</t>
  </si>
  <si>
    <t>96327-3437</t>
  </si>
  <si>
    <t>Hyder Mattos Gurgel</t>
  </si>
  <si>
    <t>023.941.155-21</t>
  </si>
  <si>
    <t>hydergurgel@yahoo.com.br</t>
  </si>
  <si>
    <t>CAM-CAN-ALG-TAM-M</t>
  </si>
  <si>
    <t>CAL-ARI-ALG-AZU-38</t>
  </si>
  <si>
    <t>CMC-ALG-PIA-AZU-P</t>
  </si>
  <si>
    <t>isis martins</t>
  </si>
  <si>
    <t>420.524.358-83</t>
  </si>
  <si>
    <t>isis_martins_@hotmail.com</t>
  </si>
  <si>
    <t>98104-9959</t>
  </si>
  <si>
    <t>Iago Daniel</t>
  </si>
  <si>
    <t>105.885.964-18</t>
  </si>
  <si>
    <t>iagoid@icloud.com</t>
  </si>
  <si>
    <t>Igor Bellizzi</t>
  </si>
  <si>
    <t>159.607.567-81</t>
  </si>
  <si>
    <t>igorbellizzi@gmail.com</t>
  </si>
  <si>
    <t>CMC-PAR-LIN-OFF-M</t>
  </si>
  <si>
    <t>CML-TIB-ALG-CIZ-M</t>
  </si>
  <si>
    <t>Igor Capanema</t>
  </si>
  <si>
    <t>117.366.576-58</t>
  </si>
  <si>
    <t>igor.pagani@gmail.com</t>
  </si>
  <si>
    <t>CAM-BAU-ALG-LIL-G</t>
  </si>
  <si>
    <t>Igor de Lima e Silva</t>
  </si>
  <si>
    <t>052.984.766-35</t>
  </si>
  <si>
    <t>rogilima@hotmail.com</t>
  </si>
  <si>
    <t>Igor Moura</t>
  </si>
  <si>
    <t>400.232.968-28</t>
  </si>
  <si>
    <t>igormoura733@gmail.com</t>
  </si>
  <si>
    <t>Bauru</t>
  </si>
  <si>
    <t>INACIO RODRIGUES MARTINS JUNIOR</t>
  </si>
  <si>
    <t>133.156.717-37</t>
  </si>
  <si>
    <t>inaciomartinsjr@me.com</t>
  </si>
  <si>
    <t>99622-5517</t>
  </si>
  <si>
    <t>IRACEMA FRANCO</t>
  </si>
  <si>
    <t>347.615.308-80</t>
  </si>
  <si>
    <t>98998-5769</t>
  </si>
  <si>
    <t>CAL-MIN-ALG-AZU-M</t>
  </si>
  <si>
    <t>Isabelle Fonteles</t>
  </si>
  <si>
    <t>062.964.823-96</t>
  </si>
  <si>
    <t>isabellefonteles@live.com</t>
  </si>
  <si>
    <t>CE</t>
  </si>
  <si>
    <t>Sobral</t>
  </si>
  <si>
    <t>Isabelle Guedes</t>
  </si>
  <si>
    <t>045.736.871-30</t>
  </si>
  <si>
    <t>isabelle.p.guedes@gmail.com</t>
  </si>
  <si>
    <t>Isadora de oliveira</t>
  </si>
  <si>
    <t>029.168.623-07</t>
  </si>
  <si>
    <t>isatupi@gmail.com</t>
  </si>
  <si>
    <t>Israel Amarante</t>
  </si>
  <si>
    <t>408.343.718-98</t>
  </si>
  <si>
    <t>israelamarante@gmail.com</t>
  </si>
  <si>
    <t>ISABELLA CANDOTTI PRIMON</t>
  </si>
  <si>
    <t>005.220.809-52</t>
  </si>
  <si>
    <t>isabella.primon@hotmail.com</t>
  </si>
  <si>
    <t>VES-CHE-ALG-PAL-M</t>
  </si>
  <si>
    <t>Italo Figueira</t>
  </si>
  <si>
    <t>127.274.887-18</t>
  </si>
  <si>
    <t>fsantos.italo@gmail.com</t>
  </si>
  <si>
    <t>99381-3041</t>
  </si>
  <si>
    <t>TAM-CAR-COU-WHI-38</t>
  </si>
  <si>
    <t>jessica vieira</t>
  </si>
  <si>
    <t>022.185.220-47</t>
  </si>
  <si>
    <t>jvieirafotografia@gmail.com</t>
  </si>
  <si>
    <t>julia a curan</t>
  </si>
  <si>
    <t>393.922.098-19</t>
  </si>
  <si>
    <t>jucuran@gmail.com</t>
  </si>
  <si>
    <t>Jacqueline Bandeira</t>
  </si>
  <si>
    <t>396.731.034-53</t>
  </si>
  <si>
    <t>jackbandeira@hotmail.com</t>
  </si>
  <si>
    <t>Cabedelo</t>
  </si>
  <si>
    <t>CMC-CAR-ALG-XAD-M</t>
  </si>
  <si>
    <t>Janio Abreu</t>
  </si>
  <si>
    <t>042.357.483-35</t>
  </si>
  <si>
    <t>janioqabreu@gmail.com</t>
  </si>
  <si>
    <t>Jaqueline Fauro</t>
  </si>
  <si>
    <t>003.831.422-37</t>
  </si>
  <si>
    <t>jfauro@hotmail.com</t>
  </si>
  <si>
    <t>JAQUELINE LAMBERTI</t>
  </si>
  <si>
    <t>120.200.456-30</t>
  </si>
  <si>
    <t>lambertjaq@gmail.com</t>
  </si>
  <si>
    <t>97095-2407</t>
  </si>
  <si>
    <t>JEFERSON LUIZ BRANCO</t>
  </si>
  <si>
    <t>090.643.559-59</t>
  </si>
  <si>
    <t>contato@jefersonbranco.com</t>
  </si>
  <si>
    <t>JEFFERSON FERNANDES ALVES</t>
  </si>
  <si>
    <t>375.865.258-89</t>
  </si>
  <si>
    <t>alves.jefferson@hotmail.com</t>
  </si>
  <si>
    <t>98407-6410</t>
  </si>
  <si>
    <t>JEROME TADIE</t>
  </si>
  <si>
    <t>239.939.418-61</t>
  </si>
  <si>
    <t>jtadie03@gmail.com</t>
  </si>
  <si>
    <t>CAC-PRA-TIE-MIS-P</t>
  </si>
  <si>
    <t>JESSICA BESSA DE ARAUJO</t>
  </si>
  <si>
    <t>394.222.148-90</t>
  </si>
  <si>
    <t>bessa.dept@gmail.com</t>
  </si>
  <si>
    <t>116000-1595</t>
  </si>
  <si>
    <t>Jhonny Rodrigues</t>
  </si>
  <si>
    <t>431.996.788-74</t>
  </si>
  <si>
    <t>jhonny.soliveira@yahoo.com.br</t>
  </si>
  <si>
    <t>JHONATAN MEHRET PENTEADO</t>
  </si>
  <si>
    <t>073.434.889-45</t>
  </si>
  <si>
    <t>jhonpenteado@gmail.com,jhonatan_m.p@hotmail.com</t>
  </si>
  <si>
    <t>99829-6668</t>
  </si>
  <si>
    <t>Imbituva</t>
  </si>
  <si>
    <t>Joana Pacheco</t>
  </si>
  <si>
    <t>158.877.137-71</t>
  </si>
  <si>
    <t>joanapacheco11@gmail.com</t>
  </si>
  <si>
    <t>Joao Paulo Vitoriano Gobbo</t>
  </si>
  <si>
    <t>069.986.176-40</t>
  </si>
  <si>
    <t>joaopaulogobbo@gmail.com</t>
  </si>
  <si>
    <t>Uberlândia</t>
  </si>
  <si>
    <t>CHI-BIT-COR-WHI-41</t>
  </si>
  <si>
    <t>CMC-FIL-ALG-AZU-M</t>
  </si>
  <si>
    <t>Joao Pedro Carvalho</t>
  </si>
  <si>
    <t>311.766.228-62</t>
  </si>
  <si>
    <t>jppczm@gmail.com</t>
  </si>
  <si>
    <t>Mogi das Cruzes</t>
  </si>
  <si>
    <t>CMC-CHI-ALG-AZU-P</t>
  </si>
  <si>
    <t>POL-TRI-VIS-PRE-M</t>
  </si>
  <si>
    <t>Joao Pedro Oliveira Belline</t>
  </si>
  <si>
    <t>460.098.408-05</t>
  </si>
  <si>
    <t>joaopedrobik31@gmail.com</t>
  </si>
  <si>
    <t>Franca</t>
  </si>
  <si>
    <t>João Augusto Petrati Resende</t>
  </si>
  <si>
    <t>393.671.368-54</t>
  </si>
  <si>
    <t>jaugustores@gmail.com</t>
  </si>
  <si>
    <t>99113-6443</t>
  </si>
  <si>
    <t>Jacarei</t>
  </si>
  <si>
    <t>João Brito</t>
  </si>
  <si>
    <t>781.475.495-04</t>
  </si>
  <si>
    <t>joaohcb@gmail.com</t>
  </si>
  <si>
    <t>João Hallack</t>
  </si>
  <si>
    <t>181.990.077-02</t>
  </si>
  <si>
    <t>joao_hallack@hotmail.com</t>
  </si>
  <si>
    <t>João Pedro Leisnoch</t>
  </si>
  <si>
    <t>441.475.968-43</t>
  </si>
  <si>
    <t>jp.leisnoch@gmail.com</t>
  </si>
  <si>
    <t>CAL-ING-COT-MAS-GG</t>
  </si>
  <si>
    <t>Johnn Henrique Azevedo</t>
  </si>
  <si>
    <t>016.163.452-41</t>
  </si>
  <si>
    <t>johnnhenriqueazevedo@gmail.com</t>
  </si>
  <si>
    <t>Jonas Benite</t>
  </si>
  <si>
    <t>039.336.781-96</t>
  </si>
  <si>
    <t>jon.benite@gmail.com</t>
  </si>
  <si>
    <t>CML-TIB-ALG-CIZ-G</t>
  </si>
  <si>
    <t>Jose Camargo</t>
  </si>
  <si>
    <t>103.552.188-10</t>
  </si>
  <si>
    <t>odelayze@uol.com.br</t>
  </si>
  <si>
    <t>99605-0500</t>
  </si>
  <si>
    <t>CAM-51-ALG-VRD-G</t>
  </si>
  <si>
    <t>Jose Neto</t>
  </si>
  <si>
    <t>096.706.814-21</t>
  </si>
  <si>
    <t>josedomingos178@hotmail.com</t>
  </si>
  <si>
    <t>Joshua Holetz</t>
  </si>
  <si>
    <t>086.337.859-51</t>
  </si>
  <si>
    <t>joshua.holetz@gmail.com</t>
  </si>
  <si>
    <t>Blumenau</t>
  </si>
  <si>
    <t>Josué Silva Morais</t>
  </si>
  <si>
    <t>039.096.251-18</t>
  </si>
  <si>
    <t>josuesilvamorais2016@gmail.com</t>
  </si>
  <si>
    <t>José Mauricio Cavalcante</t>
  </si>
  <si>
    <t>041.509.573-55</t>
  </si>
  <si>
    <t>mauriciofilholima@yahoo.com</t>
  </si>
  <si>
    <t>Fortaleza</t>
  </si>
  <si>
    <t>JOAO CORAZZA</t>
  </si>
  <si>
    <t>388.812.958-30</t>
  </si>
  <si>
    <t>joao_corazza@icloud.com</t>
  </si>
  <si>
    <t>99553-9410</t>
  </si>
  <si>
    <t>CAM-CAN-ALG-MES-G</t>
  </si>
  <si>
    <t>JOAO FIGUEIREDO</t>
  </si>
  <si>
    <t>462.532.408-46</t>
  </si>
  <si>
    <t>joao.figueiredo@boladeneve.com</t>
  </si>
  <si>
    <t>RAS-CHI-COR-WHI-38</t>
  </si>
  <si>
    <t>TOP-MAM-TWD-SED-PIL</t>
  </si>
  <si>
    <t>TOP-UNO-AVE-AZU-P</t>
  </si>
  <si>
    <t>JOAO LUCAS FELIX FRAZAO</t>
  </si>
  <si>
    <t>061.979.581-63</t>
  </si>
  <si>
    <t>lucasffrazao@hotmail.com</t>
  </si>
  <si>
    <t>JOAO VITOR TOLARDO</t>
  </si>
  <si>
    <t>057.067.129-99</t>
  </si>
  <si>
    <t>jvtolardo@hotmail.com</t>
  </si>
  <si>
    <t>99147-4224</t>
  </si>
  <si>
    <t>CAL-MIN-ALG-OFF-P</t>
  </si>
  <si>
    <t>PER-BOT-250</t>
  </si>
  <si>
    <t>JOSE BARROS</t>
  </si>
  <si>
    <t>099.593.624-26</t>
  </si>
  <si>
    <t>josebarros@gmail.com</t>
  </si>
  <si>
    <t>97649-7033</t>
  </si>
  <si>
    <t>JOSE CARLOS PEREIRA LIMA</t>
  </si>
  <si>
    <t>359.852.718-70</t>
  </si>
  <si>
    <t>josepl@gmx.de</t>
  </si>
  <si>
    <t>CMl-JUA-ALG-BEG-GG</t>
  </si>
  <si>
    <t>JOSE MACIEL</t>
  </si>
  <si>
    <t>073.847.497-51</t>
  </si>
  <si>
    <t>josefcmaciel@gmail.com</t>
  </si>
  <si>
    <t>98205-5732</t>
  </si>
  <si>
    <t>SUE-IRR-TRI-OFF-M</t>
  </si>
  <si>
    <t>Jônatas Pereira do Nascimento Rosa</t>
  </si>
  <si>
    <t>079.153.165-16</t>
  </si>
  <si>
    <t>jonataspereiradonascimento@gmail.com</t>
  </si>
  <si>
    <t>Casa Nova</t>
  </si>
  <si>
    <t>CAM-LOG-ALG-PRE-M</t>
  </si>
  <si>
    <t>Julia Arcangeli</t>
  </si>
  <si>
    <t>450.971.058-50</t>
  </si>
  <si>
    <t>juliaarcangeli@gmail.com</t>
  </si>
  <si>
    <t>98371-8753</t>
  </si>
  <si>
    <t>Julia Machado</t>
  </si>
  <si>
    <t>448.927.318-54</t>
  </si>
  <si>
    <t>juliaccmachado@gmail.com</t>
  </si>
  <si>
    <t>Julia Pitaluga</t>
  </si>
  <si>
    <t>136.245.107-03</t>
  </si>
  <si>
    <t>juliapitaluga@hotmail.com</t>
  </si>
  <si>
    <t>Julia Zanon</t>
  </si>
  <si>
    <t>126.368.976-07</t>
  </si>
  <si>
    <t>j.furtadozanon@gmail.com</t>
  </si>
  <si>
    <t>Juliana Bandeira</t>
  </si>
  <si>
    <t>046.832.731-28</t>
  </si>
  <si>
    <t>juliana-bandeira@live.com</t>
  </si>
  <si>
    <t>99988-5380</t>
  </si>
  <si>
    <t>Juliana De Paiva</t>
  </si>
  <si>
    <t>147.934.297-18</t>
  </si>
  <si>
    <t>julianapaivag@gmail.com</t>
  </si>
  <si>
    <t>SAP-PIT-COR-PRE-43</t>
  </si>
  <si>
    <t>Juliana Narimatsu</t>
  </si>
  <si>
    <t>369.280.378-81</t>
  </si>
  <si>
    <t>juliana.narimatsu@gmail.com</t>
  </si>
  <si>
    <t>99443-9483</t>
  </si>
  <si>
    <t>Juliana Salvetti</t>
  </si>
  <si>
    <t>445.586.258-71</t>
  </si>
  <si>
    <t>juliana_salvetti@hotmail.com</t>
  </si>
  <si>
    <t>Sumare</t>
  </si>
  <si>
    <t>Julio Alencar</t>
  </si>
  <si>
    <t>037.176.113-13</t>
  </si>
  <si>
    <t>julio.alencar@hc.fm.usp.br</t>
  </si>
  <si>
    <t>Julio Secchin</t>
  </si>
  <si>
    <t>124.362.057-95</t>
  </si>
  <si>
    <t>juliosecchin@gmail.com</t>
  </si>
  <si>
    <t>CMC-BIC-MAL-AZM-GG</t>
  </si>
  <si>
    <t>Junior Costa</t>
  </si>
  <si>
    <t>136.098.717-76</t>
  </si>
  <si>
    <t>criacoesjuniorcosta@gmail.com</t>
  </si>
  <si>
    <t>Petrópolis</t>
  </si>
  <si>
    <t>Remessa para troca de venda</t>
  </si>
  <si>
    <t>Junior Guedes</t>
  </si>
  <si>
    <t>447.179.888-09</t>
  </si>
  <si>
    <t>juniorsindeaux@hotmail.com</t>
  </si>
  <si>
    <t>JULIANA DE COUTO</t>
  </si>
  <si>
    <t>214.475.168-42</t>
  </si>
  <si>
    <t>juliana.cr.liuzzi@gmail.com</t>
  </si>
  <si>
    <t>96414-9940</t>
  </si>
  <si>
    <t>JULIANA LATTUCA</t>
  </si>
  <si>
    <t>161.364.187-70</t>
  </si>
  <si>
    <t>jujulattuca@gmail.com</t>
  </si>
  <si>
    <t>98446-1286</t>
  </si>
  <si>
    <t>SAN-JES-COR-WHI-41</t>
  </si>
  <si>
    <t>JULIANA LOBATO VALADARES</t>
  </si>
  <si>
    <t>043.119.776-89</t>
  </si>
  <si>
    <t>contatojuvaladares@gmail.com</t>
  </si>
  <si>
    <t>JULIANO WALLAU</t>
  </si>
  <si>
    <t>025.083.050-73</t>
  </si>
  <si>
    <t>juliano_60@hotmail.com</t>
  </si>
  <si>
    <t>CMC-BIC-MAL-AZM-M</t>
  </si>
  <si>
    <t>kaique yuri</t>
  </si>
  <si>
    <t>496.993.458-45</t>
  </si>
  <si>
    <t>kaique_yuri_rodrigues@hotmail.com</t>
  </si>
  <si>
    <t>Limeira</t>
  </si>
  <si>
    <t>katharine vasconcelos</t>
  </si>
  <si>
    <t>049.290.613-00</t>
  </si>
  <si>
    <t>katharinevaasc@gmail.com</t>
  </si>
  <si>
    <t>Karim Elwasiaa</t>
  </si>
  <si>
    <t>174.313.507-67</t>
  </si>
  <si>
    <t>karimelwasiaa@gmail.com</t>
  </si>
  <si>
    <t>KARINA SYLLOS</t>
  </si>
  <si>
    <t>392.032.058-10</t>
  </si>
  <si>
    <t>contato.karinasyllos@gmail.com</t>
  </si>
  <si>
    <t>Katia Barros</t>
  </si>
  <si>
    <t>020.473.027-90</t>
  </si>
  <si>
    <t>admfamiliabarros@gmail.com</t>
  </si>
  <si>
    <t>SAP-MI-COR-WHI-44</t>
  </si>
  <si>
    <t>Katia lemos</t>
  </si>
  <si>
    <t>264.946.508-56</t>
  </si>
  <si>
    <t>katia-zanardo@hotmail.com</t>
  </si>
  <si>
    <t>CAL-ARI-ALG-OFF-46</t>
  </si>
  <si>
    <t>KAUE CURTI</t>
  </si>
  <si>
    <t>410.578.078-69</t>
  </si>
  <si>
    <t>kaue.curtii@hotmail.com</t>
  </si>
  <si>
    <t>98216-2336</t>
  </si>
  <si>
    <t>KIM JACKSON</t>
  </si>
  <si>
    <t>423.046.588-22</t>
  </si>
  <si>
    <t>kim@ig.com.br</t>
  </si>
  <si>
    <t>9350-8989</t>
  </si>
  <si>
    <t>CMC-MOQ-ALG-LAR-G</t>
  </si>
  <si>
    <t>Kristina Gargalaca</t>
  </si>
  <si>
    <t>084.571.978-51</t>
  </si>
  <si>
    <t>kristinagargalaca@hotmail.com</t>
  </si>
  <si>
    <t>lais samantha feitosa</t>
  </si>
  <si>
    <t>094.279.469-97</t>
  </si>
  <si>
    <t>lais.f@icloud.com</t>
  </si>
  <si>
    <t>99929-6164</t>
  </si>
  <si>
    <t>Itapema</t>
  </si>
  <si>
    <t>luana garcia</t>
  </si>
  <si>
    <t>033.277.551-83</t>
  </si>
  <si>
    <t>luana_g_@hotmail.com</t>
  </si>
  <si>
    <t>lucas doleys cardoso</t>
  </si>
  <si>
    <t>009.038.880-17</t>
  </si>
  <si>
    <t>lucascardoso89@gmail.com</t>
  </si>
  <si>
    <t>98666-8838</t>
  </si>
  <si>
    <t>lucas henrique de freitas</t>
  </si>
  <si>
    <t>088.483.154-02</t>
  </si>
  <si>
    <t>9682-5800</t>
  </si>
  <si>
    <t>SUE-IRR-TRI-CER-G</t>
  </si>
  <si>
    <t>luiz carlos barbosa neto</t>
  </si>
  <si>
    <t>027.542.262-30</t>
  </si>
  <si>
    <t>luizfbneto@gmail.com</t>
  </si>
  <si>
    <t>CHI-BIT-COR-WHI-43</t>
  </si>
  <si>
    <t>luiz neto</t>
  </si>
  <si>
    <t>103.637.124-70</t>
  </si>
  <si>
    <t>luizz_neto@msn.com</t>
  </si>
  <si>
    <t>BER-TRE-ALG-VRD-P</t>
  </si>
  <si>
    <t>CAM-LIS-ALG-BRA-P</t>
  </si>
  <si>
    <t>luiz oliveira</t>
  </si>
  <si>
    <t>303.204.478-20</t>
  </si>
  <si>
    <t>luizgb.oliveira@gmail.com</t>
  </si>
  <si>
    <t>98757-0035</t>
  </si>
  <si>
    <t>CMC-LIN-CAB-TAB-PP</t>
  </si>
  <si>
    <t>CMC-MON-MAL-VRD-PP</t>
  </si>
  <si>
    <t>Lais Belfort</t>
  </si>
  <si>
    <t>008.288.875-27</t>
  </si>
  <si>
    <t>laisbsan@gmail.com</t>
  </si>
  <si>
    <t>99981-7254</t>
  </si>
  <si>
    <t>COL-D20-ALG-AZU-M</t>
  </si>
  <si>
    <t>Lara Damas</t>
  </si>
  <si>
    <t>023.793.011-07</t>
  </si>
  <si>
    <t>damas.lara@gmail.com</t>
  </si>
  <si>
    <t>98175-7676</t>
  </si>
  <si>
    <t>Larissa Brandão</t>
  </si>
  <si>
    <t>033.378.975-09</t>
  </si>
  <si>
    <t>larissa.brandao@hotmail.com</t>
  </si>
  <si>
    <t>Larissa Mello Rodrigues</t>
  </si>
  <si>
    <t>044.754.251-66</t>
  </si>
  <si>
    <t>larissamello5@hotmail.com</t>
  </si>
  <si>
    <t>CHI-MIS-BOR-MAR-35</t>
  </si>
  <si>
    <t>Larissa Moraes Mendes</t>
  </si>
  <si>
    <t>163.591.308-07</t>
  </si>
  <si>
    <t>larissa.mm@gmail.com</t>
  </si>
  <si>
    <t>JAQ-ING-COT-OLI-M</t>
  </si>
  <si>
    <t>SUE-IRR-TRI-CRU-P</t>
  </si>
  <si>
    <t>Larissa Negri</t>
  </si>
  <si>
    <t>368.869.318-30</t>
  </si>
  <si>
    <t>larissahannickel@gmail.com</t>
  </si>
  <si>
    <t>Laríssa Amorim</t>
  </si>
  <si>
    <t>123.728.007-95</t>
  </si>
  <si>
    <t>l.duarte.amorim@gmail.com</t>
  </si>
  <si>
    <t>Laura Rego</t>
  </si>
  <si>
    <t>014.374.124-16</t>
  </si>
  <si>
    <t>lauraelizamr@hotmail.com</t>
  </si>
  <si>
    <t>Laís Rangel</t>
  </si>
  <si>
    <t>149.852.527-00</t>
  </si>
  <si>
    <t>lais.vasconcelosr@gmail.com</t>
  </si>
  <si>
    <t>CML-PRE-ALG-VRD-P</t>
  </si>
  <si>
    <t>Leonardo Juliani</t>
  </si>
  <si>
    <t>029.998.165-70</t>
  </si>
  <si>
    <t>leonardowjuliani@gmail.com</t>
  </si>
  <si>
    <t>CAM-LIS-ALG-BRA-G</t>
  </si>
  <si>
    <t>CAM-LIS-ALG-PRE-G</t>
  </si>
  <si>
    <t>CMC-SER-VIS-BRA-G</t>
  </si>
  <si>
    <t>Leonardo Moura</t>
  </si>
  <si>
    <t>481.196.718-64</t>
  </si>
  <si>
    <t>leomoura4747@gmail.com</t>
  </si>
  <si>
    <t>Leonardo Neckel</t>
  </si>
  <si>
    <t>071.508.879-37</t>
  </si>
  <si>
    <t>leonardoneckel@outlook.com</t>
  </si>
  <si>
    <t>Leonardo Sousa</t>
  </si>
  <si>
    <t>548.767.371-34</t>
  </si>
  <si>
    <t>leoromano@leoromano.com.br</t>
  </si>
  <si>
    <t>98111-0806</t>
  </si>
  <si>
    <t>SAP-PIT-COR-OFF-42</t>
  </si>
  <si>
    <t>Leonardo Vieira</t>
  </si>
  <si>
    <t>380.316.658-69</t>
  </si>
  <si>
    <t>leovieira737@hotmail.com</t>
  </si>
  <si>
    <t>CAL-LAI-VIS-MAR-P</t>
  </si>
  <si>
    <t>LEANDRO MYNEO MAEDA</t>
  </si>
  <si>
    <t>372.987.738-01</t>
  </si>
  <si>
    <t>leandro_myneo@hotmail.com</t>
  </si>
  <si>
    <t>98405-8005</t>
  </si>
  <si>
    <t>LEONARDO LEMOS</t>
  </si>
  <si>
    <t>007.245.299-42</t>
  </si>
  <si>
    <t>leonardo13lemos@gmail.com</t>
  </si>
  <si>
    <t>LEONARDO RENDA NETO</t>
  </si>
  <si>
    <t>086.959.634-97</t>
  </si>
  <si>
    <t>leonardorenanet@gmail.com</t>
  </si>
  <si>
    <t>Lia Griffiths</t>
  </si>
  <si>
    <t>710.790.173-72</t>
  </si>
  <si>
    <t>lia.griffiths@gmail.com</t>
  </si>
  <si>
    <t>Lilian Cuoco</t>
  </si>
  <si>
    <t>157.585.388-41</t>
  </si>
  <si>
    <t>lilianbcuoco@gmail.com</t>
  </si>
  <si>
    <t>Lissa Carmona Tozzi</t>
  </si>
  <si>
    <t>155.773.888-21</t>
  </si>
  <si>
    <t>lissa.tozzi@gmail.com</t>
  </si>
  <si>
    <t>VES-CHE-ALG-PAL-P</t>
  </si>
  <si>
    <t>Loiam Torres</t>
  </si>
  <si>
    <t>089.771.556-06</t>
  </si>
  <si>
    <t>loiamp@gmail.com</t>
  </si>
  <si>
    <t>Loic Nicole</t>
  </si>
  <si>
    <t>081.948.645-00</t>
  </si>
  <si>
    <t>loicnicolle0@gmail.com</t>
  </si>
  <si>
    <t>CAM-BAU-ALG-CAR-G</t>
  </si>
  <si>
    <t>Lorena Carvalho</t>
  </si>
  <si>
    <t>100.012.246-89</t>
  </si>
  <si>
    <t>locarvalhodc@gmail.com</t>
  </si>
  <si>
    <t>Lorena Soares</t>
  </si>
  <si>
    <t>013.026.002-90</t>
  </si>
  <si>
    <t>lorenasoares_@hotmail.com</t>
  </si>
  <si>
    <t>CAM-BAU-ALG-LIL-PP</t>
  </si>
  <si>
    <t>Luan Durigon</t>
  </si>
  <si>
    <t>036.061.361-61</t>
  </si>
  <si>
    <t>luancuenca@hotmail.com</t>
  </si>
  <si>
    <t>99995-6383</t>
  </si>
  <si>
    <t>Luana Andrade</t>
  </si>
  <si>
    <t>047.996.205-76</t>
  </si>
  <si>
    <t>lgandrade08@hotmail.com</t>
  </si>
  <si>
    <t>Luana Batista</t>
  </si>
  <si>
    <t>093.732.977-08</t>
  </si>
  <si>
    <t>luaninhab@yahoo.com.br</t>
  </si>
  <si>
    <t>Luana Oliveira</t>
  </si>
  <si>
    <t>141.276.327-47</t>
  </si>
  <si>
    <t>lumoncao@hotmail.com</t>
  </si>
  <si>
    <t>TAM-CAR-COU-WHI-34</t>
  </si>
  <si>
    <t>Luana Serafim</t>
  </si>
  <si>
    <t>363.843.588-16</t>
  </si>
  <si>
    <t>serafimluana11@gmail.com</t>
  </si>
  <si>
    <t>Luca Siqueira Silva</t>
  </si>
  <si>
    <t>125.035.157-03</t>
  </si>
  <si>
    <t>luca-ssiqueira@hotmail.com</t>
  </si>
  <si>
    <t>Lucas Andrade</t>
  </si>
  <si>
    <t>116.405.076-12</t>
  </si>
  <si>
    <t>lucasmlt2107@gmail.com</t>
  </si>
  <si>
    <t>Itajuba</t>
  </si>
  <si>
    <t>Lucas Calbucci</t>
  </si>
  <si>
    <t>165.751.507-99</t>
  </si>
  <si>
    <t>lucascalbucci@gmail.com</t>
  </si>
  <si>
    <t>2199801-2223</t>
  </si>
  <si>
    <t>BER-LAI-ALG-ROS-M</t>
  </si>
  <si>
    <t>CAS-BOI-LA-MAR-P</t>
  </si>
  <si>
    <t>Lucas Dias de Lima</t>
  </si>
  <si>
    <t>028.131.611-28</t>
  </si>
  <si>
    <t>diaslucas.lima@gmail.com</t>
  </si>
  <si>
    <t>Lucas galante bernardini</t>
  </si>
  <si>
    <t>232.873.858-36</t>
  </si>
  <si>
    <t>galantebernardin@gmail.com</t>
  </si>
  <si>
    <t>CAL-LAI-ALG-CRU-G</t>
  </si>
  <si>
    <t>CMC-PAR-ALG-VRD-M</t>
  </si>
  <si>
    <t>Lucas Menescal</t>
  </si>
  <si>
    <t>121.575.007-23</t>
  </si>
  <si>
    <t>lucas.menescal@hotmail.com</t>
  </si>
  <si>
    <t>Lucas Osako</t>
  </si>
  <si>
    <t>353.224.218-40</t>
  </si>
  <si>
    <t>lucas.osako@gmail.com</t>
  </si>
  <si>
    <t>Lucas Santos</t>
  </si>
  <si>
    <t>020.329.600-10</t>
  </si>
  <si>
    <t>lucasrrpp89@gmail.com</t>
  </si>
  <si>
    <t>Lucas Simão</t>
  </si>
  <si>
    <t>368.613.008-45</t>
  </si>
  <si>
    <t>lucas.simaofp@gmail.com</t>
  </si>
  <si>
    <t>11 11 999672282</t>
  </si>
  <si>
    <t>Lucca Marques</t>
  </si>
  <si>
    <t>054.890.449-93</t>
  </si>
  <si>
    <t>lucca-marques@hotmail.com</t>
  </si>
  <si>
    <t>Catanduvas</t>
  </si>
  <si>
    <t>Luis Eduardo Andreotti</t>
  </si>
  <si>
    <t>227.270.148-56</t>
  </si>
  <si>
    <t>luiseduardoandreotti@gmail.com</t>
  </si>
  <si>
    <t>CMC-REG-LIN-PER-M</t>
  </si>
  <si>
    <t>Luisa Gollino</t>
  </si>
  <si>
    <t>407.873.868-04</t>
  </si>
  <si>
    <t>lugollino@gmail.com</t>
  </si>
  <si>
    <t>Orlândia</t>
  </si>
  <si>
    <t>Luiz Felipe Schrappe</t>
  </si>
  <si>
    <t>430.856.488-36</t>
  </si>
  <si>
    <t>luizschrappe@gmail.com</t>
  </si>
  <si>
    <t>Luiza Moreira Jardim</t>
  </si>
  <si>
    <t>015.570.450-89</t>
  </si>
  <si>
    <t>lu.mjardim@gmail.com</t>
  </si>
  <si>
    <t>Luiza Valente</t>
  </si>
  <si>
    <t>395.424.878-60</t>
  </si>
  <si>
    <t>luizaaav@gmail.com</t>
  </si>
  <si>
    <t>SHO-EXI-ALG-EPI-36</t>
  </si>
  <si>
    <t>Luís Roberto Alcoforado</t>
  </si>
  <si>
    <t>051.959.701-06</t>
  </si>
  <si>
    <t>alcoforadolr@hotmail.com</t>
  </si>
  <si>
    <t>BIQ-MIS-POE-CER-M</t>
  </si>
  <si>
    <t>LUANN LÔBO</t>
  </si>
  <si>
    <t>031.183.601-19</t>
  </si>
  <si>
    <t>loboluann@gmail.com</t>
  </si>
  <si>
    <t>98928-0010</t>
  </si>
  <si>
    <t>CAM-CAN-ALG-TAM-P</t>
  </si>
  <si>
    <t>CMR-51-ALG-VRD-P</t>
  </si>
  <si>
    <t>LUCAS GANDRA SUCCI</t>
  </si>
  <si>
    <t>131.756.767-66</t>
  </si>
  <si>
    <t>lucas.succi@gmail.com</t>
  </si>
  <si>
    <t>CMC-JUA-LIN-MAR-M</t>
  </si>
  <si>
    <t>CMl-JUA-ALG-BEG-M</t>
  </si>
  <si>
    <t>LUCAS KENJI IQUEDA</t>
  </si>
  <si>
    <t>409.843.218-88</t>
  </si>
  <si>
    <t>lucasiqueda@gmail.com</t>
  </si>
  <si>
    <t>LUCAS MELO</t>
  </si>
  <si>
    <t>193.875.057-82</t>
  </si>
  <si>
    <t>melo.lucas@uol.com.br</t>
  </si>
  <si>
    <t>CAM-51-ALG-ROS-P</t>
  </si>
  <si>
    <t>LUCIANA PHOSOI</t>
  </si>
  <si>
    <t>369.358.038-37</t>
  </si>
  <si>
    <t>luciana.madrosi@gmail.com</t>
  </si>
  <si>
    <t>98432-3961</t>
  </si>
  <si>
    <t>SHO-FIL-ALG-EST-42</t>
  </si>
  <si>
    <t>LUIS BENINE NETTO</t>
  </si>
  <si>
    <t>316.861.718-03</t>
  </si>
  <si>
    <t>luizbenine@gmail.com</t>
  </si>
  <si>
    <t>99112-7728</t>
  </si>
  <si>
    <t>BLU-ELL-MPE-OFF-P</t>
  </si>
  <si>
    <t>CAL-RIT-VIS-MAR-38</t>
  </si>
  <si>
    <t>LUIS SALVADOR</t>
  </si>
  <si>
    <t>139.051.707-10</t>
  </si>
  <si>
    <t>luisfsal@gmail.com</t>
  </si>
  <si>
    <t>CMR-51-LIN-OFF-P</t>
  </si>
  <si>
    <t>LUIZA SERRA Brasil</t>
  </si>
  <si>
    <t>124.315.727-57</t>
  </si>
  <si>
    <t>luizserrabrasil@gmail.com</t>
  </si>
  <si>
    <t>95027-8487</t>
  </si>
  <si>
    <t>CML-LIN-CAB-OFF-M</t>
  </si>
  <si>
    <t>marcela scheid</t>
  </si>
  <si>
    <t>104.225.327-70</t>
  </si>
  <si>
    <t>marcelascheid@gmail.com</t>
  </si>
  <si>
    <t>maria clara pugliese</t>
  </si>
  <si>
    <t>064.263.135-21</t>
  </si>
  <si>
    <t>mariaclara.pugliese@dioly.com.br</t>
  </si>
  <si>
    <t>mariana fernandes vicente</t>
  </si>
  <si>
    <t>398.583.508-05</t>
  </si>
  <si>
    <t>maraiana.vicenzo@live.com</t>
  </si>
  <si>
    <t>96104-4391</t>
  </si>
  <si>
    <t>mariana valente</t>
  </si>
  <si>
    <t>395.418.798-10</t>
  </si>
  <si>
    <t>mazivalente@gmail.com</t>
  </si>
  <si>
    <t>97198-7979</t>
  </si>
  <si>
    <t>mario boff</t>
  </si>
  <si>
    <t>061.994.399-88</t>
  </si>
  <si>
    <t>marioneto@brumado.com.py</t>
  </si>
  <si>
    <t>CAL-MIN-ALG-AZU-P</t>
  </si>
  <si>
    <t>marlon oliveira</t>
  </si>
  <si>
    <t>372.119.988-06</t>
  </si>
  <si>
    <t>marlonra.oliveira@gmail.com</t>
  </si>
  <si>
    <t>matheus matta</t>
  </si>
  <si>
    <t>084.342.565-25</t>
  </si>
  <si>
    <t>teumatta@gmail.com</t>
  </si>
  <si>
    <t>98799-2203</t>
  </si>
  <si>
    <t>CML-ARI-ALG-ING-M</t>
  </si>
  <si>
    <t>matheus rugarri</t>
  </si>
  <si>
    <t>054.951.689-17</t>
  </si>
  <si>
    <t>matheus-rugarri@hotmail.com</t>
  </si>
  <si>
    <t>9118-9279</t>
  </si>
  <si>
    <t>CMC-CHI-ALG-AZU-G</t>
  </si>
  <si>
    <t>Mai Cunha</t>
  </si>
  <si>
    <t>141.329.057-48</t>
  </si>
  <si>
    <t>maifc_@live.com</t>
  </si>
  <si>
    <t>Maicon Antunes</t>
  </si>
  <si>
    <t>885.836.512-72</t>
  </si>
  <si>
    <t>maiconantunes@gmail.com</t>
  </si>
  <si>
    <t>99921-4945</t>
  </si>
  <si>
    <t>Maikon Da Costa Rodrigues</t>
  </si>
  <si>
    <t>370.470.338-90</t>
  </si>
  <si>
    <t>mamaikamano@gmail.com</t>
  </si>
  <si>
    <t>Maira Castro</t>
  </si>
  <si>
    <t>373.662.508-13</t>
  </si>
  <si>
    <t>mairamx@gmail.com</t>
  </si>
  <si>
    <t>Manoel Paiva</t>
  </si>
  <si>
    <t>068.415.559-10</t>
  </si>
  <si>
    <t>paivamanoelf@gmail.com</t>
  </si>
  <si>
    <t>Manuella Percebão</t>
  </si>
  <si>
    <t>504.874.608-20</t>
  </si>
  <si>
    <t>manupercebao@gmail.com</t>
  </si>
  <si>
    <t>Marcel Boz</t>
  </si>
  <si>
    <t>012.312.930-39</t>
  </si>
  <si>
    <t>marcel_boz@hotmail.com</t>
  </si>
  <si>
    <t>Lucas do Rio Verde</t>
  </si>
  <si>
    <t>CMC-CAN-ALG-BEG-GG</t>
  </si>
  <si>
    <t>BER-LAI-ALG-CRU-G</t>
  </si>
  <si>
    <t>Marcela Carneiro</t>
  </si>
  <si>
    <t>102.799.456-39</t>
  </si>
  <si>
    <t>marcelacarneirom1@gmail.com</t>
  </si>
  <si>
    <t>Marcella Franklin</t>
  </si>
  <si>
    <t>120.558.187-16</t>
  </si>
  <si>
    <t>marcella@haight.com.br</t>
  </si>
  <si>
    <t>Marcelo Arabe</t>
  </si>
  <si>
    <t>468.163.486-72</t>
  </si>
  <si>
    <t>mm.arabe@terra.com.br</t>
  </si>
  <si>
    <t>Uberaba</t>
  </si>
  <si>
    <t>Marcelo Solá</t>
  </si>
  <si>
    <t>142.063.738-09</t>
  </si>
  <si>
    <t>marcelosola@hotmail.com</t>
  </si>
  <si>
    <t>Marcio Dantas</t>
  </si>
  <si>
    <t>360.825.868-08</t>
  </si>
  <si>
    <t>dantasmarcio88@gmail.com</t>
  </si>
  <si>
    <t>CAM-CAN-ALG-OFF-M-INATIVO</t>
  </si>
  <si>
    <t>Marcos Pereira</t>
  </si>
  <si>
    <t>003.011.950-21</t>
  </si>
  <si>
    <t>marcosmp23@hotmail.com</t>
  </si>
  <si>
    <t>Marcus maranhão</t>
  </si>
  <si>
    <t>059.601.194-63</t>
  </si>
  <si>
    <t>marcusrfmaranhão@gmail.com</t>
  </si>
  <si>
    <t>9975-2646</t>
  </si>
  <si>
    <t>CAM-LOG-ALG-PRE-GG</t>
  </si>
  <si>
    <t>Maria B. Custodio</t>
  </si>
  <si>
    <t>446.051.748-50</t>
  </si>
  <si>
    <t>mbscustodio@yahoo.com.br</t>
  </si>
  <si>
    <t>São Carlos</t>
  </si>
  <si>
    <t>Maria Dulce Baumgarten Busarello</t>
  </si>
  <si>
    <t>008.441.399-98</t>
  </si>
  <si>
    <t>dulce@parscollect.com</t>
  </si>
  <si>
    <t>Maria Fernanda Cassol</t>
  </si>
  <si>
    <t>080.596.979-94</t>
  </si>
  <si>
    <t>mafecassol@gmail.com</t>
  </si>
  <si>
    <t>Maria Gabriela Andrade</t>
  </si>
  <si>
    <t>154.359.697-51</t>
  </si>
  <si>
    <t>andrademariagabriela@gmail.com</t>
  </si>
  <si>
    <t>Maria Jaqueline Toreti Rocha Werner</t>
  </si>
  <si>
    <t>612.814.689-91</t>
  </si>
  <si>
    <t>mjaqueline.werner@gmail.com</t>
  </si>
  <si>
    <t>Maria Laura Neves</t>
  </si>
  <si>
    <t>310.768.888-60</t>
  </si>
  <si>
    <t>marialaura.neves@gmail.com</t>
  </si>
  <si>
    <t>TAM-CAR-COU-WHI-36</t>
  </si>
  <si>
    <t>Maria luiza Alencar</t>
  </si>
  <si>
    <t>513.327.188-33</t>
  </si>
  <si>
    <t>malulemesalencar@gmail.com</t>
  </si>
  <si>
    <t>Mariana Reis</t>
  </si>
  <si>
    <t>124.387.137-71</t>
  </si>
  <si>
    <t>maribroscoreis@gmail.com</t>
  </si>
  <si>
    <t>Marina Banker</t>
  </si>
  <si>
    <t>161.730.687-88</t>
  </si>
  <si>
    <t>mari.b.simas@gmail.com</t>
  </si>
  <si>
    <t>Marina Modolo</t>
  </si>
  <si>
    <t>390.306.498-01</t>
  </si>
  <si>
    <t>ma.modolo@hotmail.com</t>
  </si>
  <si>
    <t>María Pía Itzaina</t>
  </si>
  <si>
    <t>062.978.307-11</t>
  </si>
  <si>
    <t>mariapiaitzaina@gmail.com</t>
  </si>
  <si>
    <t>Marília Monteiro Nascimento</t>
  </si>
  <si>
    <t>090.899.294-79</t>
  </si>
  <si>
    <t>marilia_monteiro@hotmail.com</t>
  </si>
  <si>
    <t>Mark Cardoso</t>
  </si>
  <si>
    <t>111.291.347-50</t>
  </si>
  <si>
    <t>markcardoso@gmail.com</t>
  </si>
  <si>
    <t>Marney Costa</t>
  </si>
  <si>
    <t>077.714.266-03</t>
  </si>
  <si>
    <t>mounmarney@gmail.com</t>
  </si>
  <si>
    <t>Chapeco</t>
  </si>
  <si>
    <t>Marta Morais Anaya</t>
  </si>
  <si>
    <t>180.314.548-09</t>
  </si>
  <si>
    <t>marta.anaya@gmail.com</t>
  </si>
  <si>
    <t>Mateus Brittes</t>
  </si>
  <si>
    <t>023.157.916-00</t>
  </si>
  <si>
    <t>mateusbrittesmg@gmail.com</t>
  </si>
  <si>
    <t>Juiz de Fora</t>
  </si>
  <si>
    <t>Mateus Habib</t>
  </si>
  <si>
    <t>105.054.537-03</t>
  </si>
  <si>
    <t>mateushabib@hotmail.com</t>
  </si>
  <si>
    <t>Mateus Pinheiro Martins</t>
  </si>
  <si>
    <t>166.792.917-80</t>
  </si>
  <si>
    <t>mateusyes@gmail.com</t>
  </si>
  <si>
    <t>CML-PUB-ALG-AZB-G</t>
  </si>
  <si>
    <t>Mateus Xavier</t>
  </si>
  <si>
    <t>126.917.087-21</t>
  </si>
  <si>
    <t>mateusxburgues@gmail.com</t>
  </si>
  <si>
    <t>Matheus Antelo</t>
  </si>
  <si>
    <t>155.020.087-97</t>
  </si>
  <si>
    <t>matheusantelo@hotmail.com</t>
  </si>
  <si>
    <t>Matheus dambros</t>
  </si>
  <si>
    <t>015.253.160-28</t>
  </si>
  <si>
    <t>matheusbdambros@gmail.com</t>
  </si>
  <si>
    <t>Matheus Martins</t>
  </si>
  <si>
    <t>120.003.837-18</t>
  </si>
  <si>
    <t>matheus_martins3@hotmail.com</t>
  </si>
  <si>
    <t>CMC-CAR-ALG-XAD-G</t>
  </si>
  <si>
    <t>Matheus Sakaguchi</t>
  </si>
  <si>
    <t>235.615.578-30</t>
  </si>
  <si>
    <t>matheusakaguchi@hotmail.com</t>
  </si>
  <si>
    <t>Sorocaba</t>
  </si>
  <si>
    <t>Matheus Shinohara</t>
  </si>
  <si>
    <t>100.317.519-89</t>
  </si>
  <si>
    <t>matheusshinohara@gmail.com</t>
  </si>
  <si>
    <t>Mayara Minare</t>
  </si>
  <si>
    <t>032.793.811-00</t>
  </si>
  <si>
    <t>mayaraminare@hotmail.com</t>
  </si>
  <si>
    <t>MANUELA DOMINGUES DA SILVA</t>
  </si>
  <si>
    <t>113.861.066-66</t>
  </si>
  <si>
    <t>MARIA CLAUDIA MOTTA RAIA</t>
  </si>
  <si>
    <t>883.096.817-04</t>
  </si>
  <si>
    <t>mamr1@uol.com</t>
  </si>
  <si>
    <t>3071-3032</t>
  </si>
  <si>
    <t>CHI-FIL-MAD-AZU-39</t>
  </si>
  <si>
    <t>Consignação - Remessa Avaliação cliente em domicilio</t>
  </si>
  <si>
    <t>SHO-EXI-ALG-EPI-40</t>
  </si>
  <si>
    <t>MARIA HELOISA DE OLIVEIRA MOREL</t>
  </si>
  <si>
    <t>098.027.618-77</t>
  </si>
  <si>
    <t>comercial@mareunitschke.com.br</t>
  </si>
  <si>
    <t>BAN-MIS-PAL-JEQ-P</t>
  </si>
  <si>
    <t>BAN-MIS-PAL-JEQ-SA</t>
  </si>
  <si>
    <t>MARIANA BORGA</t>
  </si>
  <si>
    <t>313.977.918-61</t>
  </si>
  <si>
    <t>marianaborga@gmail.com</t>
  </si>
  <si>
    <t>98214-3123</t>
  </si>
  <si>
    <t>MATHEUS DE OLIVEIRA BASTOS</t>
  </si>
  <si>
    <t>468.935.388-39</t>
  </si>
  <si>
    <t>matheusbasts95@gmail.com</t>
  </si>
  <si>
    <t>11 947696238</t>
  </si>
  <si>
    <t>Jandira</t>
  </si>
  <si>
    <t>MATHEUS HENRIQUE RONDEL</t>
  </si>
  <si>
    <t>440.608.818-05</t>
  </si>
  <si>
    <t>matheusrondel@yahoo.com.br</t>
  </si>
  <si>
    <t>98203-9153</t>
  </si>
  <si>
    <t>CAM-MIS-ALG-BRA-M</t>
  </si>
  <si>
    <t>MAXWEL REZENDE DE OLIVEIRA</t>
  </si>
  <si>
    <t>079.275.887-02</t>
  </si>
  <si>
    <t>guimacedo@hotmail.com,max.oliveira@lenny.com.br</t>
  </si>
  <si>
    <t>98181-9202</t>
  </si>
  <si>
    <t>Márcio Andrade Teles Oliveira</t>
  </si>
  <si>
    <t>024.591.735-71</t>
  </si>
  <si>
    <t>marcioatoliveira@hotmail.com</t>
  </si>
  <si>
    <t>9939-8970</t>
  </si>
  <si>
    <t>SE</t>
  </si>
  <si>
    <t>Aracaju</t>
  </si>
  <si>
    <t>Melissa Moreira</t>
  </si>
  <si>
    <t>163.274.557-78</t>
  </si>
  <si>
    <t>melissa_moreira@id.uff.br</t>
  </si>
  <si>
    <t>Michel Carvalho</t>
  </si>
  <si>
    <t>125.284.107-86</t>
  </si>
  <si>
    <t>michelcarv@gmail.com</t>
  </si>
  <si>
    <t>97476-6652</t>
  </si>
  <si>
    <t>Mikhail Cancelier</t>
  </si>
  <si>
    <t>041.697.119-98</t>
  </si>
  <si>
    <t>mcancelier@icloud.com</t>
  </si>
  <si>
    <t>99926-9567</t>
  </si>
  <si>
    <t>CMC-ALG-PIA-VRM-M</t>
  </si>
  <si>
    <t>CMC-MON-MAL-VRD-G</t>
  </si>
  <si>
    <t>CML-LIN-CAB-AZU-M</t>
  </si>
  <si>
    <t>Moises Pedroso</t>
  </si>
  <si>
    <t>115.930.019-40</t>
  </si>
  <si>
    <t>moises.ps0910@gmail.com</t>
  </si>
  <si>
    <t>Criciuma</t>
  </si>
  <si>
    <t>MONISA MARTINS NOBREGA</t>
  </si>
  <si>
    <t>064.183.434-92</t>
  </si>
  <si>
    <t>monisanobrega@hotmail.com</t>
  </si>
  <si>
    <t>99921-2700</t>
  </si>
  <si>
    <t>Murilo Martins Silva</t>
  </si>
  <si>
    <t>070.198.786-36</t>
  </si>
  <si>
    <t>muriloms@gmail.com</t>
  </si>
  <si>
    <t>Murilo Nogueira</t>
  </si>
  <si>
    <t>369.240.658-48</t>
  </si>
  <si>
    <t>murilo.nogueira@gmail.com</t>
  </si>
  <si>
    <t>99698-8800</t>
  </si>
  <si>
    <t>Murílio Gonçalves</t>
  </si>
  <si>
    <t>114.768.206-27</t>
  </si>
  <si>
    <t>murilio@hotmail.com.br</t>
  </si>
  <si>
    <t>MURILO RIBEIRO</t>
  </si>
  <si>
    <t>035.475.461-09</t>
  </si>
  <si>
    <t>mrcarvalho666@gmail.com</t>
  </si>
  <si>
    <t>99733-5007</t>
  </si>
  <si>
    <t>SUN-MIS-POE-VRD-G</t>
  </si>
  <si>
    <t>CAL-ARI-ALG-AZU-42</t>
  </si>
  <si>
    <t>nikolas castanha</t>
  </si>
  <si>
    <t>032.315.621-55</t>
  </si>
  <si>
    <t>nikolas_oc@hotmail.com</t>
  </si>
  <si>
    <t>Natalia De Paula</t>
  </si>
  <si>
    <t>163.455.327-62</t>
  </si>
  <si>
    <t>nattpasi@gmail.com</t>
  </si>
  <si>
    <t>Seropedica</t>
  </si>
  <si>
    <t>Nathalia Lopes</t>
  </si>
  <si>
    <t>182.222.357-10</t>
  </si>
  <si>
    <t>nathlopes22@gmail.com</t>
  </si>
  <si>
    <t>Nathalia Rivinoth</t>
  </si>
  <si>
    <t>058.946.197-42</t>
  </si>
  <si>
    <t>nathalia.coelho@ginga.ag</t>
  </si>
  <si>
    <t>96775-0289</t>
  </si>
  <si>
    <t>Nathan Amaral</t>
  </si>
  <si>
    <t>118.234.467-44</t>
  </si>
  <si>
    <t>nathanbc.amaral@gmail.com</t>
  </si>
  <si>
    <t>CAL-LAI-VIS-VRD-G</t>
  </si>
  <si>
    <t>Natália Vaccari</t>
  </si>
  <si>
    <t>415.775.188-45</t>
  </si>
  <si>
    <t>nataliamvaccari@gmail.com</t>
  </si>
  <si>
    <t>Nayara Orsi</t>
  </si>
  <si>
    <t>084.616.489-27</t>
  </si>
  <si>
    <t>nayara_orsi@hotmail.com</t>
  </si>
  <si>
    <t>NATALIA DUNHAM HOHAGEN</t>
  </si>
  <si>
    <t>356.218.738-66</t>
  </si>
  <si>
    <t>nataliahohagen@gmail.com</t>
  </si>
  <si>
    <t>Nicolas Cabral</t>
  </si>
  <si>
    <t>358.997.058-84</t>
  </si>
  <si>
    <t>nicolasrfcabral@gmail.com</t>
  </si>
  <si>
    <t>CAL-ARI-ALG-OFF-44</t>
  </si>
  <si>
    <t>Nicolas Franco</t>
  </si>
  <si>
    <t>062.250.897-05</t>
  </si>
  <si>
    <t>nicolasfrancos@hotmail.com</t>
  </si>
  <si>
    <t>NICOLI SERQUIZ</t>
  </si>
  <si>
    <t>008.979.754-05</t>
  </si>
  <si>
    <t>nserquiz@gmail.com</t>
  </si>
  <si>
    <t>98155-1414</t>
  </si>
  <si>
    <t>CHE-MOR-LIN-ROS-TU</t>
  </si>
  <si>
    <t>NIDIA BARON</t>
  </si>
  <si>
    <t>406.629.180-53</t>
  </si>
  <si>
    <t>nidiabrs@gmail.com</t>
  </si>
  <si>
    <t>98115-2627</t>
  </si>
  <si>
    <t>Pelotas</t>
  </si>
  <si>
    <t>Njla N. Rassi</t>
  </si>
  <si>
    <t>032.767.741-43</t>
  </si>
  <si>
    <t>nnrassi@gmail.com</t>
  </si>
  <si>
    <t>OLGA MARIA GUERREIRO DE CARVALHO MAIA</t>
  </si>
  <si>
    <t>027.936.569-17</t>
  </si>
  <si>
    <t>olgagmaia@hotmail.com</t>
  </si>
  <si>
    <t>Omar Hindi</t>
  </si>
  <si>
    <t>016.827.389-65</t>
  </si>
  <si>
    <t>ozh28@hotmail.com</t>
  </si>
  <si>
    <t>CAL-ELL-RAD-VRD-M</t>
  </si>
  <si>
    <t>VES-CHE-ALG-PAL-G</t>
  </si>
  <si>
    <t>TAM-CAR-COU-WHI-41</t>
  </si>
  <si>
    <t>Oscar Oscar Salazar</t>
  </si>
  <si>
    <t>242.885.028-88</t>
  </si>
  <si>
    <t>oscarsalazarmz@gmail.com</t>
  </si>
  <si>
    <t>CAL-MIN-ALG-VRD-PP</t>
  </si>
  <si>
    <t>MOL-MIN-ALG-VRD-P</t>
  </si>
  <si>
    <t>pedro lucas munhoz</t>
  </si>
  <si>
    <t>406.139.028-74</t>
  </si>
  <si>
    <t>pelu@np8.com.br</t>
  </si>
  <si>
    <t>99594-4460</t>
  </si>
  <si>
    <t>CMC-ALG-PIA-VRM-G</t>
  </si>
  <si>
    <t>Pablo Gonçalves de Souza</t>
  </si>
  <si>
    <t>047.813.999-32</t>
  </si>
  <si>
    <t>pgonsa@outlook.com</t>
  </si>
  <si>
    <t>Paranavai</t>
  </si>
  <si>
    <t>Pablo Silva</t>
  </si>
  <si>
    <t>000.516.723-08</t>
  </si>
  <si>
    <t>pablohenriquemed@gmail.com</t>
  </si>
  <si>
    <t>98140-3169</t>
  </si>
  <si>
    <t>Pablo Simoes</t>
  </si>
  <si>
    <t>155.451.387-14</t>
  </si>
  <si>
    <t>pablo.dadecio@gmail.com</t>
  </si>
  <si>
    <t>Paola Pastorelli</t>
  </si>
  <si>
    <t>043.328.455-28</t>
  </si>
  <si>
    <t>lola.pastorelli@gmail.com</t>
  </si>
  <si>
    <t>Patricia Gois Matos</t>
  </si>
  <si>
    <t>678.589.885-49</t>
  </si>
  <si>
    <t>patriciagmatos@gmail.com</t>
  </si>
  <si>
    <t>CAL-MAM-VIS-GOI-G</t>
  </si>
  <si>
    <t>SAI-ELL-MPE-PRE-M</t>
  </si>
  <si>
    <t>TOP-MAM-AVE-GOI-G</t>
  </si>
  <si>
    <t>Patrick Fortuna</t>
  </si>
  <si>
    <t>018.166.935-88</t>
  </si>
  <si>
    <t>patrickcasadamoda@yahoo.com.br</t>
  </si>
  <si>
    <t>9227-7400</t>
  </si>
  <si>
    <t>Patrícia Lee Mo</t>
  </si>
  <si>
    <t>386.902.698-78</t>
  </si>
  <si>
    <t>patyleemo@gmail.com</t>
  </si>
  <si>
    <t>Paula Fabrizio</t>
  </si>
  <si>
    <t>247.252.578-85</t>
  </si>
  <si>
    <t>paulafabrizio@yahoo.com.br</t>
  </si>
  <si>
    <t>Paula Nadal</t>
  </si>
  <si>
    <t>048.182.839-75</t>
  </si>
  <si>
    <t>paulanadal@yahoo.com.br</t>
  </si>
  <si>
    <t>CMC-JAC-ALG-CAP-G</t>
  </si>
  <si>
    <t>Paula Silveira</t>
  </si>
  <si>
    <t>066.461.009-93</t>
  </si>
  <si>
    <t>paula.ssilveira@hotmail.com</t>
  </si>
  <si>
    <t>CHI-MIS-BOR-VRD-37</t>
  </si>
  <si>
    <t>Paulo Henrique Pereira</t>
  </si>
  <si>
    <t>033.591.521-31</t>
  </si>
  <si>
    <t>paulohenru.ufpr@gmail.com</t>
  </si>
  <si>
    <t>99161-1028</t>
  </si>
  <si>
    <t>Catalão</t>
  </si>
  <si>
    <t>Paulo Joaquim Silva Júnior</t>
  </si>
  <si>
    <t>398.441.188-08</t>
  </si>
  <si>
    <t>paulo_jsj@hotmail.com</t>
  </si>
  <si>
    <t>Paulo Neto</t>
  </si>
  <si>
    <t>113.801.244-09</t>
  </si>
  <si>
    <t>paulonetoo2018@gmail.com</t>
  </si>
  <si>
    <t>Paulo Victor Costa</t>
  </si>
  <si>
    <t>035.706.441-03</t>
  </si>
  <si>
    <t>bureaufashions@gmail.com</t>
  </si>
  <si>
    <t>97292-9051</t>
  </si>
  <si>
    <t>POL-TRI-VIS-CER-G</t>
  </si>
  <si>
    <t>PAULO ARANHA</t>
  </si>
  <si>
    <t>105.319.486-25</t>
  </si>
  <si>
    <t>pjaranha91@hotmail.com</t>
  </si>
  <si>
    <t>99645-1657</t>
  </si>
  <si>
    <t>CMC-BIC-MAL-AZM-P</t>
  </si>
  <si>
    <t>SHO-DOS-MAL-CER-40</t>
  </si>
  <si>
    <t>Pedro Cramer</t>
  </si>
  <si>
    <t>068.555.079-64</t>
  </si>
  <si>
    <t>cramer.pedro@gmail.com</t>
  </si>
  <si>
    <t>98100-6550</t>
  </si>
  <si>
    <t>Pedro De Luca</t>
  </si>
  <si>
    <t>164.514.377-51</t>
  </si>
  <si>
    <t>pedrodelucalr@icloud.com</t>
  </si>
  <si>
    <t>Pedro Henrique Rosa Costa de França</t>
  </si>
  <si>
    <t>105.725.044-97</t>
  </si>
  <si>
    <t>pedrofranca_@hotmail.com</t>
  </si>
  <si>
    <t>99996-6350</t>
  </si>
  <si>
    <t>Pedro Ivo</t>
  </si>
  <si>
    <t>101.543.776-19</t>
  </si>
  <si>
    <t>britopedroivo@gmail.com</t>
  </si>
  <si>
    <t>98097-1753</t>
  </si>
  <si>
    <t>CMC-ATA-CRO-AMA-TU</t>
  </si>
  <si>
    <t>SAN-JES-COR-WHI-42</t>
  </si>
  <si>
    <t>Pedro Olavo Machado</t>
  </si>
  <si>
    <t>755.846.201-06</t>
  </si>
  <si>
    <t>pedroolavomachado@gmail.com</t>
  </si>
  <si>
    <t>Pedro Paulo Soares Borges Nogueira</t>
  </si>
  <si>
    <t>019.118.591-45</t>
  </si>
  <si>
    <t>pedropaulosbn@hotmail.com</t>
  </si>
  <si>
    <t>PEDRO MAFRA</t>
  </si>
  <si>
    <t>051.273.219-12</t>
  </si>
  <si>
    <t>mafraa@hotmail.com</t>
  </si>
  <si>
    <t>Philipe Spolti</t>
  </si>
  <si>
    <t>069.578.339-41</t>
  </si>
  <si>
    <t>pspoltitm@gmail.com</t>
  </si>
  <si>
    <t>Polianna Taques Pecharki</t>
  </si>
  <si>
    <t>082.459.349-92</t>
  </si>
  <si>
    <t>poliannataques@hotmail.com</t>
  </si>
  <si>
    <t>rafaella bastos</t>
  </si>
  <si>
    <t>158.070.657-60</t>
  </si>
  <si>
    <t>rafaella.bastos98@gmail.com</t>
  </si>
  <si>
    <t>rai carvalho</t>
  </si>
  <si>
    <t>137.583.637-48</t>
  </si>
  <si>
    <t>rai_martins@icloud.com</t>
  </si>
  <si>
    <t>CMC-PAR-ALG-VRD-PP</t>
  </si>
  <si>
    <t>rinaldo andrade</t>
  </si>
  <si>
    <t>214.174.267-64</t>
  </si>
  <si>
    <t>rinaldinhoandrade@gmail.com</t>
  </si>
  <si>
    <t>Rachid Atum</t>
  </si>
  <si>
    <t>368.342.888-05</t>
  </si>
  <si>
    <t>rachid.antum@gmail.com</t>
  </si>
  <si>
    <t>98203-7725</t>
  </si>
  <si>
    <t>Rafael Bignoto</t>
  </si>
  <si>
    <t>120.683.626-19</t>
  </si>
  <si>
    <t>rafabignoto@hotmail.com</t>
  </si>
  <si>
    <t>9624-2970</t>
  </si>
  <si>
    <t>CML-CLP-MOD-VRD-M</t>
  </si>
  <si>
    <t>CML-TIB-ALG-VER-M</t>
  </si>
  <si>
    <t>BER-D20-AML-AZU-38</t>
  </si>
  <si>
    <t>Rafael Cavalheiro</t>
  </si>
  <si>
    <t>028.112.640-27</t>
  </si>
  <si>
    <t>rafaelatler@gmail.com</t>
  </si>
  <si>
    <t>CML-TIB-ALG-CIZ-P</t>
  </si>
  <si>
    <t>CMC-JAC-ALG-CAP-PP</t>
  </si>
  <si>
    <t>CML-PRE-ALG-PRE-P</t>
  </si>
  <si>
    <t>Rafael Dianes</t>
  </si>
  <si>
    <t>327.151.198-52</t>
  </si>
  <si>
    <t>rafa_dsiq@hotmail.com</t>
  </si>
  <si>
    <t>BER-JUN-ALG-OFF-G</t>
  </si>
  <si>
    <t>Rafael Ferraz</t>
  </si>
  <si>
    <t>317.696.768-30</t>
  </si>
  <si>
    <t>ferrazrafael@gmail.com</t>
  </si>
  <si>
    <t>99123-5669</t>
  </si>
  <si>
    <t>CMR-51-ALG-VRD-G</t>
  </si>
  <si>
    <t>Rafael Gunji</t>
  </si>
  <si>
    <t>455.422.588-75</t>
  </si>
  <si>
    <t>rafaelgunji96@gmail.com</t>
  </si>
  <si>
    <t>Rafael Miranda e Silva</t>
  </si>
  <si>
    <t>383.971.998-45</t>
  </si>
  <si>
    <t>rafael.mirandaesilva@gmail.com</t>
  </si>
  <si>
    <t>9990-0007</t>
  </si>
  <si>
    <t>Bastos</t>
  </si>
  <si>
    <t>SHO-DOS-MAL-VRD-44</t>
  </si>
  <si>
    <t>CMC-LIN-CAB-TAB-M</t>
  </si>
  <si>
    <t>Rafael Souto</t>
  </si>
  <si>
    <t>339.771.018-97</t>
  </si>
  <si>
    <t>rj.souto@hotmail.com</t>
  </si>
  <si>
    <t>Rafael Zindra</t>
  </si>
  <si>
    <t>426.570.288-02</t>
  </si>
  <si>
    <t>rafaelzindra@hotmail.com</t>
  </si>
  <si>
    <t>São José dos Campos</t>
  </si>
  <si>
    <t>Rafaela Dalmaso</t>
  </si>
  <si>
    <t>033.871.689-00</t>
  </si>
  <si>
    <t>rafaela@gianduia.com.br</t>
  </si>
  <si>
    <t>9984-5205</t>
  </si>
  <si>
    <t>Rafaella Fernandes</t>
  </si>
  <si>
    <t>071.715.274-09</t>
  </si>
  <si>
    <t>rafaellafernandes_@hotmail.com</t>
  </si>
  <si>
    <t>SHO-PEQ-AVE-AZU-40</t>
  </si>
  <si>
    <t>Ramirez Miguel</t>
  </si>
  <si>
    <t>102.029.146-07</t>
  </si>
  <si>
    <t>ramirezxavier@hotmail.com</t>
  </si>
  <si>
    <t>Serrania</t>
  </si>
  <si>
    <t>Raphael Baptista</t>
  </si>
  <si>
    <t>439.915.538-80</t>
  </si>
  <si>
    <t>raphaelddb@gmail.com</t>
  </si>
  <si>
    <t>Raphael Cunha</t>
  </si>
  <si>
    <t>364.122.258-38</t>
  </si>
  <si>
    <t>raphaelsp@gmail.com</t>
  </si>
  <si>
    <t>99652-4647</t>
  </si>
  <si>
    <t>CAS-BOI-LA-LIS-P</t>
  </si>
  <si>
    <t>Raquel Lovatto</t>
  </si>
  <si>
    <t>005.749.300-60</t>
  </si>
  <si>
    <t>raquel_lovatto@live.com</t>
  </si>
  <si>
    <t>Farroupilha</t>
  </si>
  <si>
    <t>RAPHAEL ROCHA</t>
  </si>
  <si>
    <t>302.089.908-79</t>
  </si>
  <si>
    <t>raphaelrocha@me.com</t>
  </si>
  <si>
    <t>98448-2233</t>
  </si>
  <si>
    <t>RAQUEL DINIZ DALSECO</t>
  </si>
  <si>
    <t>051.144.856-28</t>
  </si>
  <si>
    <t>raquel.dalseco@hotmail.com</t>
  </si>
  <si>
    <t>9825-2310</t>
  </si>
  <si>
    <t>AP</t>
  </si>
  <si>
    <t>Macapa</t>
  </si>
  <si>
    <t>BER-D20-ALG-AZU-36</t>
  </si>
  <si>
    <t>COL-D20-ALG-AZU-G</t>
  </si>
  <si>
    <t>Renan Carvalho Ribeiro</t>
  </si>
  <si>
    <t>112.112.596-41</t>
  </si>
  <si>
    <t>renanribeiropp@gmail.com</t>
  </si>
  <si>
    <t>São Goncalo do Sapucai</t>
  </si>
  <si>
    <t>Renan de Carlo</t>
  </si>
  <si>
    <t>077.857.519-51</t>
  </si>
  <si>
    <t>renan_carlo@outlook.com</t>
  </si>
  <si>
    <t>Renan Guedes-Reed</t>
  </si>
  <si>
    <t>139.729.047-11</t>
  </si>
  <si>
    <t>mrenang@gmail.com</t>
  </si>
  <si>
    <t>Renata Barroca</t>
  </si>
  <si>
    <t>065.587.364-38</t>
  </si>
  <si>
    <t>renatabarroca@me.com</t>
  </si>
  <si>
    <t>Renata Correa da costa</t>
  </si>
  <si>
    <t>002.605.811-19</t>
  </si>
  <si>
    <t>renatacorreadacosta@hotmail.com</t>
  </si>
  <si>
    <t>Renata Freitas</t>
  </si>
  <si>
    <t>010.201.350-00</t>
  </si>
  <si>
    <t>hellorenatafreitas@gmail.com</t>
  </si>
  <si>
    <t>Renato Gomes Mar</t>
  </si>
  <si>
    <t>930.274.192-34</t>
  </si>
  <si>
    <t>renatogmar@hotnail.com</t>
  </si>
  <si>
    <t>CAL-FLA-ALG-MAR-40</t>
  </si>
  <si>
    <t>REIS RODRIGUES</t>
  </si>
  <si>
    <t>476.049.578-97</t>
  </si>
  <si>
    <t>depoisdosjardins@gmail.com</t>
  </si>
  <si>
    <t>SHO-PEQ-AVE-AZU-36</t>
  </si>
  <si>
    <t>TOP-UNO-AVE-AZU-M</t>
  </si>
  <si>
    <t>RENATA ARAUJO FIGUEIREDO</t>
  </si>
  <si>
    <t>143.688.657-07</t>
  </si>
  <si>
    <t>renatafigueiredo@hotmail.com</t>
  </si>
  <si>
    <t>97326-2423</t>
  </si>
  <si>
    <t>CMC-MOQ-ALG-LAR-P</t>
  </si>
  <si>
    <t>Ricardo Rossi</t>
  </si>
  <si>
    <t>814.853.100-59</t>
  </si>
  <si>
    <t>ricardorfman@gmail.com</t>
  </si>
  <si>
    <t>CAL-LAI-ALG-ROS-P</t>
  </si>
  <si>
    <t>Roberta Guimaraes</t>
  </si>
  <si>
    <t>087.326.147-05</t>
  </si>
  <si>
    <t>roberta.guimaraes@gmaill.com</t>
  </si>
  <si>
    <t>Rodolffo Araujo</t>
  </si>
  <si>
    <t>038.092.751-90</t>
  </si>
  <si>
    <t>rodolffoaraujo@gmail.com</t>
  </si>
  <si>
    <t>POL-TRI-VIS-VRD-G</t>
  </si>
  <si>
    <t>Rodrigo Caetano</t>
  </si>
  <si>
    <t>091.036.826-09</t>
  </si>
  <si>
    <t>rodrigo.caetano1@gmail.com</t>
  </si>
  <si>
    <t>Rodrigo Lima</t>
  </si>
  <si>
    <t>067.242.926-89</t>
  </si>
  <si>
    <t>rodrigoassislima@gmail.com</t>
  </si>
  <si>
    <t>Rodrigo Simonini Delfino</t>
  </si>
  <si>
    <t>087.997.009-05</t>
  </si>
  <si>
    <t>r_delfino@hotmail.com</t>
  </si>
  <si>
    <t>Rodrigo Valente</t>
  </si>
  <si>
    <t>386.306.068-78</t>
  </si>
  <si>
    <t>rodvalente1988@gmail.com</t>
  </si>
  <si>
    <t>Rodrigues Neto</t>
  </si>
  <si>
    <t>072.551.457-44</t>
  </si>
  <si>
    <t>helveciorodriguesneto@gmail.com</t>
  </si>
  <si>
    <t>Rone Peterson Souza Bucalon</t>
  </si>
  <si>
    <t>025.433.351-61</t>
  </si>
  <si>
    <t>ronebucalon@gmail.com</t>
  </si>
  <si>
    <t>Ribas do Rio Pardo</t>
  </si>
  <si>
    <t>ROBERTA BAROKM HARADA</t>
  </si>
  <si>
    <t>304.834.138-28</t>
  </si>
  <si>
    <t>robertaharada@gmail.com</t>
  </si>
  <si>
    <t>98266-1413</t>
  </si>
  <si>
    <t>CMC-SER-VIS-BRA-GG</t>
  </si>
  <si>
    <t>RODOLPHO OTTO SCHIER</t>
  </si>
  <si>
    <t>071.396.099-00</t>
  </si>
  <si>
    <t>rodolphoschier@gmail.com</t>
  </si>
  <si>
    <t>9127-1115</t>
  </si>
  <si>
    <t>Joinville</t>
  </si>
  <si>
    <t>RODRIGO BARCELAR</t>
  </si>
  <si>
    <t>166.565.157-11</t>
  </si>
  <si>
    <t>rodrigoyacado@hotmail.com</t>
  </si>
  <si>
    <t>98106-7092</t>
  </si>
  <si>
    <t>CAL-LAI-VIS-MAR-G</t>
  </si>
  <si>
    <t>CAM-CAN-ALG-BRA-GG</t>
  </si>
  <si>
    <t>RODRIGO NONES</t>
  </si>
  <si>
    <t>041.577.079-31</t>
  </si>
  <si>
    <t>macparo@gmail.com</t>
  </si>
  <si>
    <t>Pomerode</t>
  </si>
  <si>
    <t>RODRIGO PINHEIRO</t>
  </si>
  <si>
    <t>137.260.737-44</t>
  </si>
  <si>
    <t>rodrigo.gpinheiro91@gmail.com</t>
  </si>
  <si>
    <t>ROGGER CORDEIRO</t>
  </si>
  <si>
    <t>183.686.487-69</t>
  </si>
  <si>
    <t>roggercordeiro@outlook.com.br</t>
  </si>
  <si>
    <t>sebastiao daniel</t>
  </si>
  <si>
    <t>099.436.816-08</t>
  </si>
  <si>
    <t>daniel.jr.7@hotmail.com</t>
  </si>
  <si>
    <t>Ilicinea</t>
  </si>
  <si>
    <t>sofia bastos</t>
  </si>
  <si>
    <t>031.748.061-86</t>
  </si>
  <si>
    <t>sofiabastos15@gmail.com</t>
  </si>
  <si>
    <t>stephan altmayer</t>
  </si>
  <si>
    <t>006.424.090-80</t>
  </si>
  <si>
    <t>stephanaltmayer@gmail.com</t>
  </si>
  <si>
    <t>Sandra Oliveira</t>
  </si>
  <si>
    <t>102.544.384-58</t>
  </si>
  <si>
    <t>soaresdeoliveirasandra@gmail.com</t>
  </si>
  <si>
    <t>Saullo Moreira</t>
  </si>
  <si>
    <t>129.385.597-98</t>
  </si>
  <si>
    <t>consultejasm@gmail.com</t>
  </si>
  <si>
    <t>97956-3234</t>
  </si>
  <si>
    <t>Savio Farias pereira</t>
  </si>
  <si>
    <t>064.734.963-94</t>
  </si>
  <si>
    <t>saviodrew14@gmail.com</t>
  </si>
  <si>
    <t>9234-1616</t>
  </si>
  <si>
    <t>Silvia Serrano</t>
  </si>
  <si>
    <t>076.167.468-37</t>
  </si>
  <si>
    <t>sil1006@hotmail.com</t>
  </si>
  <si>
    <t>Simone Rodrigues</t>
  </si>
  <si>
    <t>012.479.274-07</t>
  </si>
  <si>
    <t>simone_regis@yahoo.com.br</t>
  </si>
  <si>
    <t>Mossoro</t>
  </si>
  <si>
    <t>SILVIA EDELWEISS LONGOBARDI FURMANOVICH</t>
  </si>
  <si>
    <t>946.676.328-87</t>
  </si>
  <si>
    <t>silvia@silviafurmanovich.com.br</t>
  </si>
  <si>
    <t>98196-2200</t>
  </si>
  <si>
    <t>Sonia Sandri</t>
  </si>
  <si>
    <t>391.141.129-49</t>
  </si>
  <si>
    <t>sonia_ths@hotmail.com</t>
  </si>
  <si>
    <t>CHI-BIT-COR-OFF-42</t>
  </si>
  <si>
    <t>SOFIA REMONDI</t>
  </si>
  <si>
    <t>490.162.118-10</t>
  </si>
  <si>
    <t>remondisofia@gmail.com</t>
  </si>
  <si>
    <t>98213-7743</t>
  </si>
  <si>
    <t>Steffane Araujo</t>
  </si>
  <si>
    <t>058.755.907-18</t>
  </si>
  <si>
    <t>steffane.teixeira@yahoo.com.br</t>
  </si>
  <si>
    <t>tamiris tondorf delben</t>
  </si>
  <si>
    <t>053.107.421-82</t>
  </si>
  <si>
    <t>tamiristondorf@hotmail.com</t>
  </si>
  <si>
    <t>Cuiaba</t>
  </si>
  <si>
    <t>tayana coelho melreas</t>
  </si>
  <si>
    <t>931.509.032-20</t>
  </si>
  <si>
    <t>taymelres@hotmail.com</t>
  </si>
  <si>
    <t>Taina Amado</t>
  </si>
  <si>
    <t>016.676.565-11</t>
  </si>
  <si>
    <t>tainaamados@gmail.com</t>
  </si>
  <si>
    <t>94343-1173</t>
  </si>
  <si>
    <t>Taina Nogueira</t>
  </si>
  <si>
    <t>079.824.095-47</t>
  </si>
  <si>
    <t>almeidatainz@gmail.com</t>
  </si>
  <si>
    <t>99932-0122</t>
  </si>
  <si>
    <t>Tassiane Godinho</t>
  </si>
  <si>
    <t>004.977.020-96</t>
  </si>
  <si>
    <t>tassivg@icloud.com</t>
  </si>
  <si>
    <t>9651-5104</t>
  </si>
  <si>
    <t>Tatiana Forneck</t>
  </si>
  <si>
    <t>028.855.160-54</t>
  </si>
  <si>
    <t>tforneck@gmail.com</t>
  </si>
  <si>
    <t>TADEU PERES</t>
  </si>
  <si>
    <t>392.177.678-32</t>
  </si>
  <si>
    <t>tadeu.mola@gmail.com</t>
  </si>
  <si>
    <t>98262-9952</t>
  </si>
  <si>
    <t>CHI-BIT-COR-WHI-35</t>
  </si>
  <si>
    <t>TALITA ARBID</t>
  </si>
  <si>
    <t>001.814.381-43</t>
  </si>
  <si>
    <t>talita_arbid@hotmail.com</t>
  </si>
  <si>
    <t>61 981111515</t>
  </si>
  <si>
    <t>Rondonópolis</t>
  </si>
  <si>
    <t>Thais Godinho</t>
  </si>
  <si>
    <t>029.514.925-61</t>
  </si>
  <si>
    <t>godinhothais@hotmail.com</t>
  </si>
  <si>
    <t>BOL-BAM-COU-OFF-TU</t>
  </si>
  <si>
    <t>Thalyson Salvino</t>
  </si>
  <si>
    <t>074.940.494-95</t>
  </si>
  <si>
    <t>thalysonsalvino@hotmail.com</t>
  </si>
  <si>
    <t>Thauanna Barbosa</t>
  </si>
  <si>
    <t>401.666.598-19</t>
  </si>
  <si>
    <t>thauanna.sb@gmail.com</t>
  </si>
  <si>
    <t>Thays Guazzelli dos Santos</t>
  </si>
  <si>
    <t>103.122.359-25</t>
  </si>
  <si>
    <t>thaysguazzellisantos@hotmail.com</t>
  </si>
  <si>
    <t>Guabiruba</t>
  </si>
  <si>
    <t>Theo Mirrot</t>
  </si>
  <si>
    <t>002.737.105-08</t>
  </si>
  <si>
    <t>tmirrot@gmail.com</t>
  </si>
  <si>
    <t>CHE-MOD-MOD-VRD-M</t>
  </si>
  <si>
    <t>Thiago Costa Pereira</t>
  </si>
  <si>
    <t>071.610.204-84</t>
  </si>
  <si>
    <t>thiagoecpereira@gmail.com</t>
  </si>
  <si>
    <t>98471-6793</t>
  </si>
  <si>
    <t>Thiago de Souza Paulo</t>
  </si>
  <si>
    <t>068.583.206-60</t>
  </si>
  <si>
    <t>thiagosouzapaulo@gmail.com</t>
  </si>
  <si>
    <t>Thiago Santos Texeira</t>
  </si>
  <si>
    <t>501.383.078-81</t>
  </si>
  <si>
    <t>thiago0251@hotmail.com</t>
  </si>
  <si>
    <t>Diadema</t>
  </si>
  <si>
    <t>CAM-51-LIN-VRD-M</t>
  </si>
  <si>
    <t>Thulio Righeti Correa</t>
  </si>
  <si>
    <t>114.307.147-60</t>
  </si>
  <si>
    <t>thuliorigheti@hotmail.com</t>
  </si>
  <si>
    <t>THAINA DE SOUZA ARONE</t>
  </si>
  <si>
    <t>464.526.918-64</t>
  </si>
  <si>
    <t>thainarone98@gmail.com</t>
  </si>
  <si>
    <t>94592-0304</t>
  </si>
  <si>
    <t>THAIS MENDES</t>
  </si>
  <si>
    <t>285.741.838-81</t>
  </si>
  <si>
    <t>thais.nascimento@gmail.com</t>
  </si>
  <si>
    <t>94123-0266</t>
  </si>
  <si>
    <t>THE ROSS STORE</t>
  </si>
  <si>
    <t>28.782.466/0001-05</t>
  </si>
  <si>
    <t>therosstore@gmail.com</t>
  </si>
  <si>
    <t>VES-CHE-ALG-AZU-M</t>
  </si>
  <si>
    <t>THEODORO Scott</t>
  </si>
  <si>
    <t>412.013.398-20</t>
  </si>
  <si>
    <t>theosgp@gmail.com</t>
  </si>
  <si>
    <t>THIAGO ARIKAWA</t>
  </si>
  <si>
    <t>327.506.808-32</t>
  </si>
  <si>
    <t>tmarikawa@hotmail.com</t>
  </si>
  <si>
    <t>97329-6132</t>
  </si>
  <si>
    <t>THIAGO BIAGI DO PRADO</t>
  </si>
  <si>
    <t>352.585.778-05</t>
  </si>
  <si>
    <t>producao@misci.co</t>
  </si>
  <si>
    <t>97428-9265</t>
  </si>
  <si>
    <t>BER-BRO-LIN-BEG-38</t>
  </si>
  <si>
    <t>BER-BRO-VIS-VRD-P</t>
  </si>
  <si>
    <t>CMC-ALG-PIA-VRM-P</t>
  </si>
  <si>
    <t>CMC-LIN-CAB-VRD-P</t>
  </si>
  <si>
    <t>SHO-DOS-MAL-AZU-38</t>
  </si>
  <si>
    <t>SHO-DOS-MAL-CER-38</t>
  </si>
  <si>
    <t>SHO-EXI-ALG-EPI-38</t>
  </si>
  <si>
    <t>THIAGO DO NASCIMENTO FRANCHINI SANTILLI</t>
  </si>
  <si>
    <t>440.410.678-55</t>
  </si>
  <si>
    <t>santillit2@gmail.com</t>
  </si>
  <si>
    <t>99992-8135</t>
  </si>
  <si>
    <t>CMC-CHI-ALG-CHU-M</t>
  </si>
  <si>
    <t>THIAGO MONTEIRO REGINATO</t>
  </si>
  <si>
    <t>040.510.876-11</t>
  </si>
  <si>
    <t>t.reginato@uol.com.br</t>
  </si>
  <si>
    <t>98416-3490</t>
  </si>
  <si>
    <t>Tiago Arouche</t>
  </si>
  <si>
    <t>042.108.923-78</t>
  </si>
  <si>
    <t>tiago-arouche@hotmail.com</t>
  </si>
  <si>
    <t>Tiago Jhordan da Cruz Reis</t>
  </si>
  <si>
    <t>128.195.567-10</t>
  </si>
  <si>
    <t>tjhordan@hotmail.com</t>
  </si>
  <si>
    <t>Tobias Varela de Melo</t>
  </si>
  <si>
    <t>088.398.454-70</t>
  </si>
  <si>
    <t>tobiasnetotobi@hotmail.com</t>
  </si>
  <si>
    <t>99941-2824</t>
  </si>
  <si>
    <t>CML-ALI-SED-ROS-PP</t>
  </si>
  <si>
    <t>Tom Escrimin</t>
  </si>
  <si>
    <t>280.315.148-01</t>
  </si>
  <si>
    <t>escrimin@icloud.com</t>
  </si>
  <si>
    <t>99312-0945</t>
  </si>
  <si>
    <t>TULIO HERANI OLIVEIRA</t>
  </si>
  <si>
    <t>070.082.561-40</t>
  </si>
  <si>
    <t>tuherani@gmail.com</t>
  </si>
  <si>
    <t>CMC-CAN-ALG-BEG-G</t>
  </si>
  <si>
    <t>Uriel Garcia</t>
  </si>
  <si>
    <t>365.523.698-08</t>
  </si>
  <si>
    <t>urielgarcia@terra.com.br</t>
  </si>
  <si>
    <t>victor berard</t>
  </si>
  <si>
    <t>089.654.974-77</t>
  </si>
  <si>
    <t>victorberard@gmail.com</t>
  </si>
  <si>
    <t>97392-1805</t>
  </si>
  <si>
    <t>viviany tenorio</t>
  </si>
  <si>
    <t>054.405.767-89</t>
  </si>
  <si>
    <t>viviany@outlook.com</t>
  </si>
  <si>
    <t>Valdirene Messias Junglaus</t>
  </si>
  <si>
    <t>571.467.561-49</t>
  </si>
  <si>
    <t>vmjuara@gmail.com</t>
  </si>
  <si>
    <t>Juara</t>
  </si>
  <si>
    <t>Valéria Gontijo Castro</t>
  </si>
  <si>
    <t>308.642.241-68</t>
  </si>
  <si>
    <t>vgontijo21@gmail.com</t>
  </si>
  <si>
    <t>BLZ-PEQ-AVE-AZU-M</t>
  </si>
  <si>
    <t>MAI-MIS-POE-CER-M</t>
  </si>
  <si>
    <t>Vanessa Jappur Plass</t>
  </si>
  <si>
    <t>054.892.997-11</t>
  </si>
  <si>
    <t>v.plass@outlook.com</t>
  </si>
  <si>
    <t>99433-7756</t>
  </si>
  <si>
    <t>CMC-ALG-SED-VRD-M</t>
  </si>
  <si>
    <t>Victor Barbosa Lana Pereira</t>
  </si>
  <si>
    <t>105.037.506-89</t>
  </si>
  <si>
    <t>victor.barbosa.lp@gmail.com</t>
  </si>
  <si>
    <t>Victor Berchior</t>
  </si>
  <si>
    <t>412.878.848-14</t>
  </si>
  <si>
    <t>victorbelchior@gmail.com</t>
  </si>
  <si>
    <t>CMC-CHI-ALG-VRD-G</t>
  </si>
  <si>
    <t>Victoria Yamagata</t>
  </si>
  <si>
    <t>166.509.907-01</t>
  </si>
  <si>
    <t>victoriayamagata@gmail.com</t>
  </si>
  <si>
    <t>Vinicius F Dias</t>
  </si>
  <si>
    <t>073.331.579-89</t>
  </si>
  <si>
    <t>viniciuuusf@gmail.com</t>
  </si>
  <si>
    <t>Vinicius Fantin</t>
  </si>
  <si>
    <t>458.361.428-40</t>
  </si>
  <si>
    <t>vffantin@gmail.com</t>
  </si>
  <si>
    <t>99793-4777</t>
  </si>
  <si>
    <t>CMC-CAR-ALG-XAD-P</t>
  </si>
  <si>
    <t>Vinicius Luciano</t>
  </si>
  <si>
    <t>454.044.438-71</t>
  </si>
  <si>
    <t>contatovinilu@gmail.com</t>
  </si>
  <si>
    <t>99175-9911</t>
  </si>
  <si>
    <t>Vinicius Teixeira</t>
  </si>
  <si>
    <t>401.466.918-14</t>
  </si>
  <si>
    <t>vinicius.teixeira@mutant.com.br</t>
  </si>
  <si>
    <t>97455-0527</t>
  </si>
  <si>
    <t>CAM-MOS-LIN-ROS-M</t>
  </si>
  <si>
    <t>CMR-51-LIN-OFF-M</t>
  </si>
  <si>
    <t>Vinícius Furtado</t>
  </si>
  <si>
    <t>469.799.158-35</t>
  </si>
  <si>
    <t>vinifurtfer@hotmail.com</t>
  </si>
  <si>
    <t>Vinícius Viana</t>
  </si>
  <si>
    <t>010.186.171-08</t>
  </si>
  <si>
    <t>vinicius.viana0107@gmail.com</t>
  </si>
  <si>
    <t>Vitor Pessoa</t>
  </si>
  <si>
    <t>101.673.364-01</t>
  </si>
  <si>
    <t>vitormpessoa@gmail.com</t>
  </si>
  <si>
    <t>Vitor Vieira Dutra</t>
  </si>
  <si>
    <t>032.381.021-76</t>
  </si>
  <si>
    <t>vitorvieiradutra@gmail.com</t>
  </si>
  <si>
    <t>VICTOR PEREIRA RIBEIRO</t>
  </si>
  <si>
    <t>410.878.918-09</t>
  </si>
  <si>
    <t>o.victor.ribeiro@gmail.com</t>
  </si>
  <si>
    <t>97300-7223</t>
  </si>
  <si>
    <t>WAGNER JUNIOR REIS DA SILVA</t>
  </si>
  <si>
    <t>049.511.541-02</t>
  </si>
  <si>
    <t>wagnerreis.fourmodels@gmail.com</t>
  </si>
  <si>
    <t>9660-4497</t>
  </si>
  <si>
    <t>Weverson Lessa dos Santos</t>
  </si>
  <si>
    <t>423.883.868-88</t>
  </si>
  <si>
    <t>weverlessa@gmail.com</t>
  </si>
  <si>
    <t>Pirapozinho</t>
  </si>
  <si>
    <t>Willians Fernandes</t>
  </si>
  <si>
    <t>400.320.308-94</t>
  </si>
  <si>
    <t>will_nde@hotmail.com</t>
  </si>
  <si>
    <t>99777-4454</t>
  </si>
  <si>
    <t>Lins</t>
  </si>
  <si>
    <t>SAP-MI-COR-WHI-42</t>
  </si>
  <si>
    <t>CAL-ARI-ALG-VRD-42</t>
  </si>
  <si>
    <t>CAM-CAN-ALG-MES-GG</t>
  </si>
  <si>
    <t>SAP-PIT-COR-OFF-43</t>
  </si>
  <si>
    <t>WILSON RODRIGUES FERNANDES JUNIOR</t>
  </si>
  <si>
    <t>046.487.014-37</t>
  </si>
  <si>
    <t>wilsonfernandesjr@gmail.com</t>
  </si>
  <si>
    <t>CML-ROB-ALG-LIS-M</t>
  </si>
  <si>
    <t>Yam Yunes</t>
  </si>
  <si>
    <t>126.852.077-24</t>
  </si>
  <si>
    <t>yamyunes@yahoo.com.br</t>
  </si>
  <si>
    <t>SUN-MIS-POE-TEL-G</t>
  </si>
  <si>
    <t>Yasmin Klein Mori</t>
  </si>
  <si>
    <t>381.262.448-60</t>
  </si>
  <si>
    <t>ykleinmori@gmail.com</t>
  </si>
  <si>
    <t>99903-8546</t>
  </si>
  <si>
    <t>Jundiaí</t>
  </si>
  <si>
    <t>YURI DONIZETTI FARIA</t>
  </si>
  <si>
    <t>395.260.928-56</t>
  </si>
  <si>
    <t>yuri_dffaria@hotmail.com</t>
  </si>
  <si>
    <t>99269-0761</t>
  </si>
  <si>
    <t>YURI LEITE JARDIM</t>
  </si>
  <si>
    <t>429.319.998-57</t>
  </si>
  <si>
    <t>yuri.jardim@outlook.com</t>
  </si>
  <si>
    <t>95020-0930</t>
  </si>
  <si>
    <t>CAM-CAN-ALG-MES-P</t>
  </si>
  <si>
    <t>Yuri Sousa farias</t>
  </si>
  <si>
    <t>012.823.761-95</t>
  </si>
  <si>
    <t>yuri.sousa.farias@gmail.com</t>
  </si>
  <si>
    <t>ze macedo</t>
  </si>
  <si>
    <t>055.608.857-38</t>
  </si>
  <si>
    <t>zemacedo@aoutlook.com</t>
  </si>
  <si>
    <t>99398-6159</t>
  </si>
  <si>
    <t>TU</t>
  </si>
  <si>
    <t>PIL</t>
  </si>
  <si>
    <t>JEQ</t>
  </si>
  <si>
    <t>INATIVO</t>
  </si>
  <si>
    <t>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</si>
</sst>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43" formatCode="_-* #,##0.00_-;\-* #,##0.00_-;_-* &quot;-&quot;??_-;_-@_-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36"/>
      <color theme="1"/>
      <name val="Algerian"/>
      <family val="5"/>
    </font>
    <font>
      <sz val="28"/>
      <color theme="1"/>
      <name val="Algerian"/>
      <family val="5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  <fill>
      <patternFill patternType="solid">
        <fgColor rgb="FFADD8E6"/>
        <bgColor rgb="FF000000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0" fontId="2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0" fillId="0" borderId="0" applyNumberFormat="0" applyFill="0" applyBorder="0" applyAlignment="0" applyProtection="0"/>
  </cellStyleXfs>
  <cellXfs count="44">
    <xf numFmtId="0" fontId="0" fillId="0" borderId="0" xfId="0"/>
    <xf numFmtId="44" fontId="0" fillId="0" borderId="0" xfId="1" applyFont="1"/>
    <xf numFmtId="0" fontId="0" fillId="0" borderId="0" xfId="0" applyNumberFormat="1"/>
    <xf numFmtId="49" fontId="0" fillId="0" borderId="0" xfId="0" applyNumberFormat="1" applyAlignment="1">
      <alignment horizontal="justify"/>
    </xf>
    <xf numFmtId="0" fontId="0" fillId="0" borderId="0" xfId="0" applyAlignment="1">
      <alignment horizontal="justify"/>
    </xf>
    <xf numFmtId="0" fontId="0" fillId="0" borderId="0" xfId="1" applyNumberFormat="1" applyFont="1"/>
    <xf numFmtId="44" fontId="0" fillId="0" borderId="0" xfId="1" applyFont="1" applyAlignment="1">
      <alignment horizontal="justify"/>
    </xf>
    <xf numFmtId="0" fontId="0" fillId="0" borderId="0" xfId="1" applyNumberFormat="1" applyFont="1" applyAlignment="1">
      <alignment horizontal="justify"/>
    </xf>
    <xf numFmtId="1" fontId="0" fillId="0" borderId="0" xfId="0" applyNumberFormat="1" applyAlignment="1">
      <alignment horizontal="justify"/>
    </xf>
    <xf numFmtId="1" fontId="0" fillId="0" borderId="0" xfId="0" applyNumberFormat="1"/>
    <xf numFmtId="44" fontId="3" fillId="0" borderId="0" xfId="1" applyFont="1" applyAlignment="1">
      <alignment horizontal="justify" vertical="center"/>
    </xf>
    <xf numFmtId="0" fontId="3" fillId="0" borderId="0" xfId="0" applyFont="1" applyAlignment="1">
      <alignment horizontal="justify" vertical="center"/>
    </xf>
    <xf numFmtId="9" fontId="3" fillId="0" borderId="0" xfId="3" applyFont="1" applyAlignment="1">
      <alignment horizontal="justify" vertical="center"/>
    </xf>
    <xf numFmtId="9" fontId="0" fillId="0" borderId="0" xfId="3" applyFont="1" applyAlignment="1">
      <alignment horizontal="justify"/>
    </xf>
    <xf numFmtId="9" fontId="0" fillId="0" borderId="0" xfId="3" applyFont="1"/>
    <xf numFmtId="0" fontId="3" fillId="0" borderId="0" xfId="0" applyFont="1" applyAlignment="1">
      <alignment vertical="center"/>
    </xf>
    <xf numFmtId="0" fontId="5" fillId="2" borderId="1" xfId="0" applyFont="1" applyFill="1" applyBorder="1" applyAlignment="1">
      <alignment horizontal="center"/>
    </xf>
    <xf numFmtId="49" fontId="0" fillId="0" borderId="0" xfId="1" applyNumberFormat="1" applyFont="1"/>
    <xf numFmtId="49" fontId="5" fillId="2" borderId="1" xfId="0" applyNumberFormat="1" applyFont="1" applyFill="1" applyBorder="1" applyAlignment="1">
      <alignment horizontal="center"/>
    </xf>
    <xf numFmtId="44" fontId="5" fillId="2" borderId="1" xfId="1" applyFont="1" applyFill="1" applyBorder="1" applyAlignment="1">
      <alignment horizontal="center"/>
    </xf>
    <xf numFmtId="1" fontId="0" fillId="0" borderId="0" xfId="1" applyNumberFormat="1" applyFont="1"/>
    <xf numFmtId="1" fontId="5" fillId="2" borderId="1" xfId="0" applyNumberFormat="1" applyFont="1" applyFill="1" applyBorder="1" applyAlignment="1">
      <alignment horizontal="center"/>
    </xf>
    <xf numFmtId="14" fontId="3" fillId="0" borderId="0" xfId="1" applyNumberFormat="1" applyFont="1" applyAlignment="1">
      <alignment horizontal="justify" vertical="center"/>
    </xf>
    <xf numFmtId="14" fontId="0" fillId="0" borderId="0" xfId="1" applyNumberFormat="1" applyFont="1" applyAlignment="1">
      <alignment horizontal="justify"/>
    </xf>
    <xf numFmtId="14" fontId="5" fillId="2" borderId="1" xfId="0" applyNumberFormat="1" applyFont="1" applyFill="1" applyBorder="1" applyAlignment="1">
      <alignment horizontal="center"/>
    </xf>
    <xf numFmtId="14" fontId="0" fillId="0" borderId="0" xfId="1" applyNumberFormat="1" applyFont="1"/>
    <xf numFmtId="1" fontId="5" fillId="2" borderId="1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justify"/>
    </xf>
    <xf numFmtId="9" fontId="0" fillId="0" borderId="0" xfId="0" applyNumberFormat="1" applyAlignment="1">
      <alignment horizontal="center" vertical="center"/>
    </xf>
    <xf numFmtId="14" fontId="0" fillId="0" borderId="0" xfId="0" applyNumberFormat="1"/>
    <xf numFmtId="0" fontId="9" fillId="3" borderId="1" xfId="0" applyFont="1" applyFill="1" applyBorder="1" applyAlignment="1">
      <alignment horizontal="center"/>
    </xf>
    <xf numFmtId="1" fontId="0" fillId="0" borderId="0" xfId="4" applyNumberFormat="1" applyFont="1" applyAlignment="1">
      <alignment horizontal="center" vertical="center"/>
    </xf>
    <xf numFmtId="1" fontId="5" fillId="2" borderId="1" xfId="4" applyNumberFormat="1" applyFont="1" applyFill="1" applyBorder="1" applyAlignment="1">
      <alignment horizontal="center" vertical="center"/>
    </xf>
    <xf numFmtId="14" fontId="5" fillId="2" borderId="1" xfId="4" applyNumberFormat="1" applyFont="1" applyFill="1" applyBorder="1" applyAlignment="1">
      <alignment horizontal="center" vertical="center"/>
    </xf>
    <xf numFmtId="9" fontId="0" fillId="0" borderId="0" xfId="3" applyFont="1" applyAlignment="1">
      <alignment horizontal="center" vertical="center"/>
    </xf>
    <xf numFmtId="9" fontId="5" fillId="2" borderId="1" xfId="3" applyFont="1" applyFill="1" applyBorder="1" applyAlignment="1">
      <alignment horizontal="center" vertical="center"/>
    </xf>
    <xf numFmtId="1" fontId="0" fillId="0" borderId="0" xfId="1" applyNumberFormat="1" applyFont="1" applyAlignment="1">
      <alignment horizontal="justify"/>
    </xf>
    <xf numFmtId="0" fontId="10" fillId="0" borderId="0" xfId="5"/>
    <xf numFmtId="49" fontId="0" fillId="0" borderId="0" xfId="0" applyNumberFormat="1"/>
    <xf numFmtId="49" fontId="0" fillId="0" borderId="0" xfId="1" quotePrefix="1" applyNumberFormat="1" applyFont="1"/>
    <xf numFmtId="0" fontId="4" fillId="0" borderId="0" xfId="0" applyFont="1" applyAlignment="1">
      <alignment horizontal="center" vertical="center"/>
    </xf>
  </cellXfs>
  <cellStyles count="6">
    <cellStyle name="Hiperlink" xfId="5" builtinId="8"/>
    <cellStyle name="Moeda" xfId="1" builtinId="4"/>
    <cellStyle name="Normal" xfId="0" builtinId="0"/>
    <cellStyle name="Normal 3" xfId="2" xr:uid="{D3173689-FB25-48BC-B874-1DF5AAA6F120}"/>
    <cellStyle name="Porcentagem" xfId="3" builtinId="5"/>
    <cellStyle name="Vírgula" xfId="4" builtinId="3"/>
  </cellStyles>
  <dxfs count="1">
    <dxf>
      <fill>
        <patternFill>
          <bgColor rgb="FFC8C8C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307042</xdr:colOff>
      <xdr:row>0</xdr:row>
      <xdr:rowOff>129887</xdr:rowOff>
    </xdr:from>
    <xdr:to>
      <xdr:col>0</xdr:col>
      <xdr:colOff>1411514</xdr:colOff>
      <xdr:row>3</xdr:row>
      <xdr:rowOff>60614</xdr:rowOff>
    </xdr:to>
    <xdr:sp macro="[0]!get_produ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F44B59C-1A0D-434E-AA08-A0EBE171026E}"/>
            </a:ext>
          </a:extLst>
        </xdr:cNvPr>
        <xdr:cNvSpPr/>
      </xdr:nvSpPr>
      <xdr:spPr>
        <a:xfrm>
          <a:off x="307042" y="129887"/>
          <a:ext cx="1104472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br>
            <a:rPr lang="pt-BR" sz="1100" b="1">
              <a:solidFill>
                <a:schemeClr val="tx1"/>
              </a:solidFill>
            </a:rPr>
          </a:br>
          <a:r>
            <a:rPr lang="pt-BR" sz="1100" b="1">
              <a:solidFill>
                <a:schemeClr val="tx1"/>
              </a:solidFill>
            </a:rPr>
            <a:t>Base</a:t>
          </a:r>
          <a:r>
            <a:rPr lang="pt-BR" sz="1100" b="1" baseline="0">
              <a:solidFill>
                <a:schemeClr val="tx1"/>
              </a:solidFill>
            </a:rPr>
            <a:t> Produtos</a:t>
          </a:r>
          <a:endParaRPr lang="pt-BR" sz="1100" b="1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</xdr:col>
      <xdr:colOff>357246</xdr:colOff>
      <xdr:row>1</xdr:row>
      <xdr:rowOff>61638</xdr:rowOff>
    </xdr:from>
    <xdr:to>
      <xdr:col>1</xdr:col>
      <xdr:colOff>1361311</xdr:colOff>
      <xdr:row>2</xdr:row>
      <xdr:rowOff>128863</xdr:rowOff>
    </xdr:to>
    <xdr:sp macro="[0]!drop_produ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BA39F69-90F3-42E6-B768-C93C4278336B}"/>
            </a:ext>
          </a:extLst>
        </xdr:cNvPr>
        <xdr:cNvSpPr/>
      </xdr:nvSpPr>
      <xdr:spPr>
        <a:xfrm>
          <a:off x="2071746" y="252138"/>
          <a:ext cx="1004065" cy="257725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Limpar Base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354921</xdr:colOff>
      <xdr:row>0</xdr:row>
      <xdr:rowOff>129887</xdr:rowOff>
    </xdr:from>
    <xdr:to>
      <xdr:col>0</xdr:col>
      <xdr:colOff>1357336</xdr:colOff>
      <xdr:row>3</xdr:row>
      <xdr:rowOff>60614</xdr:rowOff>
    </xdr:to>
    <xdr:sp macro="[0]!get_vend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6A1F30C-673D-4CDE-AB71-3BDEE4B7DE2A}"/>
            </a:ext>
          </a:extLst>
        </xdr:cNvPr>
        <xdr:cNvSpPr/>
      </xdr:nvSpPr>
      <xdr:spPr>
        <a:xfrm>
          <a:off x="354921" y="129887"/>
          <a:ext cx="1002415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br>
            <a:rPr lang="pt-BR" sz="1100" b="1">
              <a:solidFill>
                <a:schemeClr val="tx1"/>
              </a:solidFill>
            </a:rPr>
          </a:br>
          <a:r>
            <a:rPr lang="pt-BR" sz="1100" b="1">
              <a:solidFill>
                <a:schemeClr val="tx1"/>
              </a:solidFill>
            </a:rPr>
            <a:t>Base</a:t>
          </a:r>
          <a:r>
            <a:rPr lang="pt-BR" sz="1100" b="1" baseline="0">
              <a:solidFill>
                <a:schemeClr val="tx1"/>
              </a:solidFill>
            </a:rPr>
            <a:t> Vendas</a:t>
          </a:r>
        </a:p>
      </xdr:txBody>
    </xdr:sp>
    <xdr:clientData/>
  </xdr:twoCellAnchor>
  <xdr:twoCellAnchor editAs="absolute">
    <xdr:from>
      <xdr:col>1</xdr:col>
      <xdr:colOff>352425</xdr:colOff>
      <xdr:row>1</xdr:row>
      <xdr:rowOff>66675</xdr:rowOff>
    </xdr:from>
    <xdr:to>
      <xdr:col>1</xdr:col>
      <xdr:colOff>1356490</xdr:colOff>
      <xdr:row>2</xdr:row>
      <xdr:rowOff>133900</xdr:rowOff>
    </xdr:to>
    <xdr:sp macro="[0]!drop_venda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71DD75C-9FA5-425C-8152-52E46684126E}"/>
            </a:ext>
          </a:extLst>
        </xdr:cNvPr>
        <xdr:cNvSpPr/>
      </xdr:nvSpPr>
      <xdr:spPr>
        <a:xfrm>
          <a:off x="2066925" y="257175"/>
          <a:ext cx="1004065" cy="257725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Limpar Base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307042</xdr:colOff>
      <xdr:row>0</xdr:row>
      <xdr:rowOff>129887</xdr:rowOff>
    </xdr:from>
    <xdr:to>
      <xdr:col>0</xdr:col>
      <xdr:colOff>1411514</xdr:colOff>
      <xdr:row>3</xdr:row>
      <xdr:rowOff>60614</xdr:rowOff>
    </xdr:to>
    <xdr:sp macro="[0]!set_gir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AE52572-665D-4D9F-AF6A-8C30AF4932DE}"/>
            </a:ext>
          </a:extLst>
        </xdr:cNvPr>
        <xdr:cNvSpPr/>
      </xdr:nvSpPr>
      <xdr:spPr>
        <a:xfrm>
          <a:off x="307042" y="129887"/>
          <a:ext cx="1104472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br>
            <a:rPr lang="pt-BR" sz="1100" b="1">
              <a:solidFill>
                <a:schemeClr val="tx1"/>
              </a:solidFill>
            </a:rPr>
          </a:br>
          <a:r>
            <a:rPr lang="pt-BR" sz="1100" b="1">
              <a:solidFill>
                <a:schemeClr val="tx1"/>
              </a:solidFill>
            </a:rPr>
            <a:t>Base</a:t>
          </a:r>
          <a:r>
            <a:rPr lang="pt-BR" sz="1100" b="1" baseline="0">
              <a:solidFill>
                <a:schemeClr val="tx1"/>
              </a:solidFill>
            </a:rPr>
            <a:t> Giro</a:t>
          </a:r>
        </a:p>
      </xdr:txBody>
    </xdr:sp>
    <xdr:clientData/>
  </xdr:twoCellAnchor>
  <xdr:twoCellAnchor editAs="absolute">
    <xdr:from>
      <xdr:col>1</xdr:col>
      <xdr:colOff>357246</xdr:colOff>
      <xdr:row>1</xdr:row>
      <xdr:rowOff>61638</xdr:rowOff>
    </xdr:from>
    <xdr:to>
      <xdr:col>1</xdr:col>
      <xdr:colOff>1361311</xdr:colOff>
      <xdr:row>2</xdr:row>
      <xdr:rowOff>128863</xdr:rowOff>
    </xdr:to>
    <xdr:sp macro="[0]!drop_gir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13922AC-E05B-4B5F-81F6-F28591E0A22B}"/>
            </a:ext>
          </a:extLst>
        </xdr:cNvPr>
        <xdr:cNvSpPr/>
      </xdr:nvSpPr>
      <xdr:spPr>
        <a:xfrm>
          <a:off x="2071746" y="252138"/>
          <a:ext cx="1004065" cy="257725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Limpar Base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514350</xdr:colOff>
      <xdr:row>0</xdr:row>
      <xdr:rowOff>123825</xdr:rowOff>
    </xdr:from>
    <xdr:to>
      <xdr:col>1</xdr:col>
      <xdr:colOff>669040</xdr:colOff>
      <xdr:row>3</xdr:row>
      <xdr:rowOff>54552</xdr:rowOff>
    </xdr:to>
    <xdr:sp macro="[0]!set_resum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91B86A2-5F39-44CA-9CAE-1ADFAB3CCFD9}"/>
            </a:ext>
          </a:extLst>
        </xdr:cNvPr>
        <xdr:cNvSpPr/>
      </xdr:nvSpPr>
      <xdr:spPr>
        <a:xfrm>
          <a:off x="514350" y="123825"/>
          <a:ext cx="1002415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br>
            <a:rPr lang="pt-BR" sz="1100" b="1">
              <a:solidFill>
                <a:schemeClr val="tx1"/>
              </a:solidFill>
            </a:rPr>
          </a:br>
          <a:r>
            <a:rPr lang="pt-BR" sz="1100" b="1">
              <a:solidFill>
                <a:schemeClr val="tx1"/>
              </a:solidFill>
            </a:rPr>
            <a:t>Resumo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911534-292A-4259-A118-70718ADF1B8B}">
  <sheetPr codeName="Planilha1"/>
  <dimension ref="A2:Q1697"/>
  <sheetViews>
    <sheetView zoomScaleNormal="100" workbookViewId="0"/>
  </sheetViews>
  <sheetFormatPr defaultRowHeight="15" customHeight="1" x14ac:dyDescent="0.25"/>
  <cols>
    <col min="1" max="1" width="25.7109375" style="3" customWidth="1"/>
    <col min="2" max="2" width="25.7109375" style="4" customWidth="1"/>
    <col min="3" max="7" width="25.7109375" customWidth="1"/>
    <col min="8" max="9" width="25.7109375" style="1" customWidth="1"/>
    <col min="10" max="10" width="25.7109375" style="20" customWidth="1"/>
    <col min="11" max="12" width="25.7109375" style="1" customWidth="1"/>
    <col min="13" max="13" width="25.7109375" style="17" customWidth="1"/>
    <col min="14" max="14" width="25.7109375" style="1" customWidth="1"/>
    <col min="15" max="15" width="25.7109375" style="2" customWidth="1"/>
    <col min="16" max="19" width="25.7109375" customWidth="1"/>
  </cols>
  <sheetData>
    <row r="2" spans="1:17" ht="15" customHeight="1" x14ac:dyDescent="0.25">
      <c r="C2" s="43" t="s">
        <v>180</v>
      </c>
      <c r="D2" s="15"/>
      <c r="F2" s="15"/>
    </row>
    <row r="3" spans="1:17" ht="15" customHeight="1" x14ac:dyDescent="0.25">
      <c r="C3" s="43"/>
      <c r="D3" s="15"/>
      <c r="F3" s="15"/>
    </row>
    <row r="5" spans="1:17" ht="15" customHeight="1" x14ac:dyDescent="0.25">
      <c r="A5" s="16" t="s">
        <v>5</v>
      </c>
      <c r="B5" s="16" t="s">
        <v>11</v>
      </c>
      <c r="C5" s="16" t="s">
        <v>12</v>
      </c>
      <c r="D5" s="16" t="s">
        <v>13</v>
      </c>
      <c r="E5" s="16" t="s">
        <v>14</v>
      </c>
      <c r="F5" s="16" t="s">
        <v>15</v>
      </c>
      <c r="G5" s="16" t="s">
        <v>6</v>
      </c>
      <c r="H5" s="16" t="s">
        <v>7</v>
      </c>
      <c r="I5" s="16" t="s">
        <v>16</v>
      </c>
      <c r="J5" s="21" t="s">
        <v>8</v>
      </c>
      <c r="K5" s="16" t="s">
        <v>9</v>
      </c>
      <c r="L5" s="16" t="s">
        <v>10</v>
      </c>
      <c r="M5" s="18" t="s">
        <v>19</v>
      </c>
      <c r="N5" s="16" t="s">
        <v>17</v>
      </c>
      <c r="O5" s="16" t="s">
        <v>18</v>
      </c>
      <c r="P5" s="16" t="s">
        <v>20</v>
      </c>
      <c r="Q5" s="16" t="s">
        <v>45</v>
      </c>
    </row>
    <row r="6" spans="1:17" ht="15" customHeight="1" x14ac:dyDescent="0.25">
      <c r="A6" s="3" t="s">
        <v>971</v>
      </c>
      <c r="B6" s="4" t="s">
        <v>972</v>
      </c>
      <c r="C6" t="s">
        <v>973</v>
      </c>
      <c r="D6">
        <v>1</v>
      </c>
      <c r="E6" t="s">
        <v>974</v>
      </c>
      <c r="F6" t="s">
        <v>975</v>
      </c>
      <c r="G6" t="s">
        <v>976</v>
      </c>
      <c r="H6" s="1" t="s">
        <v>976</v>
      </c>
      <c r="I6" s="1">
        <v>145.34</v>
      </c>
      <c r="J6" s="20">
        <v>2</v>
      </c>
      <c r="K6" s="1">
        <v>145.34</v>
      </c>
      <c r="L6" s="1">
        <v>290.68</v>
      </c>
      <c r="M6" s="42" t="s">
        <v>2431</v>
      </c>
      <c r="Q6" t="s">
        <v>972</v>
      </c>
    </row>
    <row r="7" spans="1:17" ht="15" customHeight="1" x14ac:dyDescent="0.25">
      <c r="A7" s="3" t="s">
        <v>977</v>
      </c>
      <c r="B7" s="4" t="s">
        <v>2434</v>
      </c>
      <c r="C7" t="s">
        <v>973</v>
      </c>
      <c r="D7">
        <v>1</v>
      </c>
      <c r="E7" t="s">
        <v>974</v>
      </c>
      <c r="F7" t="s">
        <v>975</v>
      </c>
      <c r="G7" t="s">
        <v>978</v>
      </c>
      <c r="H7" s="1" t="s">
        <v>976</v>
      </c>
      <c r="I7" s="1">
        <v>100.67</v>
      </c>
      <c r="J7" s="20">
        <v>-28.7</v>
      </c>
      <c r="K7" s="1">
        <v>100.670011</v>
      </c>
      <c r="L7" s="1">
        <v>-2889.23</v>
      </c>
      <c r="M7" s="42" t="s">
        <v>2432</v>
      </c>
      <c r="O7" s="2" t="s">
        <v>2433</v>
      </c>
      <c r="Q7" t="s">
        <v>2435</v>
      </c>
    </row>
    <row r="8" spans="1:17" ht="15" customHeight="1" x14ac:dyDescent="0.25">
      <c r="A8" s="3" t="s">
        <v>979</v>
      </c>
      <c r="B8" s="4" t="s">
        <v>2438</v>
      </c>
      <c r="C8" t="s">
        <v>973</v>
      </c>
      <c r="D8">
        <v>1</v>
      </c>
      <c r="E8" t="s">
        <v>974</v>
      </c>
      <c r="F8" t="s">
        <v>975</v>
      </c>
      <c r="G8" t="s">
        <v>976</v>
      </c>
      <c r="H8" s="1" t="s">
        <v>976</v>
      </c>
      <c r="I8" s="1">
        <v>34.65</v>
      </c>
      <c r="J8" s="20">
        <v>5</v>
      </c>
      <c r="K8" s="1">
        <v>34.65</v>
      </c>
      <c r="L8" s="1">
        <v>173.25</v>
      </c>
      <c r="M8" s="42" t="s">
        <v>2436</v>
      </c>
      <c r="O8" s="2" t="s">
        <v>2437</v>
      </c>
      <c r="Q8" t="s">
        <v>2439</v>
      </c>
    </row>
    <row r="9" spans="1:17" ht="15" customHeight="1" x14ac:dyDescent="0.25">
      <c r="A9" s="3" t="s">
        <v>980</v>
      </c>
      <c r="B9" s="4" t="s">
        <v>981</v>
      </c>
      <c r="C9" t="s">
        <v>973</v>
      </c>
      <c r="D9">
        <v>1</v>
      </c>
      <c r="E9" t="s">
        <v>974</v>
      </c>
      <c r="F9" t="s">
        <v>975</v>
      </c>
      <c r="G9" t="s">
        <v>976</v>
      </c>
      <c r="H9" s="1" t="s">
        <v>976</v>
      </c>
      <c r="I9" s="1">
        <v>112.89</v>
      </c>
      <c r="J9" s="20">
        <v>0</v>
      </c>
      <c r="K9" s="1">
        <v>112.89047600000001</v>
      </c>
      <c r="L9" s="1">
        <v>0</v>
      </c>
      <c r="M9" s="42" t="s">
        <v>2440</v>
      </c>
      <c r="Q9" t="s">
        <v>981</v>
      </c>
    </row>
    <row r="10" spans="1:17" ht="15" customHeight="1" x14ac:dyDescent="0.25">
      <c r="A10" s="3" t="s">
        <v>982</v>
      </c>
      <c r="B10" s="4" t="s">
        <v>983</v>
      </c>
      <c r="C10" t="s">
        <v>973</v>
      </c>
      <c r="D10">
        <v>1</v>
      </c>
      <c r="E10" t="s">
        <v>974</v>
      </c>
      <c r="F10" t="s">
        <v>975</v>
      </c>
      <c r="G10" t="s">
        <v>976</v>
      </c>
      <c r="H10" s="1" t="s">
        <v>976</v>
      </c>
      <c r="I10" s="1">
        <v>114.22</v>
      </c>
      <c r="J10" s="20">
        <v>2.1</v>
      </c>
      <c r="K10" s="1">
        <v>114.219048</v>
      </c>
      <c r="L10" s="1">
        <v>239.86</v>
      </c>
      <c r="M10" s="42" t="s">
        <v>2441</v>
      </c>
      <c r="Q10" t="s">
        <v>983</v>
      </c>
    </row>
    <row r="11" spans="1:17" ht="15" customHeight="1" x14ac:dyDescent="0.25">
      <c r="A11" s="3" t="s">
        <v>984</v>
      </c>
      <c r="B11" s="4" t="s">
        <v>2434</v>
      </c>
      <c r="C11" t="s">
        <v>973</v>
      </c>
      <c r="D11">
        <v>1</v>
      </c>
      <c r="E11" t="s">
        <v>974</v>
      </c>
      <c r="F11" t="s">
        <v>975</v>
      </c>
      <c r="G11" t="s">
        <v>978</v>
      </c>
      <c r="H11" s="1" t="s">
        <v>976</v>
      </c>
      <c r="I11" s="1">
        <v>100.67</v>
      </c>
      <c r="J11" s="20">
        <v>-31.4</v>
      </c>
      <c r="K11" s="1">
        <v>100.66995900000001</v>
      </c>
      <c r="L11" s="1">
        <v>-3161.04</v>
      </c>
      <c r="M11" s="42" t="s">
        <v>2442</v>
      </c>
      <c r="O11" s="2" t="s">
        <v>2443</v>
      </c>
      <c r="Q11" t="s">
        <v>2444</v>
      </c>
    </row>
    <row r="12" spans="1:17" ht="15" customHeight="1" x14ac:dyDescent="0.25">
      <c r="A12" s="3" t="s">
        <v>2030</v>
      </c>
      <c r="B12" s="4" t="s">
        <v>2031</v>
      </c>
      <c r="C12" t="s">
        <v>973</v>
      </c>
      <c r="D12">
        <v>1</v>
      </c>
      <c r="E12" t="s">
        <v>974</v>
      </c>
      <c r="F12" t="s">
        <v>975</v>
      </c>
      <c r="G12" t="s">
        <v>985</v>
      </c>
      <c r="H12" s="1" t="s">
        <v>976</v>
      </c>
      <c r="I12" s="1">
        <v>41.2</v>
      </c>
      <c r="J12" s="20">
        <v>175.75</v>
      </c>
      <c r="K12" s="1">
        <v>41.2</v>
      </c>
      <c r="L12" s="1">
        <v>7240.9</v>
      </c>
      <c r="M12" s="42" t="s">
        <v>2445</v>
      </c>
      <c r="Q12" t="s">
        <v>2031</v>
      </c>
    </row>
    <row r="13" spans="1:17" ht="15" customHeight="1" x14ac:dyDescent="0.25">
      <c r="A13" s="3" t="s">
        <v>986</v>
      </c>
      <c r="B13" s="4" t="s">
        <v>2448</v>
      </c>
      <c r="C13" t="s">
        <v>973</v>
      </c>
      <c r="D13">
        <v>1</v>
      </c>
      <c r="E13" t="s">
        <v>974</v>
      </c>
      <c r="F13" t="s">
        <v>975</v>
      </c>
      <c r="G13" t="s">
        <v>985</v>
      </c>
      <c r="H13" s="1" t="s">
        <v>976</v>
      </c>
      <c r="I13" s="1">
        <v>40.869999999999997</v>
      </c>
      <c r="J13" s="20">
        <v>0</v>
      </c>
      <c r="K13" s="1">
        <v>37.618009999999998</v>
      </c>
      <c r="L13" s="1">
        <v>0</v>
      </c>
      <c r="M13" s="42" t="s">
        <v>2446</v>
      </c>
      <c r="O13" s="2" t="s">
        <v>2447</v>
      </c>
      <c r="Q13" t="s">
        <v>2449</v>
      </c>
    </row>
    <row r="14" spans="1:17" ht="15" customHeight="1" x14ac:dyDescent="0.25">
      <c r="A14" s="3" t="s">
        <v>987</v>
      </c>
      <c r="B14" s="4" t="s">
        <v>988</v>
      </c>
      <c r="C14" t="s">
        <v>973</v>
      </c>
      <c r="D14">
        <v>1</v>
      </c>
      <c r="E14" t="s">
        <v>974</v>
      </c>
      <c r="F14" t="s">
        <v>975</v>
      </c>
      <c r="G14" t="s">
        <v>989</v>
      </c>
      <c r="H14" s="1" t="s">
        <v>976</v>
      </c>
      <c r="I14" s="1">
        <v>40.869999999999997</v>
      </c>
      <c r="J14" s="20">
        <v>55.2</v>
      </c>
      <c r="K14" s="1">
        <v>40.869928000000002</v>
      </c>
      <c r="L14" s="1">
        <v>2256.02</v>
      </c>
      <c r="M14" s="42" t="s">
        <v>2450</v>
      </c>
      <c r="Q14" t="s">
        <v>988</v>
      </c>
    </row>
    <row r="15" spans="1:17" ht="15" customHeight="1" x14ac:dyDescent="0.25">
      <c r="A15" s="3" t="s">
        <v>990</v>
      </c>
      <c r="B15" s="4" t="s">
        <v>991</v>
      </c>
      <c r="C15" t="s">
        <v>976</v>
      </c>
      <c r="D15">
        <v>1</v>
      </c>
      <c r="E15" t="s">
        <v>974</v>
      </c>
      <c r="F15" t="s">
        <v>975</v>
      </c>
      <c r="G15" t="s">
        <v>976</v>
      </c>
      <c r="H15" s="1" t="s">
        <v>976</v>
      </c>
      <c r="I15" s="1">
        <v>602</v>
      </c>
      <c r="J15" s="20">
        <v>4.5</v>
      </c>
      <c r="K15" s="1">
        <v>602</v>
      </c>
      <c r="L15" s="1">
        <v>2709</v>
      </c>
      <c r="M15" s="42" t="s">
        <v>2451</v>
      </c>
      <c r="Q15" t="s">
        <v>991</v>
      </c>
    </row>
    <row r="16" spans="1:17" ht="15" customHeight="1" x14ac:dyDescent="0.25">
      <c r="A16" s="3" t="s">
        <v>992</v>
      </c>
      <c r="B16" s="4" t="s">
        <v>993</v>
      </c>
      <c r="C16" t="s">
        <v>973</v>
      </c>
      <c r="D16">
        <v>1</v>
      </c>
      <c r="E16" t="s">
        <v>974</v>
      </c>
      <c r="F16" t="s">
        <v>975</v>
      </c>
      <c r="G16" t="s">
        <v>976</v>
      </c>
      <c r="H16" s="1" t="s">
        <v>976</v>
      </c>
      <c r="I16" s="1">
        <v>17</v>
      </c>
      <c r="J16" s="20">
        <v>250</v>
      </c>
      <c r="K16" s="1">
        <v>17</v>
      </c>
      <c r="L16" s="1">
        <v>4250</v>
      </c>
      <c r="M16" s="42" t="s">
        <v>2452</v>
      </c>
      <c r="Q16" t="s">
        <v>993</v>
      </c>
    </row>
    <row r="17" spans="1:17" ht="15" customHeight="1" x14ac:dyDescent="0.25">
      <c r="A17" s="3" t="s">
        <v>994</v>
      </c>
      <c r="B17" s="4" t="s">
        <v>995</v>
      </c>
      <c r="C17" t="s">
        <v>973</v>
      </c>
      <c r="D17">
        <v>1</v>
      </c>
      <c r="E17" t="s">
        <v>974</v>
      </c>
      <c r="F17" t="s">
        <v>975</v>
      </c>
      <c r="G17" t="s">
        <v>996</v>
      </c>
      <c r="H17" s="1" t="s">
        <v>976</v>
      </c>
      <c r="I17" s="1">
        <v>124.8</v>
      </c>
      <c r="J17" s="20">
        <v>0</v>
      </c>
      <c r="K17" s="1">
        <v>124.8</v>
      </c>
      <c r="L17" s="1">
        <v>0</v>
      </c>
      <c r="M17" s="42" t="s">
        <v>2453</v>
      </c>
      <c r="Q17" t="s">
        <v>995</v>
      </c>
    </row>
    <row r="18" spans="1:17" ht="15" customHeight="1" x14ac:dyDescent="0.25">
      <c r="A18" s="3" t="s">
        <v>997</v>
      </c>
      <c r="B18" s="4" t="s">
        <v>2456</v>
      </c>
      <c r="C18" t="s">
        <v>973</v>
      </c>
      <c r="D18">
        <v>1</v>
      </c>
      <c r="E18" t="s">
        <v>974</v>
      </c>
      <c r="F18" t="s">
        <v>975</v>
      </c>
      <c r="G18" t="s">
        <v>998</v>
      </c>
      <c r="H18" s="1" t="s">
        <v>976</v>
      </c>
      <c r="I18" s="1">
        <v>14.9</v>
      </c>
      <c r="J18" s="20">
        <v>180</v>
      </c>
      <c r="K18" s="1">
        <v>0</v>
      </c>
      <c r="L18" s="1">
        <v>0</v>
      </c>
      <c r="M18" s="42" t="s">
        <v>2454</v>
      </c>
      <c r="O18" s="2" t="s">
        <v>2455</v>
      </c>
      <c r="Q18" t="s">
        <v>2457</v>
      </c>
    </row>
    <row r="19" spans="1:17" ht="15" customHeight="1" x14ac:dyDescent="0.25">
      <c r="A19" s="3" t="s">
        <v>999</v>
      </c>
      <c r="B19" s="4" t="s">
        <v>2460</v>
      </c>
      <c r="C19" t="s">
        <v>976</v>
      </c>
      <c r="D19">
        <v>1</v>
      </c>
      <c r="E19" t="s">
        <v>974</v>
      </c>
      <c r="F19" t="s">
        <v>975</v>
      </c>
      <c r="G19" t="s">
        <v>976</v>
      </c>
      <c r="H19" s="1" t="s">
        <v>976</v>
      </c>
      <c r="I19" s="1">
        <v>29.9</v>
      </c>
      <c r="J19" s="20">
        <v>2</v>
      </c>
      <c r="K19" s="1">
        <v>29.9</v>
      </c>
      <c r="L19" s="1">
        <v>59.8</v>
      </c>
      <c r="M19" s="42" t="s">
        <v>2458</v>
      </c>
      <c r="O19" s="2" t="s">
        <v>2459</v>
      </c>
      <c r="Q19" t="s">
        <v>2461</v>
      </c>
    </row>
    <row r="20" spans="1:17" ht="15" customHeight="1" x14ac:dyDescent="0.25">
      <c r="A20" s="3" t="s">
        <v>1000</v>
      </c>
      <c r="B20" s="4" t="s">
        <v>2464</v>
      </c>
      <c r="C20" t="s">
        <v>973</v>
      </c>
      <c r="D20">
        <v>1</v>
      </c>
      <c r="E20" t="s">
        <v>974</v>
      </c>
      <c r="F20" t="s">
        <v>975</v>
      </c>
      <c r="G20" t="s">
        <v>976</v>
      </c>
      <c r="H20" s="1" t="s">
        <v>976</v>
      </c>
      <c r="I20" s="1">
        <v>22</v>
      </c>
      <c r="J20" s="20">
        <v>190</v>
      </c>
      <c r="K20" s="1">
        <v>22</v>
      </c>
      <c r="L20" s="1">
        <v>4180</v>
      </c>
      <c r="M20" s="42" t="s">
        <v>2462</v>
      </c>
      <c r="O20" s="2" t="s">
        <v>2463</v>
      </c>
      <c r="Q20" t="s">
        <v>2465</v>
      </c>
    </row>
    <row r="21" spans="1:17" ht="15" customHeight="1" x14ac:dyDescent="0.25">
      <c r="A21" s="3" t="s">
        <v>1001</v>
      </c>
      <c r="B21" s="4" t="s">
        <v>2468</v>
      </c>
      <c r="C21" t="s">
        <v>973</v>
      </c>
      <c r="D21">
        <v>1</v>
      </c>
      <c r="E21" t="s">
        <v>974</v>
      </c>
      <c r="F21" t="s">
        <v>975</v>
      </c>
      <c r="G21" t="s">
        <v>976</v>
      </c>
      <c r="H21" s="1" t="s">
        <v>976</v>
      </c>
      <c r="I21" s="1">
        <v>17</v>
      </c>
      <c r="J21" s="20">
        <v>65</v>
      </c>
      <c r="K21" s="1">
        <v>17</v>
      </c>
      <c r="L21" s="1">
        <v>1105</v>
      </c>
      <c r="M21" s="42" t="s">
        <v>2466</v>
      </c>
      <c r="O21" s="2" t="s">
        <v>2467</v>
      </c>
      <c r="Q21" t="s">
        <v>2469</v>
      </c>
    </row>
    <row r="22" spans="1:17" ht="15" customHeight="1" x14ac:dyDescent="0.25">
      <c r="A22" s="3" t="s">
        <v>1002</v>
      </c>
      <c r="B22" s="4" t="s">
        <v>1003</v>
      </c>
      <c r="C22" t="s">
        <v>973</v>
      </c>
      <c r="D22">
        <v>1</v>
      </c>
      <c r="E22" t="s">
        <v>974</v>
      </c>
      <c r="F22" t="s">
        <v>975</v>
      </c>
      <c r="G22" t="s">
        <v>998</v>
      </c>
      <c r="H22" s="1" t="s">
        <v>976</v>
      </c>
      <c r="I22" s="1">
        <v>19</v>
      </c>
      <c r="J22" s="20">
        <v>0</v>
      </c>
      <c r="K22" s="1">
        <v>17.399999999999999</v>
      </c>
      <c r="L22" s="1">
        <v>0</v>
      </c>
      <c r="M22" s="42" t="s">
        <v>2470</v>
      </c>
      <c r="Q22" t="s">
        <v>1003</v>
      </c>
    </row>
    <row r="23" spans="1:17" ht="15" customHeight="1" x14ac:dyDescent="0.25">
      <c r="A23" s="3" t="s">
        <v>1004</v>
      </c>
      <c r="B23" s="4" t="s">
        <v>2473</v>
      </c>
      <c r="C23" t="s">
        <v>973</v>
      </c>
      <c r="D23">
        <v>1</v>
      </c>
      <c r="E23" t="s">
        <v>974</v>
      </c>
      <c r="F23" t="s">
        <v>975</v>
      </c>
      <c r="G23" t="s">
        <v>998</v>
      </c>
      <c r="H23" s="1" t="s">
        <v>976</v>
      </c>
      <c r="I23" s="1">
        <v>19</v>
      </c>
      <c r="J23" s="20">
        <v>13.8</v>
      </c>
      <c r="K23" s="1">
        <v>9.9</v>
      </c>
      <c r="L23" s="1">
        <v>136.62</v>
      </c>
      <c r="M23" s="42" t="s">
        <v>2471</v>
      </c>
      <c r="O23" s="2" t="s">
        <v>2472</v>
      </c>
      <c r="Q23" t="s">
        <v>2474</v>
      </c>
    </row>
    <row r="24" spans="1:17" ht="15" customHeight="1" x14ac:dyDescent="0.25">
      <c r="A24" s="3" t="s">
        <v>1005</v>
      </c>
      <c r="B24" s="4" t="s">
        <v>2476</v>
      </c>
      <c r="C24" t="s">
        <v>973</v>
      </c>
      <c r="D24">
        <v>1</v>
      </c>
      <c r="E24" t="s">
        <v>974</v>
      </c>
      <c r="F24" t="s">
        <v>975</v>
      </c>
      <c r="G24" t="s">
        <v>998</v>
      </c>
      <c r="H24" s="1" t="s">
        <v>976</v>
      </c>
      <c r="I24" s="1">
        <v>7.9</v>
      </c>
      <c r="J24" s="20">
        <v>37.200000000000003</v>
      </c>
      <c r="K24" s="1">
        <v>7.9</v>
      </c>
      <c r="L24" s="1">
        <v>293.88</v>
      </c>
      <c r="M24" s="42" t="s">
        <v>2475</v>
      </c>
      <c r="O24" s="2" t="s">
        <v>2455</v>
      </c>
      <c r="Q24" t="s">
        <v>2477</v>
      </c>
    </row>
    <row r="25" spans="1:17" ht="15" customHeight="1" x14ac:dyDescent="0.25">
      <c r="A25" s="3" t="s">
        <v>1006</v>
      </c>
      <c r="B25" s="4" t="s">
        <v>2479</v>
      </c>
      <c r="C25" t="s">
        <v>973</v>
      </c>
      <c r="D25">
        <v>1</v>
      </c>
      <c r="E25" t="s">
        <v>974</v>
      </c>
      <c r="F25" t="s">
        <v>975</v>
      </c>
      <c r="G25" t="s">
        <v>998</v>
      </c>
      <c r="H25" s="1" t="s">
        <v>976</v>
      </c>
      <c r="I25" s="1">
        <v>19</v>
      </c>
      <c r="J25" s="20">
        <v>25</v>
      </c>
      <c r="K25" s="1">
        <v>17.399999999999999</v>
      </c>
      <c r="L25" s="1">
        <v>435</v>
      </c>
      <c r="M25" s="42" t="s">
        <v>2478</v>
      </c>
      <c r="O25" s="2" t="s">
        <v>2447</v>
      </c>
      <c r="Q25" t="s">
        <v>2480</v>
      </c>
    </row>
    <row r="26" spans="1:17" ht="15" customHeight="1" x14ac:dyDescent="0.25">
      <c r="A26" s="3" t="s">
        <v>1007</v>
      </c>
      <c r="B26" s="4" t="s">
        <v>2483</v>
      </c>
      <c r="C26" t="s">
        <v>973</v>
      </c>
      <c r="D26">
        <v>1</v>
      </c>
      <c r="E26" t="s">
        <v>974</v>
      </c>
      <c r="F26" t="s">
        <v>975</v>
      </c>
      <c r="G26" t="s">
        <v>998</v>
      </c>
      <c r="H26" s="1" t="s">
        <v>976</v>
      </c>
      <c r="I26" s="1">
        <v>19</v>
      </c>
      <c r="J26" s="20">
        <v>92</v>
      </c>
      <c r="K26" s="1">
        <v>9.9</v>
      </c>
      <c r="L26" s="1">
        <v>910.8</v>
      </c>
      <c r="M26" s="42" t="s">
        <v>2481</v>
      </c>
      <c r="O26" s="2" t="s">
        <v>2482</v>
      </c>
      <c r="Q26" t="s">
        <v>2484</v>
      </c>
    </row>
    <row r="27" spans="1:17" ht="15" customHeight="1" x14ac:dyDescent="0.25">
      <c r="A27" s="3" t="s">
        <v>1008</v>
      </c>
      <c r="B27" s="4" t="s">
        <v>2486</v>
      </c>
      <c r="C27" t="s">
        <v>973</v>
      </c>
      <c r="D27">
        <v>1</v>
      </c>
      <c r="E27" t="s">
        <v>974</v>
      </c>
      <c r="F27" t="s">
        <v>975</v>
      </c>
      <c r="G27" t="s">
        <v>998</v>
      </c>
      <c r="H27" s="1" t="s">
        <v>976</v>
      </c>
      <c r="I27" s="1">
        <v>19</v>
      </c>
      <c r="J27" s="20">
        <v>0</v>
      </c>
      <c r="K27" s="1">
        <v>9.9</v>
      </c>
      <c r="L27" s="1">
        <v>0</v>
      </c>
      <c r="M27" s="42" t="s">
        <v>2485</v>
      </c>
      <c r="O27" s="2" t="s">
        <v>2455</v>
      </c>
      <c r="Q27" t="s">
        <v>2487</v>
      </c>
    </row>
    <row r="28" spans="1:17" ht="15" customHeight="1" x14ac:dyDescent="0.25">
      <c r="A28" s="3" t="s">
        <v>1009</v>
      </c>
      <c r="B28" s="4" t="s">
        <v>2489</v>
      </c>
      <c r="C28" t="s">
        <v>973</v>
      </c>
      <c r="D28">
        <v>1</v>
      </c>
      <c r="E28" t="s">
        <v>974</v>
      </c>
      <c r="F28" t="s">
        <v>975</v>
      </c>
      <c r="G28" t="s">
        <v>1010</v>
      </c>
      <c r="H28" s="1" t="s">
        <v>976</v>
      </c>
      <c r="I28" s="1">
        <v>22.81</v>
      </c>
      <c r="J28" s="20">
        <v>43.4</v>
      </c>
      <c r="K28" s="1">
        <v>22.809906999999999</v>
      </c>
      <c r="L28" s="1">
        <v>989.95</v>
      </c>
      <c r="M28" s="42" t="s">
        <v>2488</v>
      </c>
      <c r="O28" s="2" t="s">
        <v>2463</v>
      </c>
      <c r="Q28" t="s">
        <v>2490</v>
      </c>
    </row>
    <row r="29" spans="1:17" ht="15" customHeight="1" x14ac:dyDescent="0.25">
      <c r="A29" s="3" t="s">
        <v>1011</v>
      </c>
      <c r="B29" s="4" t="s">
        <v>2492</v>
      </c>
      <c r="C29" t="s">
        <v>973</v>
      </c>
      <c r="D29">
        <v>1</v>
      </c>
      <c r="E29" t="s">
        <v>974</v>
      </c>
      <c r="F29" t="s">
        <v>975</v>
      </c>
      <c r="G29" t="s">
        <v>998</v>
      </c>
      <c r="H29" s="1" t="s">
        <v>976</v>
      </c>
      <c r="I29" s="1">
        <v>17.399999999999999</v>
      </c>
      <c r="J29" s="20">
        <v>0</v>
      </c>
      <c r="K29" s="1">
        <v>7.15</v>
      </c>
      <c r="L29" s="1">
        <v>0</v>
      </c>
      <c r="M29" s="42" t="s">
        <v>2491</v>
      </c>
      <c r="O29" s="2" t="s">
        <v>2463</v>
      </c>
      <c r="Q29" t="s">
        <v>2493</v>
      </c>
    </row>
    <row r="30" spans="1:17" ht="15" customHeight="1" x14ac:dyDescent="0.25">
      <c r="A30" s="3" t="s">
        <v>1012</v>
      </c>
      <c r="B30" s="4" t="s">
        <v>2496</v>
      </c>
      <c r="C30" t="s">
        <v>973</v>
      </c>
      <c r="D30">
        <v>1</v>
      </c>
      <c r="E30" t="s">
        <v>974</v>
      </c>
      <c r="F30" t="s">
        <v>975</v>
      </c>
      <c r="G30" t="s">
        <v>976</v>
      </c>
      <c r="H30" s="1" t="s">
        <v>976</v>
      </c>
      <c r="I30" s="1">
        <v>47.5</v>
      </c>
      <c r="J30" s="20">
        <v>49</v>
      </c>
      <c r="K30" s="1">
        <v>47.5</v>
      </c>
      <c r="L30" s="1">
        <v>2327.5</v>
      </c>
      <c r="M30" s="42" t="s">
        <v>2494</v>
      </c>
      <c r="O30" s="2" t="s">
        <v>2443</v>
      </c>
      <c r="Q30" t="s">
        <v>2497</v>
      </c>
    </row>
    <row r="31" spans="1:17" ht="15" customHeight="1" x14ac:dyDescent="0.25">
      <c r="A31" s="3" t="s">
        <v>1013</v>
      </c>
      <c r="B31" s="4" t="s">
        <v>1014</v>
      </c>
      <c r="C31" t="s">
        <v>973</v>
      </c>
      <c r="D31">
        <v>1</v>
      </c>
      <c r="E31" t="s">
        <v>974</v>
      </c>
      <c r="F31" t="s">
        <v>975</v>
      </c>
      <c r="G31" t="s">
        <v>1015</v>
      </c>
      <c r="H31" s="1" t="s">
        <v>976</v>
      </c>
      <c r="I31" s="1">
        <v>47.5</v>
      </c>
      <c r="J31" s="20">
        <v>0</v>
      </c>
      <c r="K31" s="1">
        <v>47.5</v>
      </c>
      <c r="L31" s="1">
        <v>0</v>
      </c>
      <c r="M31" s="42" t="s">
        <v>2498</v>
      </c>
      <c r="Q31" t="s">
        <v>1014</v>
      </c>
    </row>
    <row r="32" spans="1:17" ht="15" customHeight="1" x14ac:dyDescent="0.25">
      <c r="A32" s="3" t="s">
        <v>2032</v>
      </c>
      <c r="B32" s="4" t="s">
        <v>2500</v>
      </c>
      <c r="C32" t="s">
        <v>1016</v>
      </c>
      <c r="D32">
        <v>1</v>
      </c>
      <c r="E32" t="s">
        <v>974</v>
      </c>
      <c r="F32" t="s">
        <v>975</v>
      </c>
      <c r="G32" t="s">
        <v>976</v>
      </c>
      <c r="H32" s="1" t="s">
        <v>976</v>
      </c>
      <c r="I32" s="1">
        <v>0.44</v>
      </c>
      <c r="J32" s="20">
        <v>5000</v>
      </c>
      <c r="K32" s="1">
        <v>0.44</v>
      </c>
      <c r="L32" s="1">
        <v>2200</v>
      </c>
      <c r="M32" s="42" t="s">
        <v>2499</v>
      </c>
      <c r="O32" s="2" t="s">
        <v>2472</v>
      </c>
      <c r="Q32" t="s">
        <v>2501</v>
      </c>
    </row>
    <row r="33" spans="1:17" ht="15" customHeight="1" x14ac:dyDescent="0.25">
      <c r="A33" s="41" t="s">
        <v>2032</v>
      </c>
      <c r="B33" s="3" t="s">
        <v>2500</v>
      </c>
      <c r="C33" s="41" t="s">
        <v>1016</v>
      </c>
      <c r="D33">
        <v>2</v>
      </c>
      <c r="E33" t="s">
        <v>1017</v>
      </c>
      <c r="F33" t="s">
        <v>975</v>
      </c>
      <c r="G33" t="s">
        <v>976</v>
      </c>
      <c r="H33" s="1" t="s">
        <v>976</v>
      </c>
      <c r="I33" s="1">
        <v>0.44</v>
      </c>
      <c r="J33" s="20">
        <v>-85</v>
      </c>
      <c r="K33" s="1">
        <v>0</v>
      </c>
      <c r="L33" s="1">
        <v>0</v>
      </c>
      <c r="M33" s="42" t="s">
        <v>2499</v>
      </c>
      <c r="O33" s="2" t="s">
        <v>2472</v>
      </c>
      <c r="Q33" t="s">
        <v>2501</v>
      </c>
    </row>
    <row r="34" spans="1:17" ht="15" customHeight="1" x14ac:dyDescent="0.25">
      <c r="A34" s="41" t="s">
        <v>2032</v>
      </c>
      <c r="B34" s="3" t="s">
        <v>2500</v>
      </c>
      <c r="C34" s="41" t="s">
        <v>1016</v>
      </c>
      <c r="D34">
        <v>4</v>
      </c>
      <c r="E34" t="s">
        <v>1018</v>
      </c>
      <c r="F34" t="s">
        <v>975</v>
      </c>
      <c r="G34" t="s">
        <v>976</v>
      </c>
      <c r="H34" s="1" t="s">
        <v>976</v>
      </c>
      <c r="I34" s="1">
        <v>0.44</v>
      </c>
      <c r="J34" s="20">
        <v>5085</v>
      </c>
      <c r="K34" s="1">
        <v>0.44</v>
      </c>
      <c r="L34" s="1">
        <v>2237.4</v>
      </c>
      <c r="M34" s="42" t="s">
        <v>2499</v>
      </c>
      <c r="O34" s="2" t="s">
        <v>2472</v>
      </c>
      <c r="Q34" t="s">
        <v>2501</v>
      </c>
    </row>
    <row r="35" spans="1:17" ht="15" customHeight="1" x14ac:dyDescent="0.25">
      <c r="A35" s="3" t="s">
        <v>1019</v>
      </c>
      <c r="B35" s="4" t="s">
        <v>2503</v>
      </c>
      <c r="C35" t="s">
        <v>973</v>
      </c>
      <c r="D35">
        <v>1</v>
      </c>
      <c r="E35" t="s">
        <v>974</v>
      </c>
      <c r="F35" t="s">
        <v>975</v>
      </c>
      <c r="G35" t="s">
        <v>976</v>
      </c>
      <c r="H35" s="1" t="s">
        <v>976</v>
      </c>
      <c r="I35" s="1">
        <v>39.9</v>
      </c>
      <c r="J35" s="20">
        <v>125.2</v>
      </c>
      <c r="K35" s="1">
        <v>39.9</v>
      </c>
      <c r="L35" s="1">
        <v>4995.4799999999996</v>
      </c>
      <c r="M35" s="42" t="s">
        <v>2502</v>
      </c>
      <c r="O35" s="2" t="s">
        <v>2443</v>
      </c>
      <c r="Q35" t="s">
        <v>604</v>
      </c>
    </row>
    <row r="36" spans="1:17" ht="15" customHeight="1" x14ac:dyDescent="0.25">
      <c r="A36" s="3" t="s">
        <v>1020</v>
      </c>
      <c r="B36" s="4" t="s">
        <v>2505</v>
      </c>
      <c r="C36" t="s">
        <v>973</v>
      </c>
      <c r="D36">
        <v>1</v>
      </c>
      <c r="E36" t="s">
        <v>974</v>
      </c>
      <c r="F36" t="s">
        <v>975</v>
      </c>
      <c r="G36" t="s">
        <v>1021</v>
      </c>
      <c r="H36" s="1" t="s">
        <v>976</v>
      </c>
      <c r="I36" s="1">
        <v>58.94</v>
      </c>
      <c r="J36" s="20">
        <v>15.3</v>
      </c>
      <c r="K36" s="1">
        <v>58.94</v>
      </c>
      <c r="L36" s="1">
        <v>901.78</v>
      </c>
      <c r="M36" s="42" t="s">
        <v>2504</v>
      </c>
      <c r="O36" s="2" t="s">
        <v>2459</v>
      </c>
      <c r="Q36" t="s">
        <v>605</v>
      </c>
    </row>
    <row r="37" spans="1:17" ht="15" customHeight="1" x14ac:dyDescent="0.25">
      <c r="A37" s="3" t="s">
        <v>1022</v>
      </c>
      <c r="B37" s="4" t="s">
        <v>2506</v>
      </c>
      <c r="C37" t="s">
        <v>973</v>
      </c>
      <c r="D37">
        <v>1</v>
      </c>
      <c r="E37" t="s">
        <v>974</v>
      </c>
      <c r="F37" t="s">
        <v>975</v>
      </c>
      <c r="G37" t="s">
        <v>976</v>
      </c>
      <c r="H37" s="1" t="s">
        <v>976</v>
      </c>
      <c r="I37" s="1">
        <v>58.94</v>
      </c>
      <c r="J37" s="20">
        <v>-9.6999999999999993</v>
      </c>
      <c r="K37" s="1">
        <v>0</v>
      </c>
      <c r="L37" s="1">
        <v>0</v>
      </c>
      <c r="M37" s="42" t="s">
        <v>2504</v>
      </c>
      <c r="O37" s="2" t="s">
        <v>2447</v>
      </c>
      <c r="Q37" t="s">
        <v>606</v>
      </c>
    </row>
    <row r="38" spans="1:17" ht="15" customHeight="1" x14ac:dyDescent="0.25">
      <c r="A38" s="41" t="s">
        <v>1022</v>
      </c>
      <c r="B38" s="3" t="s">
        <v>2506</v>
      </c>
      <c r="C38" s="41" t="s">
        <v>973</v>
      </c>
      <c r="D38">
        <v>4</v>
      </c>
      <c r="E38" t="s">
        <v>1018</v>
      </c>
      <c r="F38" t="s">
        <v>975</v>
      </c>
      <c r="G38" t="s">
        <v>976</v>
      </c>
      <c r="H38" s="1" t="s">
        <v>976</v>
      </c>
      <c r="I38" s="1">
        <v>58.94</v>
      </c>
      <c r="J38" s="20">
        <v>9.6999999999999993</v>
      </c>
      <c r="K38" s="1">
        <v>60.101030999999999</v>
      </c>
      <c r="L38" s="1">
        <v>582.98</v>
      </c>
      <c r="M38" s="42" t="s">
        <v>2504</v>
      </c>
      <c r="O38" s="2" t="s">
        <v>2447</v>
      </c>
      <c r="Q38" t="s">
        <v>606</v>
      </c>
    </row>
    <row r="39" spans="1:17" ht="15" customHeight="1" x14ac:dyDescent="0.25">
      <c r="A39" s="3" t="s">
        <v>1023</v>
      </c>
      <c r="B39" s="4" t="s">
        <v>181</v>
      </c>
      <c r="C39" t="s">
        <v>973</v>
      </c>
      <c r="D39">
        <v>1</v>
      </c>
      <c r="E39" t="s">
        <v>974</v>
      </c>
      <c r="F39" t="s">
        <v>975</v>
      </c>
      <c r="G39" t="s">
        <v>976</v>
      </c>
      <c r="H39" s="1" t="s">
        <v>976</v>
      </c>
      <c r="I39" s="1">
        <v>59.94</v>
      </c>
      <c r="J39" s="20">
        <v>0</v>
      </c>
      <c r="K39" s="1">
        <v>0</v>
      </c>
      <c r="L39" s="1">
        <v>0</v>
      </c>
      <c r="M39" s="42" t="s">
        <v>2504</v>
      </c>
      <c r="Q39" t="s">
        <v>181</v>
      </c>
    </row>
    <row r="40" spans="1:17" ht="15" customHeight="1" x14ac:dyDescent="0.25">
      <c r="A40" s="3" t="s">
        <v>1024</v>
      </c>
      <c r="B40" s="4" t="s">
        <v>182</v>
      </c>
      <c r="C40" t="s">
        <v>973</v>
      </c>
      <c r="D40">
        <v>1</v>
      </c>
      <c r="E40" t="s">
        <v>974</v>
      </c>
      <c r="F40" t="s">
        <v>975</v>
      </c>
      <c r="G40" t="s">
        <v>976</v>
      </c>
      <c r="H40" s="1" t="s">
        <v>976</v>
      </c>
      <c r="I40" s="1">
        <v>58.94</v>
      </c>
      <c r="J40" s="20">
        <v>0</v>
      </c>
      <c r="K40" s="1">
        <v>0</v>
      </c>
      <c r="L40" s="1">
        <v>0</v>
      </c>
      <c r="M40" s="42" t="s">
        <v>2504</v>
      </c>
      <c r="Q40" t="s">
        <v>182</v>
      </c>
    </row>
    <row r="41" spans="1:17" ht="15" customHeight="1" x14ac:dyDescent="0.25">
      <c r="A41" s="3" t="s">
        <v>1025</v>
      </c>
      <c r="B41" s="4" t="s">
        <v>2509</v>
      </c>
      <c r="C41" t="s">
        <v>973</v>
      </c>
      <c r="D41">
        <v>1</v>
      </c>
      <c r="E41" t="s">
        <v>974</v>
      </c>
      <c r="F41" t="s">
        <v>975</v>
      </c>
      <c r="G41" t="s">
        <v>1021</v>
      </c>
      <c r="H41" s="1" t="s">
        <v>976</v>
      </c>
      <c r="I41" s="1">
        <v>23.48</v>
      </c>
      <c r="J41" s="20">
        <v>0</v>
      </c>
      <c r="K41" s="1">
        <v>23.48</v>
      </c>
      <c r="L41" s="1">
        <v>0</v>
      </c>
      <c r="M41" s="42" t="s">
        <v>2507</v>
      </c>
      <c r="O41" s="2" t="s">
        <v>2508</v>
      </c>
      <c r="Q41" t="s">
        <v>607</v>
      </c>
    </row>
    <row r="42" spans="1:17" ht="15" customHeight="1" x14ac:dyDescent="0.25">
      <c r="A42" s="3" t="s">
        <v>1026</v>
      </c>
      <c r="B42" s="4" t="s">
        <v>183</v>
      </c>
      <c r="C42" t="s">
        <v>973</v>
      </c>
      <c r="D42">
        <v>1</v>
      </c>
      <c r="E42" t="s">
        <v>974</v>
      </c>
      <c r="F42" t="s">
        <v>975</v>
      </c>
      <c r="G42" t="s">
        <v>1021</v>
      </c>
      <c r="H42" s="1" t="s">
        <v>976</v>
      </c>
      <c r="I42" s="1">
        <v>23.48</v>
      </c>
      <c r="J42" s="20">
        <v>23</v>
      </c>
      <c r="K42" s="1">
        <v>23.48</v>
      </c>
      <c r="L42" s="1">
        <v>540.04</v>
      </c>
      <c r="M42" s="42" t="s">
        <v>2507</v>
      </c>
      <c r="Q42" t="s">
        <v>183</v>
      </c>
    </row>
    <row r="43" spans="1:17" ht="15" customHeight="1" x14ac:dyDescent="0.25">
      <c r="A43" s="3" t="s">
        <v>1027</v>
      </c>
      <c r="B43" s="4" t="s">
        <v>2511</v>
      </c>
      <c r="C43" t="s">
        <v>973</v>
      </c>
      <c r="D43">
        <v>1</v>
      </c>
      <c r="E43" t="s">
        <v>974</v>
      </c>
      <c r="F43" t="s">
        <v>975</v>
      </c>
      <c r="G43" t="s">
        <v>1021</v>
      </c>
      <c r="H43" s="1" t="s">
        <v>976</v>
      </c>
      <c r="I43" s="1">
        <v>58.46</v>
      </c>
      <c r="J43" s="20">
        <v>0</v>
      </c>
      <c r="K43" s="1">
        <v>58.459820000000001</v>
      </c>
      <c r="L43" s="1">
        <v>0</v>
      </c>
      <c r="M43" s="42" t="s">
        <v>2510</v>
      </c>
      <c r="O43" s="2" t="s">
        <v>2508</v>
      </c>
      <c r="Q43" t="s">
        <v>608</v>
      </c>
    </row>
    <row r="44" spans="1:17" ht="15" customHeight="1" x14ac:dyDescent="0.25">
      <c r="A44" s="3" t="s">
        <v>1028</v>
      </c>
      <c r="B44" s="4" t="s">
        <v>2513</v>
      </c>
      <c r="C44" t="s">
        <v>973</v>
      </c>
      <c r="D44">
        <v>1</v>
      </c>
      <c r="E44" t="s">
        <v>974</v>
      </c>
      <c r="F44" t="s">
        <v>975</v>
      </c>
      <c r="G44" t="s">
        <v>1021</v>
      </c>
      <c r="H44" s="1" t="s">
        <v>976</v>
      </c>
      <c r="I44" s="1">
        <v>58.46</v>
      </c>
      <c r="J44" s="20">
        <v>0</v>
      </c>
      <c r="K44" s="1">
        <v>58.46</v>
      </c>
      <c r="L44" s="1">
        <v>0</v>
      </c>
      <c r="M44" s="42" t="s">
        <v>2512</v>
      </c>
      <c r="O44" s="2" t="s">
        <v>2482</v>
      </c>
      <c r="Q44" t="s">
        <v>609</v>
      </c>
    </row>
    <row r="45" spans="1:17" ht="15" customHeight="1" x14ac:dyDescent="0.25">
      <c r="A45" s="3" t="s">
        <v>1029</v>
      </c>
      <c r="B45" s="4" t="s">
        <v>2514</v>
      </c>
      <c r="C45" t="s">
        <v>973</v>
      </c>
      <c r="D45">
        <v>1</v>
      </c>
      <c r="E45" t="s">
        <v>974</v>
      </c>
      <c r="F45" t="s">
        <v>975</v>
      </c>
      <c r="G45" t="s">
        <v>976</v>
      </c>
      <c r="H45" s="1" t="s">
        <v>976</v>
      </c>
      <c r="I45" s="1">
        <v>96.950101000000004</v>
      </c>
      <c r="J45" s="20">
        <v>49.3</v>
      </c>
      <c r="K45" s="1">
        <v>96.950101000000004</v>
      </c>
      <c r="L45" s="1">
        <v>4779.6400000000003</v>
      </c>
      <c r="M45" s="42" t="s">
        <v>2512</v>
      </c>
      <c r="O45" s="2" t="s">
        <v>2463</v>
      </c>
      <c r="Q45" t="s">
        <v>610</v>
      </c>
    </row>
    <row r="46" spans="1:17" ht="15" customHeight="1" x14ac:dyDescent="0.25">
      <c r="A46" s="3" t="s">
        <v>1030</v>
      </c>
      <c r="B46" s="4" t="s">
        <v>2515</v>
      </c>
      <c r="C46" t="s">
        <v>973</v>
      </c>
      <c r="D46">
        <v>1</v>
      </c>
      <c r="E46" t="s">
        <v>974</v>
      </c>
      <c r="F46" t="s">
        <v>975</v>
      </c>
      <c r="G46" t="s">
        <v>976</v>
      </c>
      <c r="H46" s="1" t="s">
        <v>976</v>
      </c>
      <c r="I46" s="1">
        <v>96.95</v>
      </c>
      <c r="J46" s="20">
        <v>40</v>
      </c>
      <c r="K46" s="1">
        <v>96.95</v>
      </c>
      <c r="L46" s="1">
        <v>3878</v>
      </c>
      <c r="M46" s="42" t="s">
        <v>2512</v>
      </c>
      <c r="O46" s="2" t="s">
        <v>2472</v>
      </c>
      <c r="Q46" t="s">
        <v>611</v>
      </c>
    </row>
    <row r="47" spans="1:17" ht="15" customHeight="1" x14ac:dyDescent="0.25">
      <c r="A47" s="3" t="s">
        <v>1031</v>
      </c>
      <c r="B47" s="4" t="s">
        <v>184</v>
      </c>
      <c r="C47" t="s">
        <v>973</v>
      </c>
      <c r="D47">
        <v>1</v>
      </c>
      <c r="E47" t="s">
        <v>974</v>
      </c>
      <c r="F47" t="s">
        <v>975</v>
      </c>
      <c r="G47" t="s">
        <v>976</v>
      </c>
      <c r="H47" s="1" t="s">
        <v>976</v>
      </c>
      <c r="I47" s="1">
        <v>48.48</v>
      </c>
      <c r="J47" s="20">
        <v>0</v>
      </c>
      <c r="K47" s="1">
        <v>0</v>
      </c>
      <c r="L47" s="1">
        <v>0</v>
      </c>
      <c r="M47" s="42" t="s">
        <v>2516</v>
      </c>
      <c r="Q47" t="s">
        <v>184</v>
      </c>
    </row>
    <row r="48" spans="1:17" ht="15" customHeight="1" x14ac:dyDescent="0.25">
      <c r="A48" s="3" t="s">
        <v>1032</v>
      </c>
      <c r="B48" s="4" t="s">
        <v>2514</v>
      </c>
      <c r="C48" t="s">
        <v>973</v>
      </c>
      <c r="D48">
        <v>1</v>
      </c>
      <c r="E48" t="s">
        <v>974</v>
      </c>
      <c r="F48" t="s">
        <v>975</v>
      </c>
      <c r="G48" t="s">
        <v>976</v>
      </c>
      <c r="H48" s="1" t="s">
        <v>976</v>
      </c>
      <c r="I48" s="1">
        <v>79.790053999999998</v>
      </c>
      <c r="J48" s="20">
        <v>55.3</v>
      </c>
      <c r="K48" s="1">
        <v>79.790053999999998</v>
      </c>
      <c r="L48" s="1">
        <v>4412.3900000000003</v>
      </c>
      <c r="M48" s="42" t="s">
        <v>2516</v>
      </c>
      <c r="O48" s="2" t="s">
        <v>2447</v>
      </c>
      <c r="Q48" t="s">
        <v>612</v>
      </c>
    </row>
    <row r="49" spans="1:17" ht="15" customHeight="1" x14ac:dyDescent="0.25">
      <c r="A49" s="3" t="s">
        <v>1033</v>
      </c>
      <c r="B49" s="4" t="s">
        <v>185</v>
      </c>
      <c r="C49" t="s">
        <v>973</v>
      </c>
      <c r="D49">
        <v>1</v>
      </c>
      <c r="E49" t="s">
        <v>974</v>
      </c>
      <c r="F49" t="s">
        <v>975</v>
      </c>
      <c r="G49" t="s">
        <v>976</v>
      </c>
      <c r="H49" s="1" t="s">
        <v>976</v>
      </c>
      <c r="I49" s="1">
        <v>79.790097000000003</v>
      </c>
      <c r="J49" s="20">
        <v>41.4</v>
      </c>
      <c r="K49" s="1">
        <v>79.790097000000003</v>
      </c>
      <c r="L49" s="1">
        <v>3303.31</v>
      </c>
      <c r="M49" s="42" t="s">
        <v>2516</v>
      </c>
      <c r="Q49" t="s">
        <v>185</v>
      </c>
    </row>
    <row r="50" spans="1:17" ht="15" customHeight="1" x14ac:dyDescent="0.25">
      <c r="A50" s="3" t="s">
        <v>1034</v>
      </c>
      <c r="B50" s="4" t="s">
        <v>186</v>
      </c>
      <c r="C50" t="s">
        <v>973</v>
      </c>
      <c r="D50">
        <v>1</v>
      </c>
      <c r="E50" t="s">
        <v>974</v>
      </c>
      <c r="F50" t="s">
        <v>975</v>
      </c>
      <c r="G50" t="s">
        <v>976</v>
      </c>
      <c r="H50" s="1" t="s">
        <v>976</v>
      </c>
      <c r="I50" s="1">
        <v>39.979999999999997</v>
      </c>
      <c r="J50" s="20">
        <v>60</v>
      </c>
      <c r="K50" s="1">
        <v>39.979999999999997</v>
      </c>
      <c r="L50" s="1">
        <v>2398.8000000000002</v>
      </c>
      <c r="M50" s="42" t="s">
        <v>2517</v>
      </c>
      <c r="Q50" t="s">
        <v>186</v>
      </c>
    </row>
    <row r="51" spans="1:17" ht="15" customHeight="1" x14ac:dyDescent="0.25">
      <c r="A51" s="41" t="s">
        <v>1034</v>
      </c>
      <c r="B51" s="3" t="s">
        <v>186</v>
      </c>
      <c r="C51" s="41" t="s">
        <v>973</v>
      </c>
      <c r="D51">
        <v>4</v>
      </c>
      <c r="E51" t="s">
        <v>1018</v>
      </c>
      <c r="F51" t="s">
        <v>975</v>
      </c>
      <c r="G51" t="s">
        <v>976</v>
      </c>
      <c r="H51" s="1" t="s">
        <v>976</v>
      </c>
      <c r="I51" s="1">
        <v>39.979999999999997</v>
      </c>
      <c r="J51" s="20">
        <v>30</v>
      </c>
      <c r="K51" s="1">
        <v>39.979999999999997</v>
      </c>
      <c r="L51" s="1">
        <v>1199.4000000000001</v>
      </c>
      <c r="M51" s="42" t="s">
        <v>2517</v>
      </c>
      <c r="Q51" t="s">
        <v>186</v>
      </c>
    </row>
    <row r="52" spans="1:17" ht="15" customHeight="1" x14ac:dyDescent="0.25">
      <c r="A52" s="3" t="s">
        <v>1035</v>
      </c>
      <c r="B52" s="4" t="s">
        <v>2519</v>
      </c>
      <c r="C52" t="s">
        <v>973</v>
      </c>
      <c r="D52">
        <v>1</v>
      </c>
      <c r="E52" t="s">
        <v>974</v>
      </c>
      <c r="F52" t="s">
        <v>975</v>
      </c>
      <c r="G52" t="s">
        <v>976</v>
      </c>
      <c r="H52" s="1" t="s">
        <v>976</v>
      </c>
      <c r="I52" s="1">
        <v>39.9</v>
      </c>
      <c r="J52" s="20">
        <v>100</v>
      </c>
      <c r="K52" s="1">
        <v>39.9</v>
      </c>
      <c r="L52" s="1">
        <v>3990</v>
      </c>
      <c r="M52" s="42" t="s">
        <v>2518</v>
      </c>
      <c r="O52" s="2" t="s">
        <v>2463</v>
      </c>
      <c r="Q52" t="s">
        <v>613</v>
      </c>
    </row>
    <row r="53" spans="1:17" ht="15" customHeight="1" x14ac:dyDescent="0.25">
      <c r="A53" s="3" t="s">
        <v>1036</v>
      </c>
      <c r="B53" s="4" t="s">
        <v>2521</v>
      </c>
      <c r="C53" t="s">
        <v>973</v>
      </c>
      <c r="D53">
        <v>1</v>
      </c>
      <c r="E53" t="s">
        <v>974</v>
      </c>
      <c r="F53" t="s">
        <v>975</v>
      </c>
      <c r="G53" t="s">
        <v>976</v>
      </c>
      <c r="H53" s="1" t="s">
        <v>976</v>
      </c>
      <c r="I53" s="1">
        <v>39.9</v>
      </c>
      <c r="J53" s="20">
        <v>50</v>
      </c>
      <c r="K53" s="1">
        <v>39.9</v>
      </c>
      <c r="L53" s="1">
        <v>1995</v>
      </c>
      <c r="M53" s="42" t="s">
        <v>2520</v>
      </c>
      <c r="O53" s="2" t="s">
        <v>2508</v>
      </c>
      <c r="Q53" t="s">
        <v>614</v>
      </c>
    </row>
    <row r="54" spans="1:17" ht="15" customHeight="1" x14ac:dyDescent="0.25">
      <c r="A54" s="3" t="s">
        <v>1037</v>
      </c>
      <c r="B54" s="4" t="s">
        <v>2523</v>
      </c>
      <c r="C54" t="s">
        <v>973</v>
      </c>
      <c r="D54">
        <v>1</v>
      </c>
      <c r="E54" t="s">
        <v>974</v>
      </c>
      <c r="F54" t="s">
        <v>975</v>
      </c>
      <c r="G54" t="s">
        <v>976</v>
      </c>
      <c r="H54" s="1" t="s">
        <v>976</v>
      </c>
      <c r="I54" s="1">
        <v>0</v>
      </c>
      <c r="J54" s="20">
        <v>0</v>
      </c>
      <c r="K54" s="1">
        <v>0</v>
      </c>
      <c r="L54" s="1">
        <v>0</v>
      </c>
      <c r="M54" s="42" t="s">
        <v>2522</v>
      </c>
      <c r="O54" s="2" t="s">
        <v>2467</v>
      </c>
      <c r="Q54" t="s">
        <v>615</v>
      </c>
    </row>
    <row r="55" spans="1:17" ht="15" customHeight="1" x14ac:dyDescent="0.25">
      <c r="A55" s="3" t="s">
        <v>1038</v>
      </c>
      <c r="B55" s="4" t="s">
        <v>2525</v>
      </c>
      <c r="C55" t="s">
        <v>976</v>
      </c>
      <c r="D55">
        <v>1</v>
      </c>
      <c r="E55" t="s">
        <v>974</v>
      </c>
      <c r="F55" t="s">
        <v>975</v>
      </c>
      <c r="G55" t="s">
        <v>976</v>
      </c>
      <c r="H55" s="1" t="s">
        <v>976</v>
      </c>
      <c r="I55" s="1">
        <v>59</v>
      </c>
      <c r="J55" s="20">
        <v>3</v>
      </c>
      <c r="K55" s="1">
        <v>56.05</v>
      </c>
      <c r="L55" s="1">
        <v>168.15</v>
      </c>
      <c r="M55" s="42" t="s">
        <v>2524</v>
      </c>
      <c r="O55" s="2" t="s">
        <v>2443</v>
      </c>
      <c r="Q55" t="s">
        <v>187</v>
      </c>
    </row>
    <row r="56" spans="1:17" ht="15" customHeight="1" x14ac:dyDescent="0.25">
      <c r="A56" s="3" t="s">
        <v>1039</v>
      </c>
      <c r="B56" s="4" t="s">
        <v>2527</v>
      </c>
      <c r="C56" t="s">
        <v>973</v>
      </c>
      <c r="D56">
        <v>1</v>
      </c>
      <c r="E56" t="s">
        <v>974</v>
      </c>
      <c r="F56" t="s">
        <v>975</v>
      </c>
      <c r="G56" t="s">
        <v>976</v>
      </c>
      <c r="H56" s="1" t="s">
        <v>976</v>
      </c>
      <c r="I56" s="1">
        <v>59.96</v>
      </c>
      <c r="J56" s="20">
        <v>0</v>
      </c>
      <c r="K56" s="1">
        <v>0</v>
      </c>
      <c r="L56" s="1">
        <v>0</v>
      </c>
      <c r="M56" s="42" t="s">
        <v>2526</v>
      </c>
      <c r="O56" s="2" t="s">
        <v>2447</v>
      </c>
      <c r="Q56" t="s">
        <v>616</v>
      </c>
    </row>
    <row r="57" spans="1:17" ht="15" customHeight="1" x14ac:dyDescent="0.25">
      <c r="A57" s="3" t="s">
        <v>1040</v>
      </c>
      <c r="B57" s="4" t="s">
        <v>2527</v>
      </c>
      <c r="C57" t="s">
        <v>973</v>
      </c>
      <c r="D57">
        <v>1</v>
      </c>
      <c r="E57" t="s">
        <v>974</v>
      </c>
      <c r="F57" t="s">
        <v>975</v>
      </c>
      <c r="G57" t="s">
        <v>976</v>
      </c>
      <c r="H57" s="1" t="s">
        <v>976</v>
      </c>
      <c r="I57" s="1">
        <v>59.96</v>
      </c>
      <c r="J57" s="20">
        <v>0</v>
      </c>
      <c r="K57" s="1">
        <v>0</v>
      </c>
      <c r="L57" s="1">
        <v>0</v>
      </c>
      <c r="M57" s="42" t="s">
        <v>2526</v>
      </c>
      <c r="O57" s="2" t="s">
        <v>2482</v>
      </c>
      <c r="Q57" t="s">
        <v>617</v>
      </c>
    </row>
    <row r="58" spans="1:17" ht="15" customHeight="1" x14ac:dyDescent="0.25">
      <c r="A58" s="3" t="s">
        <v>1041</v>
      </c>
      <c r="B58" s="4" t="s">
        <v>2527</v>
      </c>
      <c r="C58" t="s">
        <v>973</v>
      </c>
      <c r="D58">
        <v>1</v>
      </c>
      <c r="E58" t="s">
        <v>974</v>
      </c>
      <c r="F58" t="s">
        <v>975</v>
      </c>
      <c r="G58" t="s">
        <v>976</v>
      </c>
      <c r="H58" s="1" t="s">
        <v>976</v>
      </c>
      <c r="I58" s="1">
        <v>59.96</v>
      </c>
      <c r="J58" s="20">
        <v>0</v>
      </c>
      <c r="K58" s="1">
        <v>0</v>
      </c>
      <c r="L58" s="1">
        <v>0</v>
      </c>
      <c r="M58" s="42" t="s">
        <v>2526</v>
      </c>
      <c r="O58" s="2" t="s">
        <v>2528</v>
      </c>
      <c r="Q58" t="s">
        <v>618</v>
      </c>
    </row>
    <row r="59" spans="1:17" ht="15" customHeight="1" x14ac:dyDescent="0.25">
      <c r="A59" s="3" t="s">
        <v>2208</v>
      </c>
      <c r="B59" s="4" t="s">
        <v>544</v>
      </c>
      <c r="C59" t="s">
        <v>973</v>
      </c>
      <c r="D59">
        <v>1</v>
      </c>
      <c r="E59" t="s">
        <v>974</v>
      </c>
      <c r="F59" t="s">
        <v>975</v>
      </c>
      <c r="G59" t="s">
        <v>976</v>
      </c>
      <c r="H59" s="1" t="s">
        <v>976</v>
      </c>
      <c r="I59" s="1">
        <v>59.96</v>
      </c>
      <c r="J59" s="20">
        <v>0</v>
      </c>
      <c r="K59" s="1">
        <v>0</v>
      </c>
      <c r="L59" s="1">
        <v>0</v>
      </c>
      <c r="M59" s="42" t="s">
        <v>2526</v>
      </c>
      <c r="Q59" t="s">
        <v>544</v>
      </c>
    </row>
    <row r="60" spans="1:17" ht="15" customHeight="1" x14ac:dyDescent="0.25">
      <c r="A60" s="3" t="s">
        <v>1042</v>
      </c>
      <c r="B60" s="4" t="s">
        <v>2527</v>
      </c>
      <c r="C60" t="s">
        <v>973</v>
      </c>
      <c r="D60">
        <v>1</v>
      </c>
      <c r="E60" t="s">
        <v>974</v>
      </c>
      <c r="F60" t="s">
        <v>975</v>
      </c>
      <c r="G60" t="s">
        <v>976</v>
      </c>
      <c r="H60" s="1" t="s">
        <v>976</v>
      </c>
      <c r="I60" s="1">
        <v>59.96</v>
      </c>
      <c r="J60" s="20">
        <v>44</v>
      </c>
      <c r="K60" s="1">
        <v>59.96</v>
      </c>
      <c r="L60" s="1">
        <v>2638.24</v>
      </c>
      <c r="M60" s="42" t="s">
        <v>2526</v>
      </c>
      <c r="O60" s="2" t="s">
        <v>2472</v>
      </c>
      <c r="Q60" t="s">
        <v>619</v>
      </c>
    </row>
    <row r="61" spans="1:17" ht="15" customHeight="1" x14ac:dyDescent="0.25">
      <c r="A61" s="3" t="s">
        <v>1043</v>
      </c>
      <c r="B61" s="4" t="s">
        <v>188</v>
      </c>
      <c r="C61" t="s">
        <v>973</v>
      </c>
      <c r="D61">
        <v>1</v>
      </c>
      <c r="E61" t="s">
        <v>974</v>
      </c>
      <c r="F61" t="s">
        <v>975</v>
      </c>
      <c r="G61" t="s">
        <v>1021</v>
      </c>
      <c r="H61" s="1" t="s">
        <v>976</v>
      </c>
      <c r="I61" s="1">
        <v>68.400000000000006</v>
      </c>
      <c r="J61" s="20">
        <v>0</v>
      </c>
      <c r="K61" s="1">
        <v>0</v>
      </c>
      <c r="L61" s="1">
        <v>0</v>
      </c>
      <c r="M61" s="42" t="s">
        <v>2529</v>
      </c>
      <c r="Q61" t="s">
        <v>188</v>
      </c>
    </row>
    <row r="62" spans="1:17" ht="15" customHeight="1" x14ac:dyDescent="0.25">
      <c r="A62" s="3" t="s">
        <v>1044</v>
      </c>
      <c r="B62" s="4" t="s">
        <v>2530</v>
      </c>
      <c r="C62" t="s">
        <v>973</v>
      </c>
      <c r="D62">
        <v>1</v>
      </c>
      <c r="E62" t="s">
        <v>974</v>
      </c>
      <c r="F62" t="s">
        <v>975</v>
      </c>
      <c r="G62" t="s">
        <v>1021</v>
      </c>
      <c r="H62" s="1" t="s">
        <v>976</v>
      </c>
      <c r="I62" s="1">
        <v>68.400000000000006</v>
      </c>
      <c r="J62" s="20">
        <v>0</v>
      </c>
      <c r="K62" s="1">
        <v>0</v>
      </c>
      <c r="L62" s="1">
        <v>0</v>
      </c>
      <c r="M62" s="42" t="s">
        <v>2529</v>
      </c>
      <c r="O62" s="2" t="s">
        <v>2482</v>
      </c>
      <c r="Q62" t="s">
        <v>620</v>
      </c>
    </row>
    <row r="63" spans="1:17" ht="15" customHeight="1" x14ac:dyDescent="0.25">
      <c r="A63" s="3" t="s">
        <v>1045</v>
      </c>
      <c r="B63" s="4" t="s">
        <v>2530</v>
      </c>
      <c r="C63" t="s">
        <v>973</v>
      </c>
      <c r="D63">
        <v>1</v>
      </c>
      <c r="E63" t="s">
        <v>974</v>
      </c>
      <c r="F63" t="s">
        <v>975</v>
      </c>
      <c r="G63" t="s">
        <v>1021</v>
      </c>
      <c r="H63" s="1" t="s">
        <v>976</v>
      </c>
      <c r="I63" s="1">
        <v>68.400000000000006</v>
      </c>
      <c r="J63" s="20">
        <v>0</v>
      </c>
      <c r="K63" s="1">
        <v>0</v>
      </c>
      <c r="L63" s="1">
        <v>0</v>
      </c>
      <c r="M63" s="42" t="s">
        <v>2529</v>
      </c>
      <c r="O63" s="2" t="s">
        <v>2472</v>
      </c>
      <c r="Q63" t="s">
        <v>621</v>
      </c>
    </row>
    <row r="64" spans="1:17" ht="15" customHeight="1" x14ac:dyDescent="0.25">
      <c r="A64" s="3" t="s">
        <v>1046</v>
      </c>
      <c r="B64" s="4" t="s">
        <v>2532</v>
      </c>
      <c r="C64" t="s">
        <v>973</v>
      </c>
      <c r="D64">
        <v>1</v>
      </c>
      <c r="E64" t="s">
        <v>974</v>
      </c>
      <c r="F64" t="s">
        <v>975</v>
      </c>
      <c r="G64" t="s">
        <v>1021</v>
      </c>
      <c r="H64" s="1" t="s">
        <v>976</v>
      </c>
      <c r="I64" s="1">
        <v>72.58</v>
      </c>
      <c r="J64" s="20">
        <v>1.5</v>
      </c>
      <c r="K64" s="1">
        <v>72.58</v>
      </c>
      <c r="L64" s="1">
        <v>108.87</v>
      </c>
      <c r="M64" s="42" t="s">
        <v>2531</v>
      </c>
      <c r="O64" s="2" t="s">
        <v>2482</v>
      </c>
      <c r="Q64" t="s">
        <v>622</v>
      </c>
    </row>
    <row r="65" spans="1:17" ht="15" customHeight="1" x14ac:dyDescent="0.25">
      <c r="A65" s="3" t="s">
        <v>1047</v>
      </c>
      <c r="B65" s="4" t="s">
        <v>2533</v>
      </c>
      <c r="C65" t="s">
        <v>973</v>
      </c>
      <c r="D65">
        <v>1</v>
      </c>
      <c r="E65" t="s">
        <v>974</v>
      </c>
      <c r="F65" t="s">
        <v>975</v>
      </c>
      <c r="G65" t="s">
        <v>1021</v>
      </c>
      <c r="H65" s="1" t="s">
        <v>976</v>
      </c>
      <c r="I65" s="1">
        <v>72.58</v>
      </c>
      <c r="J65" s="20">
        <v>0</v>
      </c>
      <c r="K65" s="1">
        <v>0</v>
      </c>
      <c r="L65" s="1">
        <v>0</v>
      </c>
      <c r="M65" s="42" t="s">
        <v>2531</v>
      </c>
      <c r="O65" s="2" t="s">
        <v>2528</v>
      </c>
      <c r="Q65" t="s">
        <v>623</v>
      </c>
    </row>
    <row r="66" spans="1:17" ht="15" customHeight="1" x14ac:dyDescent="0.25">
      <c r="A66" s="3" t="s">
        <v>1048</v>
      </c>
      <c r="B66" s="4" t="s">
        <v>2533</v>
      </c>
      <c r="C66" t="s">
        <v>973</v>
      </c>
      <c r="D66">
        <v>1</v>
      </c>
      <c r="E66" t="s">
        <v>974</v>
      </c>
      <c r="F66" t="s">
        <v>975</v>
      </c>
      <c r="G66" t="s">
        <v>1021</v>
      </c>
      <c r="H66" s="1" t="s">
        <v>976</v>
      </c>
      <c r="I66" s="1">
        <v>72.58</v>
      </c>
      <c r="J66" s="20">
        <v>0</v>
      </c>
      <c r="K66" s="1">
        <v>0</v>
      </c>
      <c r="L66" s="1">
        <v>0</v>
      </c>
      <c r="M66" s="42" t="s">
        <v>2534</v>
      </c>
      <c r="O66" s="2" t="s">
        <v>2447</v>
      </c>
      <c r="Q66" t="s">
        <v>624</v>
      </c>
    </row>
    <row r="67" spans="1:17" ht="15" customHeight="1" x14ac:dyDescent="0.25">
      <c r="A67" s="3" t="s">
        <v>1049</v>
      </c>
      <c r="B67" s="4" t="s">
        <v>189</v>
      </c>
      <c r="C67" t="s">
        <v>973</v>
      </c>
      <c r="D67">
        <v>1</v>
      </c>
      <c r="E67" t="s">
        <v>974</v>
      </c>
      <c r="F67" t="s">
        <v>975</v>
      </c>
      <c r="G67" t="s">
        <v>1021</v>
      </c>
      <c r="H67" s="1" t="s">
        <v>976</v>
      </c>
      <c r="I67" s="1">
        <v>72.58</v>
      </c>
      <c r="J67" s="20">
        <v>0</v>
      </c>
      <c r="K67" s="1">
        <v>0</v>
      </c>
      <c r="L67" s="1">
        <v>0</v>
      </c>
      <c r="M67" s="42" t="s">
        <v>2534</v>
      </c>
      <c r="Q67" t="s">
        <v>189</v>
      </c>
    </row>
    <row r="68" spans="1:17" ht="15" customHeight="1" x14ac:dyDescent="0.25">
      <c r="A68" s="3" t="s">
        <v>1050</v>
      </c>
      <c r="B68" s="4" t="s">
        <v>2532</v>
      </c>
      <c r="C68" t="s">
        <v>973</v>
      </c>
      <c r="D68">
        <v>1</v>
      </c>
      <c r="E68" t="s">
        <v>974</v>
      </c>
      <c r="F68" t="s">
        <v>975</v>
      </c>
      <c r="G68" t="s">
        <v>1021</v>
      </c>
      <c r="H68" s="1" t="s">
        <v>976</v>
      </c>
      <c r="I68" s="1">
        <v>72.58</v>
      </c>
      <c r="J68" s="20">
        <v>0</v>
      </c>
      <c r="K68" s="1">
        <v>0</v>
      </c>
      <c r="L68" s="1">
        <v>0</v>
      </c>
      <c r="M68" s="42" t="s">
        <v>2534</v>
      </c>
      <c r="O68" s="2" t="s">
        <v>2472</v>
      </c>
      <c r="Q68" t="s">
        <v>625</v>
      </c>
    </row>
    <row r="69" spans="1:17" ht="15" customHeight="1" x14ac:dyDescent="0.25">
      <c r="A69" s="3" t="s">
        <v>1051</v>
      </c>
      <c r="B69" s="4" t="s">
        <v>2532</v>
      </c>
      <c r="C69" t="s">
        <v>973</v>
      </c>
      <c r="D69">
        <v>1</v>
      </c>
      <c r="E69" t="s">
        <v>974</v>
      </c>
      <c r="F69" t="s">
        <v>975</v>
      </c>
      <c r="G69" t="s">
        <v>1021</v>
      </c>
      <c r="H69" s="1" t="s">
        <v>976</v>
      </c>
      <c r="I69" s="1">
        <v>72.58</v>
      </c>
      <c r="J69" s="20">
        <v>0</v>
      </c>
      <c r="K69" s="1">
        <v>0</v>
      </c>
      <c r="L69" s="1">
        <v>0</v>
      </c>
      <c r="M69" s="42" t="s">
        <v>2534</v>
      </c>
      <c r="O69" s="2" t="s">
        <v>2463</v>
      </c>
      <c r="Q69" t="s">
        <v>626</v>
      </c>
    </row>
    <row r="70" spans="1:17" ht="15" customHeight="1" x14ac:dyDescent="0.25">
      <c r="A70" s="3" t="s">
        <v>1052</v>
      </c>
      <c r="B70" s="4" t="s">
        <v>2533</v>
      </c>
      <c r="C70" t="s">
        <v>973</v>
      </c>
      <c r="D70">
        <v>1</v>
      </c>
      <c r="E70" t="s">
        <v>974</v>
      </c>
      <c r="F70" t="s">
        <v>975</v>
      </c>
      <c r="G70" t="s">
        <v>1021</v>
      </c>
      <c r="H70" s="1" t="s">
        <v>976</v>
      </c>
      <c r="I70" s="1">
        <v>72.58</v>
      </c>
      <c r="J70" s="20">
        <v>0</v>
      </c>
      <c r="K70" s="1">
        <v>72.58</v>
      </c>
      <c r="L70" s="1">
        <v>0</v>
      </c>
      <c r="M70" s="42" t="s">
        <v>2534</v>
      </c>
      <c r="O70" s="2" t="s">
        <v>2535</v>
      </c>
      <c r="Q70" t="s">
        <v>627</v>
      </c>
    </row>
    <row r="71" spans="1:17" ht="15" customHeight="1" x14ac:dyDescent="0.25">
      <c r="A71" s="3" t="s">
        <v>1053</v>
      </c>
      <c r="B71" s="4" t="s">
        <v>2537</v>
      </c>
      <c r="C71" t="s">
        <v>973</v>
      </c>
      <c r="D71">
        <v>1</v>
      </c>
      <c r="E71" t="s">
        <v>974</v>
      </c>
      <c r="F71" t="s">
        <v>975</v>
      </c>
      <c r="G71" t="s">
        <v>1021</v>
      </c>
      <c r="H71" s="1" t="s">
        <v>976</v>
      </c>
      <c r="I71" s="1">
        <v>68.98</v>
      </c>
      <c r="J71" s="20">
        <v>-7.5</v>
      </c>
      <c r="K71" s="1">
        <v>0</v>
      </c>
      <c r="L71" s="1">
        <v>0</v>
      </c>
      <c r="M71" s="42" t="s">
        <v>2536</v>
      </c>
      <c r="O71" s="2" t="s">
        <v>2447</v>
      </c>
      <c r="Q71" t="s">
        <v>628</v>
      </c>
    </row>
    <row r="72" spans="1:17" ht="15" customHeight="1" x14ac:dyDescent="0.25">
      <c r="A72" s="3" t="s">
        <v>1054</v>
      </c>
      <c r="B72" s="4" t="s">
        <v>2537</v>
      </c>
      <c r="C72" t="s">
        <v>973</v>
      </c>
      <c r="D72">
        <v>1</v>
      </c>
      <c r="E72" t="s">
        <v>974</v>
      </c>
      <c r="F72" t="s">
        <v>975</v>
      </c>
      <c r="G72" t="s">
        <v>1021</v>
      </c>
      <c r="H72" s="1" t="s">
        <v>976</v>
      </c>
      <c r="I72" s="1">
        <v>68.98</v>
      </c>
      <c r="J72" s="20">
        <v>-5</v>
      </c>
      <c r="K72" s="1">
        <v>0</v>
      </c>
      <c r="L72" s="1">
        <v>0</v>
      </c>
      <c r="M72" s="42" t="s">
        <v>2536</v>
      </c>
      <c r="O72" s="2" t="s">
        <v>2472</v>
      </c>
      <c r="Q72" t="s">
        <v>629</v>
      </c>
    </row>
    <row r="73" spans="1:17" ht="15" customHeight="1" x14ac:dyDescent="0.25">
      <c r="A73" s="3" t="s">
        <v>1055</v>
      </c>
      <c r="B73" s="4" t="s">
        <v>2537</v>
      </c>
      <c r="C73" t="s">
        <v>973</v>
      </c>
      <c r="D73">
        <v>1</v>
      </c>
      <c r="E73" t="s">
        <v>974</v>
      </c>
      <c r="F73" t="s">
        <v>975</v>
      </c>
      <c r="G73" t="s">
        <v>1021</v>
      </c>
      <c r="H73" s="1" t="s">
        <v>976</v>
      </c>
      <c r="I73" s="1">
        <v>68.98</v>
      </c>
      <c r="J73" s="20">
        <v>-4</v>
      </c>
      <c r="K73" s="1">
        <v>0</v>
      </c>
      <c r="L73" s="1">
        <v>0</v>
      </c>
      <c r="M73" s="42" t="s">
        <v>2536</v>
      </c>
      <c r="O73" s="2" t="s">
        <v>2463</v>
      </c>
      <c r="Q73" t="s">
        <v>630</v>
      </c>
    </row>
    <row r="74" spans="1:17" ht="15" customHeight="1" x14ac:dyDescent="0.25">
      <c r="A74" s="3" t="s">
        <v>2033</v>
      </c>
      <c r="B74" s="4" t="s">
        <v>474</v>
      </c>
      <c r="C74" t="s">
        <v>973</v>
      </c>
      <c r="D74">
        <v>1</v>
      </c>
      <c r="E74" t="s">
        <v>974</v>
      </c>
      <c r="F74" t="s">
        <v>975</v>
      </c>
      <c r="G74" t="s">
        <v>1010</v>
      </c>
      <c r="H74" s="1" t="s">
        <v>976</v>
      </c>
      <c r="I74" s="1">
        <v>22.7</v>
      </c>
      <c r="J74" s="20">
        <v>0</v>
      </c>
      <c r="K74" s="1">
        <v>23.8</v>
      </c>
      <c r="L74" s="1">
        <v>0</v>
      </c>
      <c r="M74" s="42" t="s">
        <v>2538</v>
      </c>
      <c r="Q74" t="s">
        <v>474</v>
      </c>
    </row>
    <row r="75" spans="1:17" ht="15" customHeight="1" x14ac:dyDescent="0.25">
      <c r="A75" s="3" t="s">
        <v>2034</v>
      </c>
      <c r="B75" s="4" t="s">
        <v>475</v>
      </c>
      <c r="C75" t="s">
        <v>973</v>
      </c>
      <c r="D75">
        <v>1</v>
      </c>
      <c r="E75" t="s">
        <v>974</v>
      </c>
      <c r="F75" t="s">
        <v>975</v>
      </c>
      <c r="G75" t="s">
        <v>1010</v>
      </c>
      <c r="H75" s="1" t="s">
        <v>976</v>
      </c>
      <c r="I75" s="1">
        <v>23.8</v>
      </c>
      <c r="J75" s="20">
        <v>21</v>
      </c>
      <c r="K75" s="1">
        <v>23.8</v>
      </c>
      <c r="L75" s="1">
        <v>499.8</v>
      </c>
      <c r="M75" s="42" t="s">
        <v>2539</v>
      </c>
      <c r="Q75" t="s">
        <v>475</v>
      </c>
    </row>
    <row r="76" spans="1:17" ht="15" customHeight="1" x14ac:dyDescent="0.25">
      <c r="A76" s="3" t="s">
        <v>2035</v>
      </c>
      <c r="B76" s="4" t="s">
        <v>2541</v>
      </c>
      <c r="C76" t="s">
        <v>973</v>
      </c>
      <c r="D76">
        <v>1</v>
      </c>
      <c r="E76" t="s">
        <v>974</v>
      </c>
      <c r="F76" t="s">
        <v>975</v>
      </c>
      <c r="G76" t="s">
        <v>1010</v>
      </c>
      <c r="H76" s="1" t="s">
        <v>976</v>
      </c>
      <c r="I76" s="1">
        <v>59</v>
      </c>
      <c r="J76" s="20">
        <v>0</v>
      </c>
      <c r="K76" s="1">
        <v>0</v>
      </c>
      <c r="L76" s="1">
        <v>0</v>
      </c>
      <c r="M76" s="42" t="s">
        <v>2540</v>
      </c>
      <c r="O76" s="2" t="s">
        <v>2463</v>
      </c>
      <c r="Q76" t="s">
        <v>631</v>
      </c>
    </row>
    <row r="77" spans="1:17" ht="15" customHeight="1" x14ac:dyDescent="0.25">
      <c r="A77" s="3" t="s">
        <v>2036</v>
      </c>
      <c r="B77" s="4" t="s">
        <v>2541</v>
      </c>
      <c r="C77" t="s">
        <v>973</v>
      </c>
      <c r="D77">
        <v>1</v>
      </c>
      <c r="E77" t="s">
        <v>974</v>
      </c>
      <c r="F77" t="s">
        <v>975</v>
      </c>
      <c r="G77" t="s">
        <v>1010</v>
      </c>
      <c r="H77" s="1" t="s">
        <v>976</v>
      </c>
      <c r="I77" s="1">
        <v>58.5</v>
      </c>
      <c r="J77" s="20">
        <v>58.5</v>
      </c>
      <c r="K77" s="1">
        <v>23.6</v>
      </c>
      <c r="L77" s="1">
        <v>1380.6</v>
      </c>
      <c r="M77" s="42" t="s">
        <v>2542</v>
      </c>
      <c r="O77" s="2" t="s">
        <v>2463</v>
      </c>
      <c r="Q77" t="s">
        <v>631</v>
      </c>
    </row>
    <row r="78" spans="1:17" ht="15" customHeight="1" x14ac:dyDescent="0.25">
      <c r="A78" s="3" t="s">
        <v>2037</v>
      </c>
      <c r="B78" s="4" t="s">
        <v>2544</v>
      </c>
      <c r="C78" t="s">
        <v>973</v>
      </c>
      <c r="D78">
        <v>1</v>
      </c>
      <c r="E78" t="s">
        <v>974</v>
      </c>
      <c r="F78" t="s">
        <v>975</v>
      </c>
      <c r="G78" t="s">
        <v>976</v>
      </c>
      <c r="H78" s="1" t="s">
        <v>976</v>
      </c>
      <c r="I78" s="1">
        <v>28.4</v>
      </c>
      <c r="J78" s="20">
        <v>111.2</v>
      </c>
      <c r="K78" s="1">
        <v>28.4</v>
      </c>
      <c r="L78" s="1">
        <v>3158.08</v>
      </c>
      <c r="M78" s="42" t="s">
        <v>2543</v>
      </c>
      <c r="O78" s="2" t="s">
        <v>2467</v>
      </c>
      <c r="Q78" t="s">
        <v>632</v>
      </c>
    </row>
    <row r="79" spans="1:17" ht="15" customHeight="1" x14ac:dyDescent="0.25">
      <c r="A79" s="3" t="s">
        <v>2038</v>
      </c>
      <c r="B79" s="4" t="s">
        <v>2546</v>
      </c>
      <c r="C79" t="s">
        <v>973</v>
      </c>
      <c r="D79">
        <v>1</v>
      </c>
      <c r="E79" t="s">
        <v>974</v>
      </c>
      <c r="F79" t="s">
        <v>975</v>
      </c>
      <c r="G79" t="s">
        <v>976</v>
      </c>
      <c r="H79" s="1" t="s">
        <v>976</v>
      </c>
      <c r="I79" s="1">
        <v>29.9</v>
      </c>
      <c r="J79" s="20">
        <v>117.5</v>
      </c>
      <c r="K79" s="1">
        <v>29.9</v>
      </c>
      <c r="L79" s="1">
        <v>3513.25</v>
      </c>
      <c r="M79" s="42" t="s">
        <v>2545</v>
      </c>
      <c r="O79" s="2" t="s">
        <v>2463</v>
      </c>
      <c r="Q79" t="s">
        <v>633</v>
      </c>
    </row>
    <row r="80" spans="1:17" ht="15" customHeight="1" x14ac:dyDescent="0.25">
      <c r="A80" s="3" t="s">
        <v>2039</v>
      </c>
      <c r="B80" s="4" t="s">
        <v>2544</v>
      </c>
      <c r="C80" t="s">
        <v>973</v>
      </c>
      <c r="D80">
        <v>1</v>
      </c>
      <c r="E80" t="s">
        <v>974</v>
      </c>
      <c r="F80" t="s">
        <v>975</v>
      </c>
      <c r="G80" t="s">
        <v>976</v>
      </c>
      <c r="H80" s="1" t="s">
        <v>976</v>
      </c>
      <c r="I80" s="1">
        <v>29.9</v>
      </c>
      <c r="J80" s="20">
        <v>112.1</v>
      </c>
      <c r="K80" s="1">
        <v>29.9</v>
      </c>
      <c r="L80" s="1">
        <v>3351.79</v>
      </c>
      <c r="M80" s="42" t="s">
        <v>2547</v>
      </c>
      <c r="O80" s="2" t="s">
        <v>2467</v>
      </c>
      <c r="Q80" t="s">
        <v>632</v>
      </c>
    </row>
    <row r="81" spans="1:17" ht="15" customHeight="1" x14ac:dyDescent="0.25">
      <c r="A81" s="3" t="s">
        <v>2040</v>
      </c>
      <c r="B81" s="4" t="s">
        <v>2549</v>
      </c>
      <c r="C81" t="s">
        <v>973</v>
      </c>
      <c r="D81">
        <v>1</v>
      </c>
      <c r="E81" t="s">
        <v>974</v>
      </c>
      <c r="F81" t="s">
        <v>975</v>
      </c>
      <c r="G81" t="s">
        <v>1010</v>
      </c>
      <c r="H81" s="1" t="s">
        <v>976</v>
      </c>
      <c r="I81" s="1">
        <v>34.6</v>
      </c>
      <c r="J81" s="20">
        <v>60</v>
      </c>
      <c r="K81" s="1">
        <v>34.6</v>
      </c>
      <c r="L81" s="1">
        <v>2076</v>
      </c>
      <c r="M81" s="42" t="s">
        <v>2548</v>
      </c>
      <c r="O81" s="2" t="s">
        <v>2447</v>
      </c>
      <c r="Q81" t="s">
        <v>634</v>
      </c>
    </row>
    <row r="82" spans="1:17" ht="15" customHeight="1" x14ac:dyDescent="0.25">
      <c r="A82" s="3" t="s">
        <v>2041</v>
      </c>
      <c r="B82" s="4" t="s">
        <v>2549</v>
      </c>
      <c r="C82" t="s">
        <v>973</v>
      </c>
      <c r="D82">
        <v>1</v>
      </c>
      <c r="E82" t="s">
        <v>974</v>
      </c>
      <c r="F82" t="s">
        <v>975</v>
      </c>
      <c r="G82" t="s">
        <v>1010</v>
      </c>
      <c r="H82" s="1" t="s">
        <v>976</v>
      </c>
      <c r="I82" s="1">
        <v>34.6</v>
      </c>
      <c r="J82" s="20">
        <v>60</v>
      </c>
      <c r="K82" s="1">
        <v>34.6</v>
      </c>
      <c r="L82" s="1">
        <v>2076</v>
      </c>
      <c r="M82" s="42" t="s">
        <v>2550</v>
      </c>
      <c r="O82" s="2" t="s">
        <v>2535</v>
      </c>
      <c r="Q82" t="s">
        <v>635</v>
      </c>
    </row>
    <row r="83" spans="1:17" ht="15" customHeight="1" x14ac:dyDescent="0.25">
      <c r="A83" s="3" t="s">
        <v>2245</v>
      </c>
      <c r="B83" s="4" t="s">
        <v>2552</v>
      </c>
      <c r="C83" t="s">
        <v>973</v>
      </c>
      <c r="D83">
        <v>1</v>
      </c>
      <c r="E83" t="s">
        <v>974</v>
      </c>
      <c r="F83" t="s">
        <v>975</v>
      </c>
      <c r="G83" t="s">
        <v>976</v>
      </c>
      <c r="H83" s="1" t="s">
        <v>976</v>
      </c>
      <c r="I83" s="1">
        <v>43.9</v>
      </c>
      <c r="J83" s="20">
        <v>4.5</v>
      </c>
      <c r="K83" s="1">
        <v>41.704999999999998</v>
      </c>
      <c r="L83" s="1">
        <v>187.67</v>
      </c>
      <c r="M83" s="42" t="s">
        <v>2551</v>
      </c>
      <c r="O83" s="2" t="s">
        <v>2482</v>
      </c>
      <c r="Q83" t="s">
        <v>636</v>
      </c>
    </row>
    <row r="84" spans="1:17" ht="15" customHeight="1" x14ac:dyDescent="0.25">
      <c r="A84" s="41" t="s">
        <v>2245</v>
      </c>
      <c r="B84" s="3" t="s">
        <v>2552</v>
      </c>
      <c r="C84" s="41" t="s">
        <v>973</v>
      </c>
      <c r="D84">
        <v>4</v>
      </c>
      <c r="E84" t="s">
        <v>1018</v>
      </c>
      <c r="F84" t="s">
        <v>975</v>
      </c>
      <c r="G84" t="s">
        <v>976</v>
      </c>
      <c r="H84" s="1" t="s">
        <v>976</v>
      </c>
      <c r="I84" s="1">
        <v>43.9</v>
      </c>
      <c r="J84" s="20">
        <v>0</v>
      </c>
      <c r="K84" s="1">
        <v>43.9</v>
      </c>
      <c r="L84" s="1">
        <v>0</v>
      </c>
      <c r="M84" s="42" t="s">
        <v>2551</v>
      </c>
      <c r="O84" s="2" t="s">
        <v>2482</v>
      </c>
      <c r="Q84" t="s">
        <v>636</v>
      </c>
    </row>
    <row r="85" spans="1:17" ht="15" customHeight="1" x14ac:dyDescent="0.25">
      <c r="A85" s="3" t="s">
        <v>1056</v>
      </c>
      <c r="B85" s="4" t="s">
        <v>190</v>
      </c>
      <c r="C85" t="s">
        <v>973</v>
      </c>
      <c r="D85">
        <v>1</v>
      </c>
      <c r="E85" t="s">
        <v>974</v>
      </c>
      <c r="F85" t="s">
        <v>975</v>
      </c>
      <c r="G85" t="s">
        <v>976</v>
      </c>
      <c r="H85" s="1" t="s">
        <v>976</v>
      </c>
      <c r="I85" s="1">
        <v>51.42</v>
      </c>
      <c r="J85" s="20">
        <v>0</v>
      </c>
      <c r="K85" s="1">
        <v>51.42</v>
      </c>
      <c r="L85" s="1">
        <v>0</v>
      </c>
      <c r="M85" s="42" t="s">
        <v>2553</v>
      </c>
      <c r="Q85" t="s">
        <v>190</v>
      </c>
    </row>
    <row r="86" spans="1:17" ht="15" customHeight="1" x14ac:dyDescent="0.25">
      <c r="A86" s="3" t="s">
        <v>2042</v>
      </c>
      <c r="B86" s="4" t="s">
        <v>476</v>
      </c>
      <c r="C86" t="s">
        <v>973</v>
      </c>
      <c r="D86">
        <v>1</v>
      </c>
      <c r="E86" t="s">
        <v>974</v>
      </c>
      <c r="F86" t="s">
        <v>975</v>
      </c>
      <c r="G86" t="s">
        <v>976</v>
      </c>
      <c r="H86" s="1" t="s">
        <v>976</v>
      </c>
      <c r="I86" s="1">
        <v>75</v>
      </c>
      <c r="J86" s="20">
        <v>60.5</v>
      </c>
      <c r="K86" s="1">
        <v>71.652891999999994</v>
      </c>
      <c r="L86" s="1">
        <v>4335</v>
      </c>
      <c r="M86" s="42" t="s">
        <v>2554</v>
      </c>
      <c r="Q86" t="s">
        <v>476</v>
      </c>
    </row>
    <row r="87" spans="1:17" ht="15" customHeight="1" x14ac:dyDescent="0.25">
      <c r="A87" s="3" t="s">
        <v>1057</v>
      </c>
      <c r="B87" s="4" t="s">
        <v>2556</v>
      </c>
      <c r="C87" t="s">
        <v>973</v>
      </c>
      <c r="D87">
        <v>1</v>
      </c>
      <c r="E87" t="s">
        <v>974</v>
      </c>
      <c r="F87" t="s">
        <v>975</v>
      </c>
      <c r="G87" t="s">
        <v>976</v>
      </c>
      <c r="H87" s="1" t="s">
        <v>976</v>
      </c>
      <c r="I87" s="1">
        <v>66</v>
      </c>
      <c r="J87" s="20">
        <v>7.9</v>
      </c>
      <c r="K87" s="1">
        <v>66</v>
      </c>
      <c r="L87" s="1">
        <v>521.4</v>
      </c>
      <c r="M87" s="42" t="s">
        <v>2555</v>
      </c>
      <c r="O87" s="2" t="s">
        <v>2472</v>
      </c>
      <c r="Q87" t="s">
        <v>637</v>
      </c>
    </row>
    <row r="88" spans="1:17" ht="15" customHeight="1" x14ac:dyDescent="0.25">
      <c r="A88" s="41" t="s">
        <v>1057</v>
      </c>
      <c r="B88" s="3" t="s">
        <v>2556</v>
      </c>
      <c r="C88" s="41" t="s">
        <v>973</v>
      </c>
      <c r="D88">
        <v>4</v>
      </c>
      <c r="E88" t="s">
        <v>1018</v>
      </c>
      <c r="F88" t="s">
        <v>975</v>
      </c>
      <c r="G88" t="s">
        <v>976</v>
      </c>
      <c r="H88" s="1" t="s">
        <v>976</v>
      </c>
      <c r="I88" s="1">
        <v>66</v>
      </c>
      <c r="J88" s="20">
        <v>61.4</v>
      </c>
      <c r="K88" s="1">
        <v>66</v>
      </c>
      <c r="L88" s="1">
        <v>4052.4</v>
      </c>
      <c r="M88" s="42" t="s">
        <v>2555</v>
      </c>
      <c r="O88" s="2" t="s">
        <v>2472</v>
      </c>
      <c r="Q88" t="s">
        <v>637</v>
      </c>
    </row>
    <row r="89" spans="1:17" ht="15" customHeight="1" x14ac:dyDescent="0.25">
      <c r="A89" s="3" t="s">
        <v>2209</v>
      </c>
      <c r="B89" s="4" t="s">
        <v>545</v>
      </c>
      <c r="C89" t="s">
        <v>973</v>
      </c>
      <c r="D89">
        <v>1</v>
      </c>
      <c r="E89" t="s">
        <v>974</v>
      </c>
      <c r="F89" t="s">
        <v>975</v>
      </c>
      <c r="G89" t="s">
        <v>976</v>
      </c>
      <c r="H89" s="1" t="s">
        <v>976</v>
      </c>
      <c r="I89" s="1">
        <v>66</v>
      </c>
      <c r="J89" s="20">
        <v>19</v>
      </c>
      <c r="K89" s="1">
        <v>66</v>
      </c>
      <c r="L89" s="1">
        <v>1254</v>
      </c>
      <c r="M89" s="42" t="s">
        <v>2557</v>
      </c>
      <c r="Q89" t="s">
        <v>545</v>
      </c>
    </row>
    <row r="90" spans="1:17" ht="15" customHeight="1" x14ac:dyDescent="0.25">
      <c r="A90" s="3" t="s">
        <v>2043</v>
      </c>
      <c r="B90" s="4" t="s">
        <v>2559</v>
      </c>
      <c r="C90" t="s">
        <v>973</v>
      </c>
      <c r="D90">
        <v>1</v>
      </c>
      <c r="E90" t="s">
        <v>974</v>
      </c>
      <c r="F90" t="s">
        <v>975</v>
      </c>
      <c r="G90" t="s">
        <v>976</v>
      </c>
      <c r="H90" s="1" t="s">
        <v>976</v>
      </c>
      <c r="I90" s="1">
        <v>85.9</v>
      </c>
      <c r="J90" s="20">
        <v>0</v>
      </c>
      <c r="K90" s="1">
        <v>0</v>
      </c>
      <c r="L90" s="1">
        <v>0</v>
      </c>
      <c r="M90" s="42" t="s">
        <v>2558</v>
      </c>
      <c r="O90" s="2" t="s">
        <v>2472</v>
      </c>
      <c r="Q90" t="s">
        <v>638</v>
      </c>
    </row>
    <row r="91" spans="1:17" ht="15" customHeight="1" x14ac:dyDescent="0.25">
      <c r="A91" s="3" t="s">
        <v>2044</v>
      </c>
      <c r="B91" s="4" t="s">
        <v>2561</v>
      </c>
      <c r="C91" t="s">
        <v>973</v>
      </c>
      <c r="D91">
        <v>1</v>
      </c>
      <c r="E91" t="s">
        <v>974</v>
      </c>
      <c r="F91" t="s">
        <v>975</v>
      </c>
      <c r="G91" t="s">
        <v>976</v>
      </c>
      <c r="H91" s="1" t="s">
        <v>976</v>
      </c>
      <c r="I91" s="1">
        <v>85.6</v>
      </c>
      <c r="J91" s="20">
        <v>14.5</v>
      </c>
      <c r="K91" s="1">
        <v>5</v>
      </c>
      <c r="L91" s="1">
        <v>72.5</v>
      </c>
      <c r="M91" s="42" t="s">
        <v>2560</v>
      </c>
      <c r="O91" s="2" t="s">
        <v>2472</v>
      </c>
      <c r="Q91" t="s">
        <v>639</v>
      </c>
    </row>
    <row r="92" spans="1:17" ht="15" customHeight="1" x14ac:dyDescent="0.25">
      <c r="A92" s="3" t="s">
        <v>2045</v>
      </c>
      <c r="B92" s="4" t="s">
        <v>2561</v>
      </c>
      <c r="C92" t="s">
        <v>973</v>
      </c>
      <c r="D92">
        <v>1</v>
      </c>
      <c r="E92" t="s">
        <v>974</v>
      </c>
      <c r="F92" t="s">
        <v>975</v>
      </c>
      <c r="G92" t="s">
        <v>976</v>
      </c>
      <c r="H92" s="1" t="s">
        <v>976</v>
      </c>
      <c r="I92" s="1">
        <v>85.6</v>
      </c>
      <c r="J92" s="20">
        <v>8.6</v>
      </c>
      <c r="K92" s="1">
        <v>5</v>
      </c>
      <c r="L92" s="1">
        <v>43</v>
      </c>
      <c r="M92" s="42" t="s">
        <v>2562</v>
      </c>
      <c r="O92" s="2" t="s">
        <v>2472</v>
      </c>
      <c r="Q92" t="s">
        <v>639</v>
      </c>
    </row>
    <row r="93" spans="1:17" ht="15" customHeight="1" x14ac:dyDescent="0.25">
      <c r="A93" s="3" t="s">
        <v>1058</v>
      </c>
      <c r="B93" s="4" t="s">
        <v>191</v>
      </c>
      <c r="C93" t="s">
        <v>973</v>
      </c>
      <c r="D93">
        <v>1</v>
      </c>
      <c r="E93" t="s">
        <v>974</v>
      </c>
      <c r="F93" t="s">
        <v>975</v>
      </c>
      <c r="G93" t="s">
        <v>976</v>
      </c>
      <c r="H93" s="1" t="s">
        <v>976</v>
      </c>
      <c r="I93" s="1">
        <v>86.4</v>
      </c>
      <c r="J93" s="20">
        <v>103.3</v>
      </c>
      <c r="K93" s="1">
        <v>86.4</v>
      </c>
      <c r="L93" s="1">
        <v>8925.1200000000008</v>
      </c>
      <c r="M93" s="42" t="s">
        <v>2563</v>
      </c>
      <c r="Q93" t="s">
        <v>191</v>
      </c>
    </row>
    <row r="94" spans="1:17" ht="15" customHeight="1" x14ac:dyDescent="0.25">
      <c r="A94" s="3" t="s">
        <v>1059</v>
      </c>
      <c r="B94" s="4" t="s">
        <v>2565</v>
      </c>
      <c r="C94" t="s">
        <v>973</v>
      </c>
      <c r="D94">
        <v>1</v>
      </c>
      <c r="E94" t="s">
        <v>974</v>
      </c>
      <c r="F94" t="s">
        <v>975</v>
      </c>
      <c r="G94" t="s">
        <v>976</v>
      </c>
      <c r="H94" s="1" t="s">
        <v>976</v>
      </c>
      <c r="I94" s="1">
        <v>62.96</v>
      </c>
      <c r="J94" s="20">
        <v>52.8</v>
      </c>
      <c r="K94" s="1">
        <v>62.959921999999999</v>
      </c>
      <c r="L94" s="1">
        <v>3324.28</v>
      </c>
      <c r="M94" s="42" t="s">
        <v>2564</v>
      </c>
      <c r="O94" s="2" t="s">
        <v>2443</v>
      </c>
      <c r="Q94" t="s">
        <v>640</v>
      </c>
    </row>
    <row r="95" spans="1:17" ht="15" customHeight="1" x14ac:dyDescent="0.25">
      <c r="A95" s="41" t="s">
        <v>1059</v>
      </c>
      <c r="B95" s="3" t="s">
        <v>2565</v>
      </c>
      <c r="C95" s="41" t="s">
        <v>973</v>
      </c>
      <c r="D95">
        <v>4</v>
      </c>
      <c r="E95" t="s">
        <v>1018</v>
      </c>
      <c r="F95" t="s">
        <v>975</v>
      </c>
      <c r="G95" t="s">
        <v>976</v>
      </c>
      <c r="H95" s="1" t="s">
        <v>976</v>
      </c>
      <c r="I95" s="1">
        <v>62.96</v>
      </c>
      <c r="J95" s="20">
        <v>99</v>
      </c>
      <c r="K95" s="1">
        <v>62.96</v>
      </c>
      <c r="L95" s="1">
        <v>6233.04</v>
      </c>
      <c r="M95" s="42" t="s">
        <v>2564</v>
      </c>
      <c r="O95" s="2" t="s">
        <v>2443</v>
      </c>
      <c r="Q95" t="s">
        <v>640</v>
      </c>
    </row>
    <row r="96" spans="1:17" ht="15" customHeight="1" x14ac:dyDescent="0.25">
      <c r="A96" s="3" t="s">
        <v>1060</v>
      </c>
      <c r="B96" s="4" t="s">
        <v>2565</v>
      </c>
      <c r="C96" t="s">
        <v>973</v>
      </c>
      <c r="D96">
        <v>1</v>
      </c>
      <c r="E96" t="s">
        <v>974</v>
      </c>
      <c r="F96" t="s">
        <v>975</v>
      </c>
      <c r="G96" t="s">
        <v>976</v>
      </c>
      <c r="H96" s="1" t="s">
        <v>976</v>
      </c>
      <c r="I96" s="1">
        <v>62.96</v>
      </c>
      <c r="J96" s="20">
        <v>0.3</v>
      </c>
      <c r="K96" s="1">
        <v>62.960025999999999</v>
      </c>
      <c r="L96" s="1">
        <v>18.89</v>
      </c>
      <c r="M96" s="42" t="s">
        <v>2564</v>
      </c>
      <c r="O96" s="2" t="s">
        <v>2447</v>
      </c>
      <c r="Q96" t="s">
        <v>641</v>
      </c>
    </row>
    <row r="97" spans="1:17" ht="15" customHeight="1" x14ac:dyDescent="0.25">
      <c r="A97" s="41" t="s">
        <v>1060</v>
      </c>
      <c r="B97" s="3" t="s">
        <v>2565</v>
      </c>
      <c r="C97" s="41" t="s">
        <v>973</v>
      </c>
      <c r="D97">
        <v>4</v>
      </c>
      <c r="E97" t="s">
        <v>1018</v>
      </c>
      <c r="F97" t="s">
        <v>975</v>
      </c>
      <c r="G97" t="s">
        <v>976</v>
      </c>
      <c r="H97" s="1" t="s">
        <v>976</v>
      </c>
      <c r="I97" s="1">
        <v>62.96</v>
      </c>
      <c r="J97" s="20">
        <v>70</v>
      </c>
      <c r="K97" s="1">
        <v>62.96</v>
      </c>
      <c r="L97" s="1">
        <v>4407.2</v>
      </c>
      <c r="M97" s="42" t="s">
        <v>2564</v>
      </c>
      <c r="O97" s="2" t="s">
        <v>2447</v>
      </c>
      <c r="Q97" t="s">
        <v>641</v>
      </c>
    </row>
    <row r="98" spans="1:17" ht="15" customHeight="1" x14ac:dyDescent="0.25">
      <c r="A98" s="3" t="s">
        <v>1061</v>
      </c>
      <c r="B98" s="4" t="s">
        <v>2565</v>
      </c>
      <c r="C98" t="s">
        <v>973</v>
      </c>
      <c r="D98">
        <v>1</v>
      </c>
      <c r="E98" t="s">
        <v>974</v>
      </c>
      <c r="F98" t="s">
        <v>975</v>
      </c>
      <c r="G98" t="s">
        <v>976</v>
      </c>
      <c r="H98" s="1" t="s">
        <v>976</v>
      </c>
      <c r="I98" s="1">
        <v>62.96</v>
      </c>
      <c r="J98" s="20">
        <v>40.9</v>
      </c>
      <c r="K98" s="1">
        <v>62.959949999999999</v>
      </c>
      <c r="L98" s="1">
        <v>2575.06</v>
      </c>
      <c r="M98" s="42" t="s">
        <v>2564</v>
      </c>
      <c r="O98" s="2" t="s">
        <v>2482</v>
      </c>
      <c r="Q98" t="s">
        <v>642</v>
      </c>
    </row>
    <row r="99" spans="1:17" ht="15" customHeight="1" x14ac:dyDescent="0.25">
      <c r="A99" s="41" t="s">
        <v>1061</v>
      </c>
      <c r="B99" s="3" t="s">
        <v>2565</v>
      </c>
      <c r="C99" s="41" t="s">
        <v>973</v>
      </c>
      <c r="D99">
        <v>4</v>
      </c>
      <c r="E99" t="s">
        <v>1018</v>
      </c>
      <c r="F99" t="s">
        <v>975</v>
      </c>
      <c r="G99" t="s">
        <v>976</v>
      </c>
      <c r="H99" s="1" t="s">
        <v>976</v>
      </c>
      <c r="I99" s="1">
        <v>62.96</v>
      </c>
      <c r="J99" s="20">
        <v>70</v>
      </c>
      <c r="K99" s="1">
        <v>62.96</v>
      </c>
      <c r="L99" s="1">
        <v>4407.2</v>
      </c>
      <c r="M99" s="42" t="s">
        <v>2564</v>
      </c>
      <c r="O99" s="2" t="s">
        <v>2482</v>
      </c>
      <c r="Q99" t="s">
        <v>642</v>
      </c>
    </row>
    <row r="100" spans="1:17" ht="15" customHeight="1" x14ac:dyDescent="0.25">
      <c r="A100" s="3" t="s">
        <v>1062</v>
      </c>
      <c r="B100" s="4" t="s">
        <v>192</v>
      </c>
      <c r="C100" t="s">
        <v>973</v>
      </c>
      <c r="D100">
        <v>1</v>
      </c>
      <c r="E100" t="s">
        <v>974</v>
      </c>
      <c r="F100" t="s">
        <v>975</v>
      </c>
      <c r="G100" t="s">
        <v>976</v>
      </c>
      <c r="H100" s="1" t="s">
        <v>976</v>
      </c>
      <c r="I100" s="1">
        <v>62.96</v>
      </c>
      <c r="J100" s="20">
        <v>0.5</v>
      </c>
      <c r="K100" s="1">
        <v>62.96</v>
      </c>
      <c r="L100" s="1">
        <v>31.48</v>
      </c>
      <c r="M100" s="42" t="s">
        <v>2564</v>
      </c>
      <c r="Q100" t="s">
        <v>192</v>
      </c>
    </row>
    <row r="101" spans="1:17" ht="15" customHeight="1" x14ac:dyDescent="0.25">
      <c r="A101" s="41" t="s">
        <v>1062</v>
      </c>
      <c r="B101" s="3" t="s">
        <v>192</v>
      </c>
      <c r="C101" s="41" t="s">
        <v>973</v>
      </c>
      <c r="D101">
        <v>4</v>
      </c>
      <c r="E101" t="s">
        <v>1018</v>
      </c>
      <c r="F101" t="s">
        <v>975</v>
      </c>
      <c r="G101" t="s">
        <v>976</v>
      </c>
      <c r="H101" s="1" t="s">
        <v>976</v>
      </c>
      <c r="I101" s="1">
        <v>62.96</v>
      </c>
      <c r="J101" s="20">
        <v>70</v>
      </c>
      <c r="K101" s="1">
        <v>62.96</v>
      </c>
      <c r="L101" s="1">
        <v>4407.2</v>
      </c>
      <c r="M101" s="42" t="s">
        <v>2564</v>
      </c>
      <c r="Q101" t="s">
        <v>192</v>
      </c>
    </row>
    <row r="102" spans="1:17" ht="15" customHeight="1" x14ac:dyDescent="0.25">
      <c r="A102" s="3" t="s">
        <v>1063</v>
      </c>
      <c r="B102" s="4" t="s">
        <v>2567</v>
      </c>
      <c r="C102" t="s">
        <v>973</v>
      </c>
      <c r="D102">
        <v>1</v>
      </c>
      <c r="E102" t="s">
        <v>974</v>
      </c>
      <c r="F102" t="s">
        <v>975</v>
      </c>
      <c r="G102" t="s">
        <v>976</v>
      </c>
      <c r="H102" s="1" t="s">
        <v>976</v>
      </c>
      <c r="I102" s="1">
        <v>28.77</v>
      </c>
      <c r="J102" s="20">
        <v>0</v>
      </c>
      <c r="K102" s="1">
        <v>28.77</v>
      </c>
      <c r="L102" s="1">
        <v>0</v>
      </c>
      <c r="M102" s="42" t="s">
        <v>2566</v>
      </c>
      <c r="O102" s="2" t="s">
        <v>2482</v>
      </c>
      <c r="Q102" t="s">
        <v>643</v>
      </c>
    </row>
    <row r="103" spans="1:17" ht="15" customHeight="1" x14ac:dyDescent="0.25">
      <c r="A103" s="3" t="s">
        <v>2046</v>
      </c>
      <c r="B103" s="4" t="s">
        <v>2569</v>
      </c>
      <c r="C103" t="s">
        <v>973</v>
      </c>
      <c r="D103">
        <v>1</v>
      </c>
      <c r="E103" t="s">
        <v>974</v>
      </c>
      <c r="F103" t="s">
        <v>975</v>
      </c>
      <c r="G103" t="s">
        <v>1010</v>
      </c>
      <c r="H103" s="1" t="s">
        <v>976</v>
      </c>
      <c r="I103" s="1">
        <v>37.299999999999997</v>
      </c>
      <c r="J103" s="20">
        <v>62.5</v>
      </c>
      <c r="K103" s="1">
        <v>37.299999999999997</v>
      </c>
      <c r="L103" s="1">
        <v>2331.25</v>
      </c>
      <c r="M103" s="42" t="s">
        <v>2568</v>
      </c>
      <c r="O103" s="2" t="s">
        <v>2463</v>
      </c>
      <c r="Q103" t="s">
        <v>644</v>
      </c>
    </row>
    <row r="104" spans="1:17" ht="15" customHeight="1" x14ac:dyDescent="0.25">
      <c r="A104" s="3" t="s">
        <v>2047</v>
      </c>
      <c r="B104" s="4" t="s">
        <v>477</v>
      </c>
      <c r="C104" t="s">
        <v>973</v>
      </c>
      <c r="D104">
        <v>1</v>
      </c>
      <c r="E104" t="s">
        <v>974</v>
      </c>
      <c r="F104" t="s">
        <v>975</v>
      </c>
      <c r="G104" t="s">
        <v>1010</v>
      </c>
      <c r="H104" s="1" t="s">
        <v>976</v>
      </c>
      <c r="I104" s="1">
        <v>34.5</v>
      </c>
      <c r="J104" s="20">
        <v>0</v>
      </c>
      <c r="K104" s="1">
        <v>0</v>
      </c>
      <c r="L104" s="1">
        <v>0</v>
      </c>
      <c r="M104" s="42" t="s">
        <v>2570</v>
      </c>
      <c r="Q104" t="s">
        <v>477</v>
      </c>
    </row>
    <row r="105" spans="1:17" ht="15" customHeight="1" x14ac:dyDescent="0.25">
      <c r="A105" s="3" t="s">
        <v>2048</v>
      </c>
      <c r="B105" s="4" t="s">
        <v>478</v>
      </c>
      <c r="C105" t="s">
        <v>973</v>
      </c>
      <c r="D105">
        <v>1</v>
      </c>
      <c r="E105" t="s">
        <v>974</v>
      </c>
      <c r="F105" t="s">
        <v>975</v>
      </c>
      <c r="G105" t="s">
        <v>1010</v>
      </c>
      <c r="H105" s="1" t="s">
        <v>976</v>
      </c>
      <c r="I105" s="1">
        <v>58</v>
      </c>
      <c r="J105" s="20">
        <v>-39.5</v>
      </c>
      <c r="K105" s="1">
        <v>58</v>
      </c>
      <c r="L105" s="1">
        <v>-2291</v>
      </c>
      <c r="M105" s="42" t="s">
        <v>2571</v>
      </c>
      <c r="Q105" t="s">
        <v>478</v>
      </c>
    </row>
    <row r="106" spans="1:17" ht="15" customHeight="1" x14ac:dyDescent="0.25">
      <c r="A106" s="41" t="s">
        <v>2048</v>
      </c>
      <c r="B106" s="3" t="s">
        <v>478</v>
      </c>
      <c r="C106" s="41" t="s">
        <v>973</v>
      </c>
      <c r="D106">
        <v>4</v>
      </c>
      <c r="E106" t="s">
        <v>1018</v>
      </c>
      <c r="F106" t="s">
        <v>975</v>
      </c>
      <c r="G106" t="s">
        <v>1010</v>
      </c>
      <c r="H106" s="1" t="s">
        <v>976</v>
      </c>
      <c r="I106" s="1">
        <v>58</v>
      </c>
      <c r="J106" s="20">
        <v>102</v>
      </c>
      <c r="K106" s="1">
        <v>58</v>
      </c>
      <c r="L106" s="1">
        <v>5916</v>
      </c>
      <c r="M106" s="42" t="s">
        <v>2571</v>
      </c>
      <c r="Q106" t="s">
        <v>478</v>
      </c>
    </row>
    <row r="107" spans="1:17" ht="15" customHeight="1" x14ac:dyDescent="0.25">
      <c r="A107" s="3" t="s">
        <v>2049</v>
      </c>
      <c r="B107" s="4" t="s">
        <v>479</v>
      </c>
      <c r="C107" t="s">
        <v>973</v>
      </c>
      <c r="D107">
        <v>1</v>
      </c>
      <c r="E107" t="s">
        <v>974</v>
      </c>
      <c r="F107" t="s">
        <v>975</v>
      </c>
      <c r="G107" t="s">
        <v>1010</v>
      </c>
      <c r="H107" s="1" t="s">
        <v>976</v>
      </c>
      <c r="I107" s="1">
        <v>58</v>
      </c>
      <c r="J107" s="20">
        <v>0</v>
      </c>
      <c r="K107" s="1">
        <v>58.758113000000002</v>
      </c>
      <c r="L107" s="1">
        <v>0</v>
      </c>
      <c r="M107" s="42" t="s">
        <v>2572</v>
      </c>
      <c r="Q107" t="s">
        <v>479</v>
      </c>
    </row>
    <row r="108" spans="1:17" ht="15" customHeight="1" x14ac:dyDescent="0.25">
      <c r="A108" s="3" t="s">
        <v>2246</v>
      </c>
      <c r="B108" s="4" t="s">
        <v>2574</v>
      </c>
      <c r="C108" t="s">
        <v>973</v>
      </c>
      <c r="D108">
        <v>1</v>
      </c>
      <c r="E108" t="s">
        <v>974</v>
      </c>
      <c r="F108" t="s">
        <v>975</v>
      </c>
      <c r="G108" t="s">
        <v>1010</v>
      </c>
      <c r="H108" s="1" t="s">
        <v>976</v>
      </c>
      <c r="I108" s="1">
        <v>45.9</v>
      </c>
      <c r="J108" s="20">
        <v>0</v>
      </c>
      <c r="K108" s="1">
        <v>45.9</v>
      </c>
      <c r="L108" s="1">
        <v>0</v>
      </c>
      <c r="M108" s="42" t="s">
        <v>2573</v>
      </c>
      <c r="O108" s="2" t="s">
        <v>2463</v>
      </c>
      <c r="Q108" t="s">
        <v>645</v>
      </c>
    </row>
    <row r="109" spans="1:17" ht="15" customHeight="1" x14ac:dyDescent="0.25">
      <c r="A109" s="3" t="s">
        <v>2050</v>
      </c>
      <c r="B109" s="4" t="s">
        <v>2559</v>
      </c>
      <c r="C109" t="s">
        <v>973</v>
      </c>
      <c r="D109">
        <v>1</v>
      </c>
      <c r="E109" t="s">
        <v>974</v>
      </c>
      <c r="F109" t="s">
        <v>975</v>
      </c>
      <c r="G109" t="s">
        <v>976</v>
      </c>
      <c r="H109" s="1" t="s">
        <v>976</v>
      </c>
      <c r="I109" s="1">
        <v>73.2</v>
      </c>
      <c r="J109" s="20">
        <v>8</v>
      </c>
      <c r="K109" s="1">
        <v>5</v>
      </c>
      <c r="L109" s="1">
        <v>40</v>
      </c>
      <c r="M109" s="42" t="s">
        <v>2575</v>
      </c>
      <c r="O109" s="2" t="s">
        <v>2443</v>
      </c>
      <c r="Q109" t="s">
        <v>646</v>
      </c>
    </row>
    <row r="110" spans="1:17" ht="15" customHeight="1" x14ac:dyDescent="0.25">
      <c r="A110" s="41" t="s">
        <v>2050</v>
      </c>
      <c r="B110" s="3" t="s">
        <v>2559</v>
      </c>
      <c r="C110" s="41" t="s">
        <v>973</v>
      </c>
      <c r="D110">
        <v>4</v>
      </c>
      <c r="E110" t="s">
        <v>1018</v>
      </c>
      <c r="F110" t="s">
        <v>975</v>
      </c>
      <c r="G110" t="s">
        <v>976</v>
      </c>
      <c r="H110" s="1" t="s">
        <v>976</v>
      </c>
      <c r="I110" s="1">
        <v>73.2</v>
      </c>
      <c r="J110" s="20">
        <v>2</v>
      </c>
      <c r="K110" s="1">
        <v>73.2</v>
      </c>
      <c r="L110" s="1">
        <v>146.4</v>
      </c>
      <c r="M110" s="42" t="s">
        <v>2575</v>
      </c>
      <c r="O110" s="2" t="s">
        <v>2443</v>
      </c>
      <c r="Q110" t="s">
        <v>646</v>
      </c>
    </row>
    <row r="111" spans="1:17" ht="15" customHeight="1" x14ac:dyDescent="0.25">
      <c r="A111" s="3" t="s">
        <v>2051</v>
      </c>
      <c r="B111" s="4" t="s">
        <v>2577</v>
      </c>
      <c r="C111" t="s">
        <v>973</v>
      </c>
      <c r="D111">
        <v>1</v>
      </c>
      <c r="E111" t="s">
        <v>974</v>
      </c>
      <c r="F111" t="s">
        <v>975</v>
      </c>
      <c r="G111" t="s">
        <v>976</v>
      </c>
      <c r="H111" s="1" t="s">
        <v>976</v>
      </c>
      <c r="I111" s="1">
        <v>73.2</v>
      </c>
      <c r="J111" s="20">
        <v>9</v>
      </c>
      <c r="K111" s="1">
        <v>5</v>
      </c>
      <c r="L111" s="1">
        <v>45</v>
      </c>
      <c r="M111" s="42" t="s">
        <v>2576</v>
      </c>
      <c r="O111" s="2" t="s">
        <v>2443</v>
      </c>
      <c r="Q111" t="s">
        <v>647</v>
      </c>
    </row>
    <row r="112" spans="1:17" ht="15" customHeight="1" x14ac:dyDescent="0.25">
      <c r="A112" s="3" t="s">
        <v>2052</v>
      </c>
      <c r="B112" s="4" t="s">
        <v>2580</v>
      </c>
      <c r="C112" t="s">
        <v>973</v>
      </c>
      <c r="D112">
        <v>1</v>
      </c>
      <c r="E112" t="s">
        <v>974</v>
      </c>
      <c r="F112" t="s">
        <v>975</v>
      </c>
      <c r="G112" t="s">
        <v>976</v>
      </c>
      <c r="H112" s="1" t="s">
        <v>976</v>
      </c>
      <c r="I112" s="1">
        <v>91.79</v>
      </c>
      <c r="J112" s="20">
        <v>9.5</v>
      </c>
      <c r="K112" s="1">
        <v>5</v>
      </c>
      <c r="L112" s="1">
        <v>47.5</v>
      </c>
      <c r="M112" s="42" t="s">
        <v>2578</v>
      </c>
      <c r="O112" s="2" t="s">
        <v>2579</v>
      </c>
      <c r="Q112" t="s">
        <v>648</v>
      </c>
    </row>
    <row r="113" spans="1:17" ht="15" customHeight="1" x14ac:dyDescent="0.25">
      <c r="A113" s="3" t="s">
        <v>2053</v>
      </c>
      <c r="B113" s="4" t="s">
        <v>2580</v>
      </c>
      <c r="C113" t="s">
        <v>973</v>
      </c>
      <c r="D113">
        <v>1</v>
      </c>
      <c r="E113" t="s">
        <v>974</v>
      </c>
      <c r="F113" t="s">
        <v>975</v>
      </c>
      <c r="G113" t="s">
        <v>976</v>
      </c>
      <c r="H113" s="1" t="s">
        <v>976</v>
      </c>
      <c r="I113" s="1">
        <v>91.79</v>
      </c>
      <c r="J113" s="20">
        <v>9.5</v>
      </c>
      <c r="K113" s="1">
        <v>5</v>
      </c>
      <c r="L113" s="1">
        <v>47.5</v>
      </c>
      <c r="M113" s="42" t="s">
        <v>2581</v>
      </c>
      <c r="O113" s="2" t="s">
        <v>2579</v>
      </c>
      <c r="Q113" t="s">
        <v>648</v>
      </c>
    </row>
    <row r="114" spans="1:17" ht="15" customHeight="1" x14ac:dyDescent="0.25">
      <c r="A114" s="3" t="s">
        <v>2054</v>
      </c>
      <c r="B114" s="4" t="s">
        <v>2583</v>
      </c>
      <c r="C114" t="s">
        <v>973</v>
      </c>
      <c r="D114">
        <v>1</v>
      </c>
      <c r="E114" t="s">
        <v>974</v>
      </c>
      <c r="F114" t="s">
        <v>975</v>
      </c>
      <c r="G114" t="s">
        <v>976</v>
      </c>
      <c r="H114" s="1" t="s">
        <v>976</v>
      </c>
      <c r="I114" s="1">
        <v>98.57</v>
      </c>
      <c r="J114" s="20">
        <v>11.5</v>
      </c>
      <c r="K114" s="1">
        <v>5</v>
      </c>
      <c r="L114" s="1">
        <v>57.5</v>
      </c>
      <c r="M114" s="42" t="s">
        <v>2582</v>
      </c>
      <c r="O114" s="2" t="s">
        <v>2528</v>
      </c>
      <c r="Q114" t="s">
        <v>649</v>
      </c>
    </row>
    <row r="115" spans="1:17" ht="15" customHeight="1" x14ac:dyDescent="0.25">
      <c r="A115" s="3" t="s">
        <v>2055</v>
      </c>
      <c r="B115" s="4" t="s">
        <v>2544</v>
      </c>
      <c r="C115" t="s">
        <v>973</v>
      </c>
      <c r="D115">
        <v>1</v>
      </c>
      <c r="E115" t="s">
        <v>974</v>
      </c>
      <c r="F115" t="s">
        <v>975</v>
      </c>
      <c r="G115" t="s">
        <v>976</v>
      </c>
      <c r="H115" s="1" t="s">
        <v>976</v>
      </c>
      <c r="I115" s="1">
        <v>91.79</v>
      </c>
      <c r="J115" s="20">
        <v>5.3</v>
      </c>
      <c r="K115" s="1">
        <v>5</v>
      </c>
      <c r="L115" s="1">
        <v>26.5</v>
      </c>
      <c r="M115" s="42" t="s">
        <v>2584</v>
      </c>
      <c r="O115" s="2" t="s">
        <v>2467</v>
      </c>
      <c r="Q115" t="s">
        <v>632</v>
      </c>
    </row>
    <row r="116" spans="1:17" ht="15" customHeight="1" x14ac:dyDescent="0.25">
      <c r="A116" s="3" t="s">
        <v>2056</v>
      </c>
      <c r="B116" s="4" t="s">
        <v>2544</v>
      </c>
      <c r="C116" t="s">
        <v>973</v>
      </c>
      <c r="D116">
        <v>1</v>
      </c>
      <c r="E116" t="s">
        <v>974</v>
      </c>
      <c r="F116" t="s">
        <v>975</v>
      </c>
      <c r="G116" t="s">
        <v>976</v>
      </c>
      <c r="H116" s="1" t="s">
        <v>976</v>
      </c>
      <c r="I116" s="1">
        <v>91.79</v>
      </c>
      <c r="J116" s="20">
        <v>0</v>
      </c>
      <c r="K116" s="1">
        <v>5</v>
      </c>
      <c r="L116" s="1">
        <v>0</v>
      </c>
      <c r="M116" s="42" t="s">
        <v>2584</v>
      </c>
      <c r="O116" s="2" t="s">
        <v>2467</v>
      </c>
      <c r="Q116" t="s">
        <v>632</v>
      </c>
    </row>
    <row r="117" spans="1:17" ht="15" customHeight="1" x14ac:dyDescent="0.25">
      <c r="A117" s="41" t="s">
        <v>2056</v>
      </c>
      <c r="B117" s="3" t="s">
        <v>2544</v>
      </c>
      <c r="C117" s="41" t="s">
        <v>973</v>
      </c>
      <c r="D117">
        <v>4</v>
      </c>
      <c r="E117" t="s">
        <v>1018</v>
      </c>
      <c r="F117" t="s">
        <v>975</v>
      </c>
      <c r="G117" t="s">
        <v>976</v>
      </c>
      <c r="H117" s="1" t="s">
        <v>976</v>
      </c>
      <c r="I117" s="1">
        <v>91.79</v>
      </c>
      <c r="J117" s="20">
        <v>5.3</v>
      </c>
      <c r="K117" s="1">
        <v>26.5</v>
      </c>
      <c r="L117" s="1">
        <v>140.44999999999999</v>
      </c>
      <c r="M117" s="42" t="s">
        <v>2584</v>
      </c>
      <c r="O117" s="2" t="s">
        <v>2467</v>
      </c>
      <c r="Q117" t="s">
        <v>632</v>
      </c>
    </row>
    <row r="118" spans="1:17" ht="15" customHeight="1" x14ac:dyDescent="0.25">
      <c r="A118" s="3" t="s">
        <v>2057</v>
      </c>
      <c r="B118" s="4" t="s">
        <v>2544</v>
      </c>
      <c r="C118" t="s">
        <v>973</v>
      </c>
      <c r="D118">
        <v>1</v>
      </c>
      <c r="E118" t="s">
        <v>974</v>
      </c>
      <c r="F118" t="s">
        <v>975</v>
      </c>
      <c r="G118" t="s">
        <v>976</v>
      </c>
      <c r="H118" s="1" t="s">
        <v>976</v>
      </c>
      <c r="I118" s="1">
        <v>91.79</v>
      </c>
      <c r="J118" s="20">
        <v>6.9</v>
      </c>
      <c r="K118" s="1">
        <v>5</v>
      </c>
      <c r="L118" s="1">
        <v>34.5</v>
      </c>
      <c r="M118" s="42" t="s">
        <v>2584</v>
      </c>
      <c r="O118" s="2" t="s">
        <v>2467</v>
      </c>
      <c r="Q118" t="s">
        <v>632</v>
      </c>
    </row>
    <row r="119" spans="1:17" ht="15" customHeight="1" x14ac:dyDescent="0.25">
      <c r="A119" s="3" t="s">
        <v>2058</v>
      </c>
      <c r="B119" s="4" t="s">
        <v>2583</v>
      </c>
      <c r="C119" t="s">
        <v>973</v>
      </c>
      <c r="D119">
        <v>1</v>
      </c>
      <c r="E119" t="s">
        <v>974</v>
      </c>
      <c r="F119" t="s">
        <v>975</v>
      </c>
      <c r="G119" t="s">
        <v>976</v>
      </c>
      <c r="H119" s="1" t="s">
        <v>976</v>
      </c>
      <c r="I119" s="1">
        <v>93.88</v>
      </c>
      <c r="J119" s="20">
        <v>5</v>
      </c>
      <c r="K119" s="1">
        <v>5</v>
      </c>
      <c r="L119" s="1">
        <v>25</v>
      </c>
      <c r="M119" s="42" t="s">
        <v>2585</v>
      </c>
      <c r="O119" s="2" t="s">
        <v>2447</v>
      </c>
      <c r="Q119" t="s">
        <v>650</v>
      </c>
    </row>
    <row r="120" spans="1:17" ht="15" customHeight="1" x14ac:dyDescent="0.25">
      <c r="A120" s="41" t="s">
        <v>2058</v>
      </c>
      <c r="B120" s="3" t="s">
        <v>2583</v>
      </c>
      <c r="C120" s="41" t="s">
        <v>973</v>
      </c>
      <c r="D120">
        <v>4</v>
      </c>
      <c r="E120" t="s">
        <v>1018</v>
      </c>
      <c r="F120" t="s">
        <v>975</v>
      </c>
      <c r="G120" t="s">
        <v>976</v>
      </c>
      <c r="H120" s="1" t="s">
        <v>976</v>
      </c>
      <c r="I120" s="1">
        <v>93.88</v>
      </c>
      <c r="J120" s="20">
        <v>6.5</v>
      </c>
      <c r="K120" s="1">
        <v>57.5</v>
      </c>
      <c r="L120" s="1">
        <v>373.75</v>
      </c>
      <c r="M120" s="42" t="s">
        <v>2585</v>
      </c>
      <c r="O120" s="2" t="s">
        <v>2447</v>
      </c>
      <c r="Q120" t="s">
        <v>650</v>
      </c>
    </row>
    <row r="121" spans="1:17" ht="15" customHeight="1" x14ac:dyDescent="0.25">
      <c r="A121" s="3" t="s">
        <v>2059</v>
      </c>
      <c r="B121" s="4" t="s">
        <v>480</v>
      </c>
      <c r="C121" t="s">
        <v>973</v>
      </c>
      <c r="D121">
        <v>1</v>
      </c>
      <c r="E121" t="s">
        <v>974</v>
      </c>
      <c r="F121" t="s">
        <v>975</v>
      </c>
      <c r="G121" t="s">
        <v>976</v>
      </c>
      <c r="H121" s="1" t="s">
        <v>976</v>
      </c>
      <c r="I121" s="1">
        <v>133.04</v>
      </c>
      <c r="J121" s="20">
        <v>7.1</v>
      </c>
      <c r="K121" s="1">
        <v>5</v>
      </c>
      <c r="L121" s="1">
        <v>35.5</v>
      </c>
      <c r="M121" s="42" t="s">
        <v>2586</v>
      </c>
      <c r="Q121" t="s">
        <v>480</v>
      </c>
    </row>
    <row r="122" spans="1:17" ht="15" customHeight="1" x14ac:dyDescent="0.25">
      <c r="A122" s="3" t="s">
        <v>1064</v>
      </c>
      <c r="B122" s="4" t="s">
        <v>193</v>
      </c>
      <c r="C122" t="s">
        <v>973</v>
      </c>
      <c r="D122">
        <v>1</v>
      </c>
      <c r="E122" t="s">
        <v>974</v>
      </c>
      <c r="F122" t="s">
        <v>975</v>
      </c>
      <c r="G122" t="s">
        <v>1015</v>
      </c>
      <c r="H122" s="1" t="s">
        <v>976</v>
      </c>
      <c r="I122" s="1">
        <v>19.5</v>
      </c>
      <c r="J122" s="20">
        <v>0</v>
      </c>
      <c r="K122" s="1">
        <v>19.5</v>
      </c>
      <c r="L122" s="1">
        <v>0</v>
      </c>
      <c r="M122" s="42" t="s">
        <v>2587</v>
      </c>
      <c r="Q122" t="s">
        <v>193</v>
      </c>
    </row>
    <row r="123" spans="1:17" ht="15" customHeight="1" x14ac:dyDescent="0.25">
      <c r="A123" s="3" t="s">
        <v>1065</v>
      </c>
      <c r="B123" s="4" t="s">
        <v>194</v>
      </c>
      <c r="C123" t="s">
        <v>1066</v>
      </c>
      <c r="D123">
        <v>1</v>
      </c>
      <c r="E123" t="s">
        <v>974</v>
      </c>
      <c r="F123" t="s">
        <v>975</v>
      </c>
      <c r="G123" t="s">
        <v>976</v>
      </c>
      <c r="H123" s="1" t="s">
        <v>976</v>
      </c>
      <c r="I123" s="1">
        <v>1.65</v>
      </c>
      <c r="J123" s="20">
        <v>18</v>
      </c>
      <c r="K123" s="1">
        <v>1.63</v>
      </c>
      <c r="L123" s="1">
        <v>29.34</v>
      </c>
      <c r="M123" s="42" t="s">
        <v>2588</v>
      </c>
      <c r="Q123" t="s">
        <v>194</v>
      </c>
    </row>
    <row r="124" spans="1:17" ht="15" customHeight="1" x14ac:dyDescent="0.25">
      <c r="A124" s="41" t="s">
        <v>1065</v>
      </c>
      <c r="B124" s="3" t="s">
        <v>194</v>
      </c>
      <c r="C124" s="41" t="s">
        <v>1066</v>
      </c>
      <c r="D124">
        <v>4</v>
      </c>
      <c r="E124" t="s">
        <v>1018</v>
      </c>
      <c r="F124" t="s">
        <v>975</v>
      </c>
      <c r="G124" t="s">
        <v>976</v>
      </c>
      <c r="H124" s="1" t="s">
        <v>976</v>
      </c>
      <c r="I124" s="1">
        <v>1.65</v>
      </c>
      <c r="J124" s="20">
        <v>2</v>
      </c>
      <c r="K124" s="1">
        <v>1.65</v>
      </c>
      <c r="L124" s="1">
        <v>3.3</v>
      </c>
      <c r="M124" s="42" t="s">
        <v>2588</v>
      </c>
      <c r="Q124" t="s">
        <v>194</v>
      </c>
    </row>
    <row r="125" spans="1:17" ht="15" customHeight="1" x14ac:dyDescent="0.25">
      <c r="A125" s="3" t="s">
        <v>1067</v>
      </c>
      <c r="B125" s="4" t="s">
        <v>2590</v>
      </c>
      <c r="C125" t="s">
        <v>973</v>
      </c>
      <c r="D125">
        <v>1</v>
      </c>
      <c r="E125" t="s">
        <v>974</v>
      </c>
      <c r="F125" t="s">
        <v>975</v>
      </c>
      <c r="G125" t="s">
        <v>976</v>
      </c>
      <c r="H125" s="1" t="s">
        <v>976</v>
      </c>
      <c r="I125" s="1">
        <v>39.979999999999997</v>
      </c>
      <c r="J125" s="20">
        <v>0</v>
      </c>
      <c r="K125" s="1">
        <v>39.979999999999997</v>
      </c>
      <c r="L125" s="1">
        <v>0</v>
      </c>
      <c r="M125" s="42" t="s">
        <v>2589</v>
      </c>
      <c r="O125" s="2" t="s">
        <v>2447</v>
      </c>
      <c r="Q125" t="s">
        <v>651</v>
      </c>
    </row>
    <row r="126" spans="1:17" ht="15" customHeight="1" x14ac:dyDescent="0.25">
      <c r="A126" s="41" t="s">
        <v>1067</v>
      </c>
      <c r="B126" s="3" t="s">
        <v>2590</v>
      </c>
      <c r="C126" s="41" t="s">
        <v>973</v>
      </c>
      <c r="D126">
        <v>4</v>
      </c>
      <c r="E126" t="s">
        <v>1018</v>
      </c>
      <c r="F126" t="s">
        <v>975</v>
      </c>
      <c r="G126" t="s">
        <v>976</v>
      </c>
      <c r="H126" s="1" t="s">
        <v>976</v>
      </c>
      <c r="I126" s="1">
        <v>39.979999999999997</v>
      </c>
      <c r="J126" s="20">
        <v>30</v>
      </c>
      <c r="K126" s="1">
        <v>39.979999999999997</v>
      </c>
      <c r="L126" s="1">
        <v>1199.4000000000001</v>
      </c>
      <c r="M126" s="42" t="s">
        <v>2589</v>
      </c>
      <c r="O126" s="2" t="s">
        <v>2447</v>
      </c>
      <c r="Q126" t="s">
        <v>651</v>
      </c>
    </row>
    <row r="127" spans="1:17" ht="15" customHeight="1" x14ac:dyDescent="0.25">
      <c r="A127" s="3" t="s">
        <v>1068</v>
      </c>
      <c r="B127" s="4" t="s">
        <v>195</v>
      </c>
      <c r="C127" t="s">
        <v>973</v>
      </c>
      <c r="D127">
        <v>1</v>
      </c>
      <c r="E127" t="s">
        <v>974</v>
      </c>
      <c r="F127" t="s">
        <v>975</v>
      </c>
      <c r="G127" t="s">
        <v>1021</v>
      </c>
      <c r="H127" s="1" t="s">
        <v>976</v>
      </c>
      <c r="I127" s="1">
        <v>0.1</v>
      </c>
      <c r="J127" s="20">
        <v>-5</v>
      </c>
      <c r="K127" s="1">
        <v>0</v>
      </c>
      <c r="L127" s="1">
        <v>0</v>
      </c>
      <c r="M127" s="42" t="s">
        <v>2591</v>
      </c>
      <c r="Q127" t="s">
        <v>195</v>
      </c>
    </row>
    <row r="128" spans="1:17" ht="15" customHeight="1" x14ac:dyDescent="0.25">
      <c r="A128" s="3" t="s">
        <v>1069</v>
      </c>
      <c r="B128" s="4" t="s">
        <v>2593</v>
      </c>
      <c r="C128" t="s">
        <v>973</v>
      </c>
      <c r="D128">
        <v>1</v>
      </c>
      <c r="E128" t="s">
        <v>974</v>
      </c>
      <c r="F128" t="s">
        <v>975</v>
      </c>
      <c r="G128" t="s">
        <v>976</v>
      </c>
      <c r="H128" s="1" t="s">
        <v>976</v>
      </c>
      <c r="I128" s="1">
        <v>64.900000000000006</v>
      </c>
      <c r="J128" s="20">
        <v>0</v>
      </c>
      <c r="K128" s="1">
        <v>0</v>
      </c>
      <c r="L128" s="1">
        <v>0</v>
      </c>
      <c r="M128" s="42" t="s">
        <v>2592</v>
      </c>
      <c r="O128" s="2" t="s">
        <v>2528</v>
      </c>
      <c r="Q128" t="s">
        <v>652</v>
      </c>
    </row>
    <row r="129" spans="1:17" ht="15" customHeight="1" x14ac:dyDescent="0.25">
      <c r="A129" s="3" t="s">
        <v>1070</v>
      </c>
      <c r="B129" s="4" t="s">
        <v>2593</v>
      </c>
      <c r="C129" t="s">
        <v>973</v>
      </c>
      <c r="D129">
        <v>1</v>
      </c>
      <c r="E129" t="s">
        <v>974</v>
      </c>
      <c r="F129" t="s">
        <v>975</v>
      </c>
      <c r="G129" t="s">
        <v>1021</v>
      </c>
      <c r="H129" s="1" t="s">
        <v>976</v>
      </c>
      <c r="I129" s="1">
        <v>64.900000000000006</v>
      </c>
      <c r="J129" s="20">
        <v>0</v>
      </c>
      <c r="K129" s="1">
        <v>54.5</v>
      </c>
      <c r="L129" s="1">
        <v>0</v>
      </c>
      <c r="M129" s="42" t="s">
        <v>2592</v>
      </c>
      <c r="O129" s="2" t="s">
        <v>2447</v>
      </c>
      <c r="Q129" t="s">
        <v>653</v>
      </c>
    </row>
    <row r="130" spans="1:17" ht="15" customHeight="1" x14ac:dyDescent="0.25">
      <c r="A130" s="41" t="s">
        <v>1070</v>
      </c>
      <c r="B130" s="3" t="s">
        <v>2593</v>
      </c>
      <c r="C130" s="41" t="s">
        <v>973</v>
      </c>
      <c r="D130">
        <v>4</v>
      </c>
      <c r="E130" t="s">
        <v>1018</v>
      </c>
      <c r="F130" t="s">
        <v>975</v>
      </c>
      <c r="G130" t="s">
        <v>1021</v>
      </c>
      <c r="H130" s="1" t="s">
        <v>976</v>
      </c>
      <c r="I130" s="1">
        <v>64.900000000000006</v>
      </c>
      <c r="J130" s="20">
        <v>70.599999999999994</v>
      </c>
      <c r="K130" s="1">
        <v>55.573653999999998</v>
      </c>
      <c r="L130" s="1">
        <v>3923.5</v>
      </c>
      <c r="M130" s="42" t="s">
        <v>2592</v>
      </c>
      <c r="O130" s="2" t="s">
        <v>2447</v>
      </c>
      <c r="Q130" t="s">
        <v>653</v>
      </c>
    </row>
    <row r="131" spans="1:17" ht="15" customHeight="1" x14ac:dyDescent="0.25">
      <c r="A131" s="3" t="s">
        <v>1071</v>
      </c>
      <c r="B131" s="4" t="s">
        <v>2593</v>
      </c>
      <c r="C131" t="s">
        <v>973</v>
      </c>
      <c r="D131">
        <v>1</v>
      </c>
      <c r="E131" t="s">
        <v>974</v>
      </c>
      <c r="F131" t="s">
        <v>975</v>
      </c>
      <c r="G131" t="s">
        <v>976</v>
      </c>
      <c r="H131" s="1" t="s">
        <v>976</v>
      </c>
      <c r="I131" s="1">
        <v>54.5</v>
      </c>
      <c r="J131" s="20">
        <v>0</v>
      </c>
      <c r="K131" s="1">
        <v>54.5</v>
      </c>
      <c r="L131" s="1">
        <v>0</v>
      </c>
      <c r="M131" s="42" t="s">
        <v>2592</v>
      </c>
      <c r="O131" s="2" t="s">
        <v>2482</v>
      </c>
      <c r="Q131" t="s">
        <v>654</v>
      </c>
    </row>
    <row r="132" spans="1:17" ht="15" customHeight="1" x14ac:dyDescent="0.25">
      <c r="A132" s="41" t="s">
        <v>1071</v>
      </c>
      <c r="B132" s="3" t="s">
        <v>2593</v>
      </c>
      <c r="C132" s="41" t="s">
        <v>973</v>
      </c>
      <c r="D132">
        <v>4</v>
      </c>
      <c r="E132" t="s">
        <v>1018</v>
      </c>
      <c r="F132" t="s">
        <v>975</v>
      </c>
      <c r="G132" t="s">
        <v>976</v>
      </c>
      <c r="H132" s="1" t="s">
        <v>976</v>
      </c>
      <c r="I132" s="1">
        <v>54.5</v>
      </c>
      <c r="J132" s="20">
        <v>75.400000000000006</v>
      </c>
      <c r="K132" s="1">
        <v>55.573607000000003</v>
      </c>
      <c r="L132" s="1">
        <v>4190.25</v>
      </c>
      <c r="M132" s="42" t="s">
        <v>2592</v>
      </c>
      <c r="O132" s="2" t="s">
        <v>2482</v>
      </c>
      <c r="Q132" t="s">
        <v>654</v>
      </c>
    </row>
    <row r="133" spans="1:17" ht="15" customHeight="1" x14ac:dyDescent="0.25">
      <c r="A133" s="3" t="s">
        <v>1072</v>
      </c>
      <c r="B133" s="4" t="s">
        <v>2595</v>
      </c>
      <c r="C133" t="s">
        <v>973</v>
      </c>
      <c r="D133">
        <v>1</v>
      </c>
      <c r="E133" t="s">
        <v>974</v>
      </c>
      <c r="F133" t="s">
        <v>975</v>
      </c>
      <c r="G133" t="s">
        <v>1021</v>
      </c>
      <c r="H133" s="1" t="s">
        <v>976</v>
      </c>
      <c r="I133" s="1">
        <v>48.6</v>
      </c>
      <c r="J133" s="20">
        <v>0</v>
      </c>
      <c r="K133" s="1">
        <v>48.6</v>
      </c>
      <c r="L133" s="1">
        <v>0</v>
      </c>
      <c r="M133" s="42" t="s">
        <v>2594</v>
      </c>
      <c r="O133" s="2" t="s">
        <v>2447</v>
      </c>
      <c r="Q133" t="s">
        <v>655</v>
      </c>
    </row>
    <row r="134" spans="1:17" ht="15" customHeight="1" x14ac:dyDescent="0.25">
      <c r="A134" s="3" t="s">
        <v>1073</v>
      </c>
      <c r="B134" s="4" t="s">
        <v>2595</v>
      </c>
      <c r="C134" t="s">
        <v>973</v>
      </c>
      <c r="D134">
        <v>1</v>
      </c>
      <c r="E134" t="s">
        <v>974</v>
      </c>
      <c r="F134" t="s">
        <v>975</v>
      </c>
      <c r="G134" t="s">
        <v>1021</v>
      </c>
      <c r="H134" s="1" t="s">
        <v>976</v>
      </c>
      <c r="I134" s="1">
        <v>48.6</v>
      </c>
      <c r="J134" s="20">
        <v>0</v>
      </c>
      <c r="K134" s="1">
        <v>48.6</v>
      </c>
      <c r="L134" s="1">
        <v>0</v>
      </c>
      <c r="M134" s="42" t="s">
        <v>2594</v>
      </c>
      <c r="O134" s="2" t="s">
        <v>2437</v>
      </c>
      <c r="Q134" t="s">
        <v>656</v>
      </c>
    </row>
    <row r="135" spans="1:17" ht="15" customHeight="1" x14ac:dyDescent="0.25">
      <c r="A135" s="3" t="s">
        <v>1074</v>
      </c>
      <c r="B135" s="4" t="s">
        <v>2597</v>
      </c>
      <c r="C135" t="s">
        <v>973</v>
      </c>
      <c r="D135">
        <v>1</v>
      </c>
      <c r="E135" t="s">
        <v>974</v>
      </c>
      <c r="F135" t="s">
        <v>975</v>
      </c>
      <c r="G135" t="s">
        <v>1021</v>
      </c>
      <c r="H135" s="1" t="s">
        <v>976</v>
      </c>
      <c r="I135" s="1">
        <v>62.86</v>
      </c>
      <c r="J135" s="20">
        <v>3</v>
      </c>
      <c r="K135" s="1">
        <v>62.859960000000001</v>
      </c>
      <c r="L135" s="1">
        <v>188.58</v>
      </c>
      <c r="M135" s="42" t="s">
        <v>2596</v>
      </c>
      <c r="O135" s="2" t="s">
        <v>2482</v>
      </c>
      <c r="Q135" t="s">
        <v>657</v>
      </c>
    </row>
    <row r="136" spans="1:17" ht="15" customHeight="1" x14ac:dyDescent="0.25">
      <c r="A136" s="41" t="s">
        <v>1074</v>
      </c>
      <c r="B136" s="3" t="s">
        <v>2597</v>
      </c>
      <c r="C136" s="41" t="s">
        <v>973</v>
      </c>
      <c r="D136">
        <v>4</v>
      </c>
      <c r="E136" t="s">
        <v>1018</v>
      </c>
      <c r="F136" t="s">
        <v>975</v>
      </c>
      <c r="G136" t="s">
        <v>1021</v>
      </c>
      <c r="H136" s="1" t="s">
        <v>976</v>
      </c>
      <c r="I136" s="1">
        <v>62.86</v>
      </c>
      <c r="J136" s="20">
        <v>46.7</v>
      </c>
      <c r="K136" s="1">
        <v>62.859957000000001</v>
      </c>
      <c r="L136" s="1">
        <v>2935.56</v>
      </c>
      <c r="M136" s="42" t="s">
        <v>2596</v>
      </c>
      <c r="O136" s="2" t="s">
        <v>2482</v>
      </c>
      <c r="Q136" t="s">
        <v>657</v>
      </c>
    </row>
    <row r="137" spans="1:17" ht="15" customHeight="1" x14ac:dyDescent="0.25">
      <c r="A137" s="3" t="s">
        <v>1075</v>
      </c>
      <c r="B137" s="4" t="s">
        <v>196</v>
      </c>
      <c r="C137" t="s">
        <v>973</v>
      </c>
      <c r="D137">
        <v>1</v>
      </c>
      <c r="E137" t="s">
        <v>974</v>
      </c>
      <c r="F137" t="s">
        <v>975</v>
      </c>
      <c r="G137" t="s">
        <v>1021</v>
      </c>
      <c r="H137" s="1" t="s">
        <v>976</v>
      </c>
      <c r="I137" s="1">
        <v>62.86</v>
      </c>
      <c r="J137" s="20">
        <v>48.9</v>
      </c>
      <c r="K137" s="1">
        <v>62.859918</v>
      </c>
      <c r="L137" s="1">
        <v>3073.85</v>
      </c>
      <c r="M137" s="42" t="s">
        <v>2596</v>
      </c>
      <c r="Q137" t="s">
        <v>196</v>
      </c>
    </row>
    <row r="138" spans="1:17" ht="15" customHeight="1" x14ac:dyDescent="0.25">
      <c r="A138" s="3" t="s">
        <v>1076</v>
      </c>
      <c r="B138" s="4" t="s">
        <v>2599</v>
      </c>
      <c r="C138" t="s">
        <v>973</v>
      </c>
      <c r="D138">
        <v>1</v>
      </c>
      <c r="E138" t="s">
        <v>974</v>
      </c>
      <c r="F138" t="s">
        <v>975</v>
      </c>
      <c r="G138" t="s">
        <v>976</v>
      </c>
      <c r="H138" s="1" t="s">
        <v>976</v>
      </c>
      <c r="I138" s="1">
        <v>19</v>
      </c>
      <c r="J138" s="20">
        <v>20</v>
      </c>
      <c r="K138" s="1">
        <v>0</v>
      </c>
      <c r="L138" s="1">
        <v>0</v>
      </c>
      <c r="M138" s="42" t="s">
        <v>2598</v>
      </c>
      <c r="O138" s="2" t="s">
        <v>2528</v>
      </c>
      <c r="Q138" t="s">
        <v>658</v>
      </c>
    </row>
    <row r="139" spans="1:17" ht="15" customHeight="1" x14ac:dyDescent="0.25">
      <c r="A139" s="3" t="s">
        <v>1077</v>
      </c>
      <c r="B139" s="4" t="s">
        <v>197</v>
      </c>
      <c r="C139" t="s">
        <v>973</v>
      </c>
      <c r="D139">
        <v>1</v>
      </c>
      <c r="E139" t="s">
        <v>974</v>
      </c>
      <c r="F139" t="s">
        <v>975</v>
      </c>
      <c r="G139" t="s">
        <v>1078</v>
      </c>
      <c r="H139" s="1" t="s">
        <v>976</v>
      </c>
      <c r="I139" s="1">
        <v>39.58</v>
      </c>
      <c r="J139" s="20">
        <v>0</v>
      </c>
      <c r="K139" s="1">
        <v>39.580005999999997</v>
      </c>
      <c r="L139" s="1">
        <v>0</v>
      </c>
      <c r="M139" s="42" t="s">
        <v>2600</v>
      </c>
      <c r="Q139" t="s">
        <v>197</v>
      </c>
    </row>
    <row r="140" spans="1:17" ht="15" customHeight="1" x14ac:dyDescent="0.25">
      <c r="A140" s="3" t="s">
        <v>2060</v>
      </c>
      <c r="B140" s="4" t="s">
        <v>2602</v>
      </c>
      <c r="C140" t="s">
        <v>973</v>
      </c>
      <c r="D140">
        <v>1</v>
      </c>
      <c r="E140" t="s">
        <v>974</v>
      </c>
      <c r="F140" t="s">
        <v>975</v>
      </c>
      <c r="G140" t="s">
        <v>1079</v>
      </c>
      <c r="H140" s="1" t="s">
        <v>976</v>
      </c>
      <c r="I140" s="1">
        <v>60.9</v>
      </c>
      <c r="J140" s="20">
        <v>0</v>
      </c>
      <c r="K140" s="1">
        <v>60.9</v>
      </c>
      <c r="L140" s="1">
        <v>0</v>
      </c>
      <c r="M140" s="42" t="s">
        <v>2601</v>
      </c>
      <c r="O140" s="2" t="s">
        <v>2508</v>
      </c>
      <c r="Q140" t="s">
        <v>659</v>
      </c>
    </row>
    <row r="141" spans="1:17" ht="15" customHeight="1" x14ac:dyDescent="0.25">
      <c r="A141" s="3" t="s">
        <v>1080</v>
      </c>
      <c r="B141" s="4" t="s">
        <v>2604</v>
      </c>
      <c r="C141" t="s">
        <v>973</v>
      </c>
      <c r="D141">
        <v>1</v>
      </c>
      <c r="E141" t="s">
        <v>974</v>
      </c>
      <c r="F141" t="s">
        <v>975</v>
      </c>
      <c r="G141" t="s">
        <v>976</v>
      </c>
      <c r="H141" s="1" t="s">
        <v>976</v>
      </c>
      <c r="I141" s="1">
        <v>56.7</v>
      </c>
      <c r="J141" s="20">
        <v>9.1</v>
      </c>
      <c r="K141" s="1">
        <v>55.7</v>
      </c>
      <c r="L141" s="1">
        <v>506.87</v>
      </c>
      <c r="M141" s="42" t="s">
        <v>2603</v>
      </c>
      <c r="O141" s="2" t="s">
        <v>2463</v>
      </c>
      <c r="Q141" t="s">
        <v>660</v>
      </c>
    </row>
    <row r="142" spans="1:17" ht="15" customHeight="1" x14ac:dyDescent="0.25">
      <c r="A142" s="41" t="s">
        <v>1080</v>
      </c>
      <c r="B142" s="3" t="s">
        <v>2604</v>
      </c>
      <c r="C142" s="41" t="s">
        <v>973</v>
      </c>
      <c r="D142">
        <v>4</v>
      </c>
      <c r="E142" t="s">
        <v>1018</v>
      </c>
      <c r="F142" t="s">
        <v>975</v>
      </c>
      <c r="G142" t="s">
        <v>976</v>
      </c>
      <c r="H142" s="1" t="s">
        <v>976</v>
      </c>
      <c r="I142" s="1">
        <v>56.7</v>
      </c>
      <c r="J142" s="20">
        <v>42.7</v>
      </c>
      <c r="K142" s="1">
        <v>56.7</v>
      </c>
      <c r="L142" s="1">
        <v>2421.09</v>
      </c>
      <c r="M142" s="42" t="s">
        <v>2603</v>
      </c>
      <c r="O142" s="2" t="s">
        <v>2463</v>
      </c>
      <c r="Q142" t="s">
        <v>660</v>
      </c>
    </row>
    <row r="143" spans="1:17" ht="15" customHeight="1" x14ac:dyDescent="0.25">
      <c r="A143" s="3" t="s">
        <v>1081</v>
      </c>
      <c r="B143" s="4" t="s">
        <v>2606</v>
      </c>
      <c r="C143" t="s">
        <v>973</v>
      </c>
      <c r="D143">
        <v>1</v>
      </c>
      <c r="E143" t="s">
        <v>974</v>
      </c>
      <c r="F143" t="s">
        <v>975</v>
      </c>
      <c r="G143" t="s">
        <v>976</v>
      </c>
      <c r="H143" s="1" t="s">
        <v>976</v>
      </c>
      <c r="I143" s="1">
        <v>44.09</v>
      </c>
      <c r="J143" s="20">
        <v>0</v>
      </c>
      <c r="K143" s="1">
        <v>41.885666000000001</v>
      </c>
      <c r="L143" s="1">
        <v>0</v>
      </c>
      <c r="M143" s="42" t="s">
        <v>2605</v>
      </c>
      <c r="O143" s="2" t="s">
        <v>2482</v>
      </c>
      <c r="Q143" t="s">
        <v>661</v>
      </c>
    </row>
    <row r="144" spans="1:17" ht="15" customHeight="1" x14ac:dyDescent="0.25">
      <c r="A144" s="41" t="s">
        <v>1081</v>
      </c>
      <c r="B144" s="3" t="s">
        <v>2606</v>
      </c>
      <c r="C144" s="41" t="s">
        <v>973</v>
      </c>
      <c r="D144">
        <v>4</v>
      </c>
      <c r="E144" t="s">
        <v>1018</v>
      </c>
      <c r="F144" t="s">
        <v>975</v>
      </c>
      <c r="G144" t="s">
        <v>976</v>
      </c>
      <c r="H144" s="1" t="s">
        <v>976</v>
      </c>
      <c r="I144" s="1">
        <v>44.09</v>
      </c>
      <c r="J144" s="20">
        <v>14</v>
      </c>
      <c r="K144" s="1">
        <v>44.09</v>
      </c>
      <c r="L144" s="1">
        <v>617.26</v>
      </c>
      <c r="M144" s="42" t="s">
        <v>2605</v>
      </c>
      <c r="O144" s="2" t="s">
        <v>2482</v>
      </c>
      <c r="Q144" t="s">
        <v>661</v>
      </c>
    </row>
    <row r="145" spans="1:17" ht="15" customHeight="1" x14ac:dyDescent="0.25">
      <c r="A145" s="3" t="s">
        <v>2247</v>
      </c>
      <c r="B145" s="4" t="s">
        <v>555</v>
      </c>
      <c r="C145" t="s">
        <v>1066</v>
      </c>
      <c r="D145">
        <v>1</v>
      </c>
      <c r="E145" t="s">
        <v>974</v>
      </c>
      <c r="F145" t="s">
        <v>975</v>
      </c>
      <c r="G145" t="s">
        <v>976</v>
      </c>
      <c r="H145" s="1" t="s">
        <v>976</v>
      </c>
      <c r="I145" s="1">
        <v>0.3</v>
      </c>
      <c r="J145" s="20">
        <v>0</v>
      </c>
      <c r="K145" s="1">
        <v>0.3</v>
      </c>
      <c r="L145" s="1">
        <v>0</v>
      </c>
      <c r="M145" s="42" t="s">
        <v>2607</v>
      </c>
      <c r="Q145" t="s">
        <v>555</v>
      </c>
    </row>
    <row r="146" spans="1:17" ht="15" customHeight="1" x14ac:dyDescent="0.25">
      <c r="A146" s="41" t="s">
        <v>2247</v>
      </c>
      <c r="B146" s="3" t="s">
        <v>555</v>
      </c>
      <c r="C146" s="41" t="s">
        <v>1066</v>
      </c>
      <c r="D146">
        <v>4</v>
      </c>
      <c r="E146" t="s">
        <v>1018</v>
      </c>
      <c r="F146" t="s">
        <v>975</v>
      </c>
      <c r="G146" t="s">
        <v>976</v>
      </c>
      <c r="H146" s="1" t="s">
        <v>976</v>
      </c>
      <c r="I146" s="1">
        <v>0.3</v>
      </c>
      <c r="J146" s="20">
        <v>462</v>
      </c>
      <c r="K146" s="1">
        <v>0.3</v>
      </c>
      <c r="L146" s="1">
        <v>138.6</v>
      </c>
      <c r="M146" s="42" t="s">
        <v>2607</v>
      </c>
      <c r="Q146" t="s">
        <v>555</v>
      </c>
    </row>
    <row r="147" spans="1:17" ht="15" customHeight="1" x14ac:dyDescent="0.25">
      <c r="A147" s="3" t="s">
        <v>1082</v>
      </c>
      <c r="B147" s="4" t="s">
        <v>198</v>
      </c>
      <c r="C147" t="s">
        <v>973</v>
      </c>
      <c r="D147">
        <v>1</v>
      </c>
      <c r="E147" t="s">
        <v>974</v>
      </c>
      <c r="F147" t="s">
        <v>975</v>
      </c>
      <c r="G147" t="s">
        <v>1078</v>
      </c>
      <c r="H147" s="1" t="s">
        <v>976</v>
      </c>
      <c r="I147" s="1">
        <v>53.880063</v>
      </c>
      <c r="J147" s="20">
        <v>-31.85</v>
      </c>
      <c r="K147" s="1">
        <v>53.880063</v>
      </c>
      <c r="L147" s="1">
        <v>-1716.08</v>
      </c>
      <c r="M147" s="42" t="s">
        <v>2608</v>
      </c>
      <c r="Q147" t="s">
        <v>198</v>
      </c>
    </row>
    <row r="148" spans="1:17" ht="15" customHeight="1" x14ac:dyDescent="0.25">
      <c r="A148" s="41" t="s">
        <v>1082</v>
      </c>
      <c r="B148" s="3" t="s">
        <v>198</v>
      </c>
      <c r="C148" s="41" t="s">
        <v>973</v>
      </c>
      <c r="D148">
        <v>4</v>
      </c>
      <c r="E148" t="s">
        <v>1018</v>
      </c>
      <c r="F148" t="s">
        <v>975</v>
      </c>
      <c r="G148" t="s">
        <v>1078</v>
      </c>
      <c r="H148" s="1" t="s">
        <v>976</v>
      </c>
      <c r="I148" s="1">
        <v>53.880063</v>
      </c>
      <c r="J148" s="20">
        <v>10.6</v>
      </c>
      <c r="K148" s="1">
        <v>43.580188999999997</v>
      </c>
      <c r="L148" s="1">
        <v>461.95</v>
      </c>
      <c r="M148" s="42" t="s">
        <v>2608</v>
      </c>
      <c r="Q148" t="s">
        <v>198</v>
      </c>
    </row>
    <row r="149" spans="1:17" ht="15" customHeight="1" x14ac:dyDescent="0.25">
      <c r="A149" s="3" t="s">
        <v>1083</v>
      </c>
      <c r="B149" s="4" t="s">
        <v>2610</v>
      </c>
      <c r="C149" t="s">
        <v>973</v>
      </c>
      <c r="D149">
        <v>1</v>
      </c>
      <c r="E149" t="s">
        <v>974</v>
      </c>
      <c r="F149" t="s">
        <v>975</v>
      </c>
      <c r="G149" t="s">
        <v>1078</v>
      </c>
      <c r="H149" s="1" t="s">
        <v>976</v>
      </c>
      <c r="I149" s="1">
        <v>49.98</v>
      </c>
      <c r="J149" s="20">
        <v>0</v>
      </c>
      <c r="K149" s="1">
        <v>49.979979999999998</v>
      </c>
      <c r="L149" s="1">
        <v>0</v>
      </c>
      <c r="M149" s="42" t="s">
        <v>2609</v>
      </c>
      <c r="O149" s="2" t="s">
        <v>2443</v>
      </c>
      <c r="Q149" t="s">
        <v>662</v>
      </c>
    </row>
    <row r="150" spans="1:17" ht="15" customHeight="1" x14ac:dyDescent="0.25">
      <c r="A150" s="3" t="s">
        <v>1084</v>
      </c>
      <c r="B150" s="4" t="s">
        <v>2612</v>
      </c>
      <c r="C150" t="s">
        <v>973</v>
      </c>
      <c r="D150">
        <v>1</v>
      </c>
      <c r="E150" t="s">
        <v>974</v>
      </c>
      <c r="F150" t="s">
        <v>975</v>
      </c>
      <c r="G150" t="s">
        <v>1078</v>
      </c>
      <c r="H150" s="1" t="s">
        <v>976</v>
      </c>
      <c r="I150" s="1">
        <v>56.780126000000003</v>
      </c>
      <c r="J150" s="20">
        <v>-35.020000000000003</v>
      </c>
      <c r="K150" s="1">
        <v>56.780126000000003</v>
      </c>
      <c r="L150" s="1">
        <v>-1988.44</v>
      </c>
      <c r="M150" s="42" t="s">
        <v>2611</v>
      </c>
      <c r="O150" s="2" t="s">
        <v>2437</v>
      </c>
      <c r="Q150" t="s">
        <v>663</v>
      </c>
    </row>
    <row r="151" spans="1:17" ht="15" customHeight="1" x14ac:dyDescent="0.25">
      <c r="A151" s="41" t="s">
        <v>1084</v>
      </c>
      <c r="B151" s="3" t="s">
        <v>2612</v>
      </c>
      <c r="C151" s="41" t="s">
        <v>973</v>
      </c>
      <c r="D151">
        <v>4</v>
      </c>
      <c r="E151" t="s">
        <v>1018</v>
      </c>
      <c r="F151" t="s">
        <v>975</v>
      </c>
      <c r="G151" t="s">
        <v>1078</v>
      </c>
      <c r="H151" s="1" t="s">
        <v>976</v>
      </c>
      <c r="I151" s="1">
        <v>56.780126000000003</v>
      </c>
      <c r="J151" s="20">
        <v>20.75</v>
      </c>
      <c r="K151" s="1">
        <v>46.780239999999999</v>
      </c>
      <c r="L151" s="1">
        <v>970.69</v>
      </c>
      <c r="M151" s="42" t="s">
        <v>2611</v>
      </c>
      <c r="O151" s="2" t="s">
        <v>2437</v>
      </c>
      <c r="Q151" t="s">
        <v>663</v>
      </c>
    </row>
    <row r="152" spans="1:17" ht="15" customHeight="1" x14ac:dyDescent="0.25">
      <c r="A152" s="3" t="s">
        <v>1085</v>
      </c>
      <c r="B152" s="4" t="s">
        <v>199</v>
      </c>
      <c r="C152" t="s">
        <v>973</v>
      </c>
      <c r="D152">
        <v>1</v>
      </c>
      <c r="E152" t="s">
        <v>974</v>
      </c>
      <c r="F152" t="s">
        <v>975</v>
      </c>
      <c r="G152" t="s">
        <v>1078</v>
      </c>
      <c r="H152" s="1" t="s">
        <v>976</v>
      </c>
      <c r="I152" s="1">
        <v>64.679930999999996</v>
      </c>
      <c r="J152" s="20">
        <v>-34.93</v>
      </c>
      <c r="K152" s="1">
        <v>64.679930999999996</v>
      </c>
      <c r="L152" s="1">
        <v>-2259.27</v>
      </c>
      <c r="M152" s="42" t="s">
        <v>2613</v>
      </c>
      <c r="Q152" t="s">
        <v>199</v>
      </c>
    </row>
    <row r="153" spans="1:17" ht="15" customHeight="1" x14ac:dyDescent="0.25">
      <c r="A153" s="41" t="s">
        <v>1085</v>
      </c>
      <c r="B153" s="3" t="s">
        <v>199</v>
      </c>
      <c r="C153" s="41" t="s">
        <v>973</v>
      </c>
      <c r="D153">
        <v>4</v>
      </c>
      <c r="E153" t="s">
        <v>1018</v>
      </c>
      <c r="F153" t="s">
        <v>975</v>
      </c>
      <c r="G153" t="s">
        <v>1078</v>
      </c>
      <c r="H153" s="1" t="s">
        <v>976</v>
      </c>
      <c r="I153" s="1">
        <v>64.679930999999996</v>
      </c>
      <c r="J153" s="20">
        <v>24.45</v>
      </c>
      <c r="K153" s="1">
        <v>53.480162999999997</v>
      </c>
      <c r="L153" s="1">
        <v>1307.5899999999999</v>
      </c>
      <c r="M153" s="42" t="s">
        <v>2613</v>
      </c>
      <c r="Q153" t="s">
        <v>199</v>
      </c>
    </row>
    <row r="154" spans="1:17" ht="15" customHeight="1" x14ac:dyDescent="0.25">
      <c r="A154" s="3" t="s">
        <v>1086</v>
      </c>
      <c r="B154" s="4" t="s">
        <v>2612</v>
      </c>
      <c r="C154" t="s">
        <v>973</v>
      </c>
      <c r="D154">
        <v>1</v>
      </c>
      <c r="E154" t="s">
        <v>974</v>
      </c>
      <c r="F154" t="s">
        <v>975</v>
      </c>
      <c r="G154" t="s">
        <v>1078</v>
      </c>
      <c r="H154" s="1" t="s">
        <v>976</v>
      </c>
      <c r="I154" s="1">
        <v>57.48</v>
      </c>
      <c r="J154" s="20">
        <v>41.76</v>
      </c>
      <c r="K154" s="1">
        <v>57.479936000000002</v>
      </c>
      <c r="L154" s="1">
        <v>2400.36</v>
      </c>
      <c r="M154" s="42" t="s">
        <v>2613</v>
      </c>
      <c r="O154" s="2" t="s">
        <v>2614</v>
      </c>
      <c r="Q154" t="s">
        <v>664</v>
      </c>
    </row>
    <row r="155" spans="1:17" ht="15" customHeight="1" x14ac:dyDescent="0.25">
      <c r="A155" s="3" t="s">
        <v>2061</v>
      </c>
      <c r="C155" t="s">
        <v>973</v>
      </c>
      <c r="D155">
        <v>1</v>
      </c>
      <c r="E155" t="s">
        <v>974</v>
      </c>
      <c r="F155" t="s">
        <v>975</v>
      </c>
      <c r="G155" t="s">
        <v>1079</v>
      </c>
      <c r="H155" s="1" t="s">
        <v>976</v>
      </c>
      <c r="I155" s="1">
        <v>84.2</v>
      </c>
      <c r="J155" s="20">
        <v>0.4</v>
      </c>
      <c r="K155" s="1">
        <v>84.2</v>
      </c>
      <c r="L155" s="1">
        <v>33.68</v>
      </c>
      <c r="M155" s="42" t="s">
        <v>2615</v>
      </c>
      <c r="N155" s="1" t="s">
        <v>2616</v>
      </c>
    </row>
    <row r="156" spans="1:17" ht="15" customHeight="1" x14ac:dyDescent="0.25">
      <c r="A156" s="3" t="s">
        <v>1087</v>
      </c>
      <c r="B156" s="4" t="s">
        <v>200</v>
      </c>
      <c r="C156" t="s">
        <v>1066</v>
      </c>
      <c r="D156">
        <v>1</v>
      </c>
      <c r="E156" t="s">
        <v>974</v>
      </c>
      <c r="F156" t="s">
        <v>975</v>
      </c>
      <c r="G156" t="s">
        <v>976</v>
      </c>
      <c r="H156" s="1" t="s">
        <v>976</v>
      </c>
      <c r="I156" s="1">
        <v>4.25</v>
      </c>
      <c r="J156" s="20">
        <v>-73</v>
      </c>
      <c r="K156" s="1">
        <v>4.8195360000000003</v>
      </c>
      <c r="L156" s="1">
        <v>-351.83</v>
      </c>
      <c r="M156" s="42" t="s">
        <v>2617</v>
      </c>
      <c r="Q156" t="s">
        <v>200</v>
      </c>
    </row>
    <row r="157" spans="1:17" ht="15" customHeight="1" x14ac:dyDescent="0.25">
      <c r="A157" s="41" t="s">
        <v>1087</v>
      </c>
      <c r="B157" s="3" t="s">
        <v>200</v>
      </c>
      <c r="C157" s="41" t="s">
        <v>1066</v>
      </c>
      <c r="D157">
        <v>4</v>
      </c>
      <c r="E157" t="s">
        <v>1018</v>
      </c>
      <c r="F157" t="s">
        <v>975</v>
      </c>
      <c r="G157" t="s">
        <v>976</v>
      </c>
      <c r="H157" s="1" t="s">
        <v>976</v>
      </c>
      <c r="I157" s="1">
        <v>4.25</v>
      </c>
      <c r="J157" s="20">
        <v>614</v>
      </c>
      <c r="K157" s="1">
        <v>4.25</v>
      </c>
      <c r="L157" s="1">
        <v>2609.5</v>
      </c>
      <c r="M157" s="42" t="s">
        <v>2617</v>
      </c>
      <c r="Q157" t="s">
        <v>200</v>
      </c>
    </row>
    <row r="158" spans="1:17" ht="15" customHeight="1" x14ac:dyDescent="0.25">
      <c r="A158" s="3" t="s">
        <v>2062</v>
      </c>
      <c r="B158" s="4" t="s">
        <v>2619</v>
      </c>
      <c r="C158" t="s">
        <v>973</v>
      </c>
      <c r="D158">
        <v>1</v>
      </c>
      <c r="E158" t="s">
        <v>974</v>
      </c>
      <c r="F158" t="s">
        <v>975</v>
      </c>
      <c r="G158" t="s">
        <v>1079</v>
      </c>
      <c r="H158" s="1" t="s">
        <v>976</v>
      </c>
      <c r="I158" s="1">
        <v>60.9</v>
      </c>
      <c r="J158" s="20">
        <v>0</v>
      </c>
      <c r="K158" s="1">
        <v>60.9</v>
      </c>
      <c r="L158" s="1">
        <v>0</v>
      </c>
      <c r="M158" s="42" t="s">
        <v>2618</v>
      </c>
      <c r="O158" s="2" t="s">
        <v>2472</v>
      </c>
      <c r="Q158" t="s">
        <v>481</v>
      </c>
    </row>
    <row r="159" spans="1:17" ht="15" customHeight="1" x14ac:dyDescent="0.25">
      <c r="A159" s="3" t="s">
        <v>1088</v>
      </c>
      <c r="B159" s="4" t="s">
        <v>2621</v>
      </c>
      <c r="C159" t="s">
        <v>973</v>
      </c>
      <c r="D159">
        <v>1</v>
      </c>
      <c r="E159" t="s">
        <v>974</v>
      </c>
      <c r="F159" t="s">
        <v>975</v>
      </c>
      <c r="G159" t="s">
        <v>1089</v>
      </c>
      <c r="H159" s="1" t="s">
        <v>976</v>
      </c>
      <c r="I159" s="1">
        <v>12.06</v>
      </c>
      <c r="J159" s="20">
        <v>0</v>
      </c>
      <c r="K159" s="1">
        <v>12.06</v>
      </c>
      <c r="L159" s="1">
        <v>0</v>
      </c>
      <c r="M159" s="42" t="s">
        <v>2620</v>
      </c>
      <c r="O159" s="2" t="s">
        <v>2437</v>
      </c>
      <c r="Q159" t="s">
        <v>665</v>
      </c>
    </row>
    <row r="160" spans="1:17" ht="15" customHeight="1" x14ac:dyDescent="0.25">
      <c r="A160" s="3" t="s">
        <v>2063</v>
      </c>
      <c r="B160" s="4" t="s">
        <v>2623</v>
      </c>
      <c r="C160" t="s">
        <v>973</v>
      </c>
      <c r="D160">
        <v>1</v>
      </c>
      <c r="E160" t="s">
        <v>974</v>
      </c>
      <c r="F160" t="s">
        <v>975</v>
      </c>
      <c r="G160" t="s">
        <v>1090</v>
      </c>
      <c r="H160" s="1" t="s">
        <v>976</v>
      </c>
      <c r="I160" s="1">
        <v>25.14</v>
      </c>
      <c r="J160" s="20">
        <v>0</v>
      </c>
      <c r="K160" s="1">
        <v>25.14</v>
      </c>
      <c r="L160" s="1">
        <v>0</v>
      </c>
      <c r="M160" s="42" t="s">
        <v>2622</v>
      </c>
      <c r="O160" s="2" t="s">
        <v>2447</v>
      </c>
      <c r="Q160" t="s">
        <v>666</v>
      </c>
    </row>
    <row r="161" spans="1:17" ht="15" customHeight="1" x14ac:dyDescent="0.25">
      <c r="A161" s="3" t="s">
        <v>2064</v>
      </c>
      <c r="B161" s="4" t="s">
        <v>2625</v>
      </c>
      <c r="C161" t="s">
        <v>973</v>
      </c>
      <c r="D161">
        <v>1</v>
      </c>
      <c r="E161" t="s">
        <v>974</v>
      </c>
      <c r="F161" t="s">
        <v>975</v>
      </c>
      <c r="G161" t="s">
        <v>1079</v>
      </c>
      <c r="H161" s="1" t="s">
        <v>976</v>
      </c>
      <c r="I161" s="1">
        <v>60.9</v>
      </c>
      <c r="J161" s="20">
        <v>0</v>
      </c>
      <c r="K161" s="1">
        <v>60.9</v>
      </c>
      <c r="L161" s="1">
        <v>0</v>
      </c>
      <c r="M161" s="42" t="s">
        <v>2624</v>
      </c>
      <c r="O161" s="2" t="s">
        <v>2447</v>
      </c>
      <c r="Q161" t="s">
        <v>667</v>
      </c>
    </row>
    <row r="162" spans="1:17" ht="15" customHeight="1" x14ac:dyDescent="0.25">
      <c r="A162" s="3" t="s">
        <v>1091</v>
      </c>
      <c r="B162" s="4" t="s">
        <v>2627</v>
      </c>
      <c r="C162" t="s">
        <v>973</v>
      </c>
      <c r="D162">
        <v>1</v>
      </c>
      <c r="E162" t="s">
        <v>974</v>
      </c>
      <c r="F162" t="s">
        <v>975</v>
      </c>
      <c r="G162" t="s">
        <v>976</v>
      </c>
      <c r="H162" s="1" t="s">
        <v>976</v>
      </c>
      <c r="I162" s="1">
        <v>52</v>
      </c>
      <c r="J162" s="20">
        <v>0</v>
      </c>
      <c r="K162" s="1">
        <v>51.155000000000001</v>
      </c>
      <c r="L162" s="1">
        <v>0</v>
      </c>
      <c r="M162" s="42" t="s">
        <v>2626</v>
      </c>
      <c r="O162" s="2" t="s">
        <v>2482</v>
      </c>
      <c r="Q162" t="s">
        <v>668</v>
      </c>
    </row>
    <row r="163" spans="1:17" ht="15" customHeight="1" x14ac:dyDescent="0.25">
      <c r="A163" s="41" t="s">
        <v>1091</v>
      </c>
      <c r="B163" s="3" t="s">
        <v>2627</v>
      </c>
      <c r="C163" s="41" t="s">
        <v>973</v>
      </c>
      <c r="D163">
        <v>4</v>
      </c>
      <c r="E163" t="s">
        <v>1018</v>
      </c>
      <c r="F163" t="s">
        <v>975</v>
      </c>
      <c r="G163" t="s">
        <v>976</v>
      </c>
      <c r="H163" s="1" t="s">
        <v>976</v>
      </c>
      <c r="I163" s="1">
        <v>52</v>
      </c>
      <c r="J163" s="20">
        <v>80</v>
      </c>
      <c r="K163" s="1">
        <v>52</v>
      </c>
      <c r="L163" s="1">
        <v>4160</v>
      </c>
      <c r="M163" s="42" t="s">
        <v>2626</v>
      </c>
      <c r="O163" s="2" t="s">
        <v>2482</v>
      </c>
      <c r="Q163" t="s">
        <v>668</v>
      </c>
    </row>
    <row r="164" spans="1:17" ht="15" customHeight="1" x14ac:dyDescent="0.25">
      <c r="A164" s="3" t="s">
        <v>2065</v>
      </c>
      <c r="B164" s="4" t="s">
        <v>2629</v>
      </c>
      <c r="C164" t="s">
        <v>973</v>
      </c>
      <c r="D164">
        <v>1</v>
      </c>
      <c r="E164" t="s">
        <v>974</v>
      </c>
      <c r="F164" t="s">
        <v>975</v>
      </c>
      <c r="G164" t="s">
        <v>976</v>
      </c>
      <c r="H164" s="1" t="s">
        <v>976</v>
      </c>
      <c r="I164" s="1">
        <v>34</v>
      </c>
      <c r="J164" s="20">
        <v>0</v>
      </c>
      <c r="K164" s="1">
        <v>34</v>
      </c>
      <c r="L164" s="1">
        <v>0</v>
      </c>
      <c r="M164" s="42" t="s">
        <v>2628</v>
      </c>
      <c r="O164" s="2" t="s">
        <v>2472</v>
      </c>
      <c r="Q164" t="s">
        <v>669</v>
      </c>
    </row>
    <row r="165" spans="1:17" ht="15" customHeight="1" x14ac:dyDescent="0.25">
      <c r="A165" s="41" t="s">
        <v>2065</v>
      </c>
      <c r="B165" s="3" t="s">
        <v>2629</v>
      </c>
      <c r="C165" s="41" t="s">
        <v>973</v>
      </c>
      <c r="D165">
        <v>4</v>
      </c>
      <c r="E165" t="s">
        <v>1018</v>
      </c>
      <c r="F165" t="s">
        <v>975</v>
      </c>
      <c r="G165" t="s">
        <v>976</v>
      </c>
      <c r="H165" s="1" t="s">
        <v>976</v>
      </c>
      <c r="I165" s="1">
        <v>34</v>
      </c>
      <c r="J165" s="20">
        <v>17.3</v>
      </c>
      <c r="K165" s="1">
        <v>34</v>
      </c>
      <c r="L165" s="1">
        <v>588.20000000000005</v>
      </c>
      <c r="M165" s="42" t="s">
        <v>2628</v>
      </c>
      <c r="O165" s="2" t="s">
        <v>2472</v>
      </c>
      <c r="Q165" t="s">
        <v>669</v>
      </c>
    </row>
    <row r="166" spans="1:17" ht="15" customHeight="1" x14ac:dyDescent="0.25">
      <c r="A166" s="3" t="s">
        <v>1092</v>
      </c>
      <c r="B166" s="4" t="s">
        <v>2631</v>
      </c>
      <c r="C166" t="s">
        <v>973</v>
      </c>
      <c r="D166">
        <v>1</v>
      </c>
      <c r="E166" t="s">
        <v>974</v>
      </c>
      <c r="F166" t="s">
        <v>975</v>
      </c>
      <c r="G166" t="s">
        <v>985</v>
      </c>
      <c r="H166" s="1" t="s">
        <v>976</v>
      </c>
      <c r="I166" s="1">
        <v>54</v>
      </c>
      <c r="J166" s="20">
        <v>20.8</v>
      </c>
      <c r="K166" s="1">
        <v>54</v>
      </c>
      <c r="L166" s="1">
        <v>1123.2</v>
      </c>
      <c r="M166" s="42" t="s">
        <v>2630</v>
      </c>
      <c r="O166" s="2" t="s">
        <v>2508</v>
      </c>
      <c r="Q166" t="s">
        <v>670</v>
      </c>
    </row>
    <row r="167" spans="1:17" ht="15" customHeight="1" x14ac:dyDescent="0.25">
      <c r="A167" s="3" t="s">
        <v>1093</v>
      </c>
      <c r="B167" s="4" t="s">
        <v>2633</v>
      </c>
      <c r="C167" t="s">
        <v>973</v>
      </c>
      <c r="D167">
        <v>1</v>
      </c>
      <c r="E167" t="s">
        <v>974</v>
      </c>
      <c r="F167" t="s">
        <v>975</v>
      </c>
      <c r="G167" t="s">
        <v>985</v>
      </c>
      <c r="H167" s="1" t="s">
        <v>976</v>
      </c>
      <c r="I167" s="1">
        <v>46.5</v>
      </c>
      <c r="J167" s="20">
        <v>21.5</v>
      </c>
      <c r="K167" s="1">
        <v>46.5</v>
      </c>
      <c r="L167" s="1">
        <v>999.75</v>
      </c>
      <c r="M167" s="42" t="s">
        <v>2632</v>
      </c>
      <c r="O167" s="2" t="s">
        <v>2508</v>
      </c>
      <c r="Q167" t="s">
        <v>671</v>
      </c>
    </row>
    <row r="168" spans="1:17" ht="15" customHeight="1" x14ac:dyDescent="0.25">
      <c r="A168" s="3" t="s">
        <v>1094</v>
      </c>
      <c r="B168" s="4" t="s">
        <v>201</v>
      </c>
      <c r="C168" t="s">
        <v>973</v>
      </c>
      <c r="D168">
        <v>1</v>
      </c>
      <c r="E168" t="s">
        <v>974</v>
      </c>
      <c r="F168" t="s">
        <v>975</v>
      </c>
      <c r="G168" t="s">
        <v>985</v>
      </c>
      <c r="H168" s="1" t="s">
        <v>976</v>
      </c>
      <c r="I168" s="1">
        <v>46.5</v>
      </c>
      <c r="J168" s="20">
        <v>21.5</v>
      </c>
      <c r="K168" s="1">
        <v>46.5</v>
      </c>
      <c r="L168" s="1">
        <v>999.75</v>
      </c>
      <c r="M168" s="42" t="s">
        <v>2634</v>
      </c>
      <c r="Q168" t="s">
        <v>201</v>
      </c>
    </row>
    <row r="169" spans="1:17" ht="15" customHeight="1" x14ac:dyDescent="0.25">
      <c r="A169" s="3" t="s">
        <v>1095</v>
      </c>
      <c r="B169" s="4" t="s">
        <v>202</v>
      </c>
      <c r="C169" t="s">
        <v>973</v>
      </c>
      <c r="D169">
        <v>1</v>
      </c>
      <c r="E169" t="s">
        <v>974</v>
      </c>
      <c r="F169" t="s">
        <v>975</v>
      </c>
      <c r="G169" t="s">
        <v>985</v>
      </c>
      <c r="H169" s="1" t="s">
        <v>976</v>
      </c>
      <c r="I169" s="1">
        <v>46.5</v>
      </c>
      <c r="J169" s="20">
        <v>21.8</v>
      </c>
      <c r="K169" s="1">
        <v>46.5</v>
      </c>
      <c r="L169" s="1">
        <v>1013.7</v>
      </c>
      <c r="M169" s="42" t="s">
        <v>2635</v>
      </c>
      <c r="Q169" t="s">
        <v>202</v>
      </c>
    </row>
    <row r="170" spans="1:17" ht="15" customHeight="1" x14ac:dyDescent="0.25">
      <c r="A170" s="3" t="s">
        <v>2248</v>
      </c>
      <c r="B170" s="4" t="s">
        <v>556</v>
      </c>
      <c r="C170" t="s">
        <v>1066</v>
      </c>
      <c r="D170">
        <v>1</v>
      </c>
      <c r="E170" t="s">
        <v>974</v>
      </c>
      <c r="F170" t="s">
        <v>975</v>
      </c>
      <c r="G170" t="s">
        <v>976</v>
      </c>
      <c r="H170" s="1" t="s">
        <v>976</v>
      </c>
      <c r="I170" s="1">
        <v>0.82</v>
      </c>
      <c r="J170" s="20">
        <v>161</v>
      </c>
      <c r="K170" s="1">
        <v>0.82</v>
      </c>
      <c r="L170" s="1">
        <v>132.02000000000001</v>
      </c>
      <c r="M170" s="42" t="s">
        <v>2636</v>
      </c>
      <c r="Q170" t="s">
        <v>556</v>
      </c>
    </row>
    <row r="171" spans="1:17" ht="15" customHeight="1" x14ac:dyDescent="0.25">
      <c r="A171" s="41" t="s">
        <v>2248</v>
      </c>
      <c r="B171" s="3" t="s">
        <v>556</v>
      </c>
      <c r="C171" s="41" t="s">
        <v>1066</v>
      </c>
      <c r="D171">
        <v>4</v>
      </c>
      <c r="E171" t="s">
        <v>1018</v>
      </c>
      <c r="F171" t="s">
        <v>975</v>
      </c>
      <c r="G171" t="s">
        <v>976</v>
      </c>
      <c r="H171" s="1" t="s">
        <v>976</v>
      </c>
      <c r="I171" s="1">
        <v>0.82</v>
      </c>
      <c r="J171" s="20">
        <v>12</v>
      </c>
      <c r="K171" s="1">
        <v>0.82</v>
      </c>
      <c r="L171" s="1">
        <v>9.84</v>
      </c>
      <c r="M171" s="42" t="s">
        <v>2636</v>
      </c>
      <c r="Q171" t="s">
        <v>556</v>
      </c>
    </row>
    <row r="172" spans="1:17" ht="15" customHeight="1" x14ac:dyDescent="0.25">
      <c r="A172" s="3" t="s">
        <v>1096</v>
      </c>
      <c r="B172" s="4" t="s">
        <v>2638</v>
      </c>
      <c r="C172" t="s">
        <v>973</v>
      </c>
      <c r="D172">
        <v>1</v>
      </c>
      <c r="E172" t="s">
        <v>974</v>
      </c>
      <c r="F172" t="s">
        <v>975</v>
      </c>
      <c r="G172" t="s">
        <v>976</v>
      </c>
      <c r="H172" s="1" t="s">
        <v>976</v>
      </c>
      <c r="I172" s="1">
        <v>34</v>
      </c>
      <c r="J172" s="20">
        <v>21.1</v>
      </c>
      <c r="K172" s="1">
        <v>34</v>
      </c>
      <c r="L172" s="1">
        <v>717.4</v>
      </c>
      <c r="M172" s="42" t="s">
        <v>2637</v>
      </c>
      <c r="O172" s="2" t="s">
        <v>2472</v>
      </c>
      <c r="Q172" t="s">
        <v>672</v>
      </c>
    </row>
    <row r="173" spans="1:17" ht="15" customHeight="1" x14ac:dyDescent="0.25">
      <c r="A173" s="3" t="s">
        <v>1097</v>
      </c>
      <c r="B173" s="4" t="s">
        <v>2640</v>
      </c>
      <c r="C173" t="s">
        <v>973</v>
      </c>
      <c r="D173">
        <v>1</v>
      </c>
      <c r="E173" t="s">
        <v>974</v>
      </c>
      <c r="F173" t="s">
        <v>975</v>
      </c>
      <c r="G173" t="s">
        <v>976</v>
      </c>
      <c r="H173" s="1" t="s">
        <v>976</v>
      </c>
      <c r="I173" s="1">
        <v>91</v>
      </c>
      <c r="J173" s="20">
        <v>20.6</v>
      </c>
      <c r="K173" s="1">
        <v>91.6</v>
      </c>
      <c r="L173" s="1">
        <v>1886.96</v>
      </c>
      <c r="M173" s="42" t="s">
        <v>2639</v>
      </c>
      <c r="O173" s="2" t="s">
        <v>2472</v>
      </c>
      <c r="Q173" t="s">
        <v>673</v>
      </c>
    </row>
    <row r="174" spans="1:17" ht="15" customHeight="1" x14ac:dyDescent="0.25">
      <c r="A174" s="3" t="s">
        <v>1098</v>
      </c>
      <c r="B174" s="4" t="s">
        <v>2640</v>
      </c>
      <c r="C174" t="s">
        <v>973</v>
      </c>
      <c r="D174">
        <v>1</v>
      </c>
      <c r="E174" t="s">
        <v>974</v>
      </c>
      <c r="F174" t="s">
        <v>975</v>
      </c>
      <c r="G174" t="s">
        <v>976</v>
      </c>
      <c r="H174" s="1" t="s">
        <v>976</v>
      </c>
      <c r="I174" s="1">
        <v>91</v>
      </c>
      <c r="J174" s="20">
        <v>110.9</v>
      </c>
      <c r="K174" s="1">
        <v>91</v>
      </c>
      <c r="L174" s="1">
        <v>10091.9</v>
      </c>
      <c r="M174" s="42" t="s">
        <v>2641</v>
      </c>
      <c r="O174" s="2" t="s">
        <v>2447</v>
      </c>
      <c r="Q174" t="s">
        <v>674</v>
      </c>
    </row>
    <row r="175" spans="1:17" ht="15" customHeight="1" x14ac:dyDescent="0.25">
      <c r="A175" s="3" t="s">
        <v>2066</v>
      </c>
      <c r="B175" s="4" t="s">
        <v>2643</v>
      </c>
      <c r="C175" t="s">
        <v>973</v>
      </c>
      <c r="D175">
        <v>1</v>
      </c>
      <c r="E175" t="s">
        <v>974</v>
      </c>
      <c r="F175" t="s">
        <v>975</v>
      </c>
      <c r="G175" t="s">
        <v>976</v>
      </c>
      <c r="H175" s="1" t="s">
        <v>976</v>
      </c>
      <c r="I175" s="1">
        <v>55</v>
      </c>
      <c r="J175" s="20">
        <v>20</v>
      </c>
      <c r="K175" s="1">
        <v>55</v>
      </c>
      <c r="L175" s="1">
        <v>1100</v>
      </c>
      <c r="M175" s="42" t="s">
        <v>2642</v>
      </c>
      <c r="O175" s="2" t="s">
        <v>2472</v>
      </c>
      <c r="Q175" t="s">
        <v>675</v>
      </c>
    </row>
    <row r="176" spans="1:17" ht="15" customHeight="1" x14ac:dyDescent="0.25">
      <c r="A176" s="3" t="s">
        <v>2249</v>
      </c>
      <c r="B176" s="4" t="s">
        <v>2645</v>
      </c>
      <c r="C176" t="s">
        <v>973</v>
      </c>
      <c r="D176">
        <v>1</v>
      </c>
      <c r="E176" t="s">
        <v>974</v>
      </c>
      <c r="F176" t="s">
        <v>975</v>
      </c>
      <c r="G176" t="s">
        <v>976</v>
      </c>
      <c r="H176" s="1" t="s">
        <v>976</v>
      </c>
      <c r="I176" s="1">
        <v>52</v>
      </c>
      <c r="J176" s="20">
        <v>30</v>
      </c>
      <c r="K176" s="1">
        <v>51.773913</v>
      </c>
      <c r="L176" s="1">
        <v>1553.22</v>
      </c>
      <c r="M176" s="42" t="s">
        <v>2644</v>
      </c>
      <c r="O176" s="2" t="s">
        <v>2447</v>
      </c>
      <c r="Q176" t="s">
        <v>676</v>
      </c>
    </row>
    <row r="177" spans="1:17" ht="15" customHeight="1" x14ac:dyDescent="0.25">
      <c r="A177" s="41" t="s">
        <v>2249</v>
      </c>
      <c r="B177" s="3" t="s">
        <v>2645</v>
      </c>
      <c r="C177" s="41" t="s">
        <v>973</v>
      </c>
      <c r="D177">
        <v>4</v>
      </c>
      <c r="E177" t="s">
        <v>1018</v>
      </c>
      <c r="F177" t="s">
        <v>975</v>
      </c>
      <c r="G177" t="s">
        <v>976</v>
      </c>
      <c r="H177" s="1" t="s">
        <v>976</v>
      </c>
      <c r="I177" s="1">
        <v>52</v>
      </c>
      <c r="J177" s="20">
        <v>0</v>
      </c>
      <c r="K177" s="1">
        <v>52</v>
      </c>
      <c r="L177" s="1">
        <v>0</v>
      </c>
      <c r="M177" s="42" t="s">
        <v>2644</v>
      </c>
      <c r="O177" s="2" t="s">
        <v>2447</v>
      </c>
      <c r="Q177" t="s">
        <v>676</v>
      </c>
    </row>
    <row r="178" spans="1:17" ht="15" customHeight="1" x14ac:dyDescent="0.25">
      <c r="A178" s="3" t="s">
        <v>2067</v>
      </c>
      <c r="B178" s="4" t="s">
        <v>2647</v>
      </c>
      <c r="C178" t="s">
        <v>973</v>
      </c>
      <c r="D178">
        <v>2</v>
      </c>
      <c r="E178" t="s">
        <v>1017</v>
      </c>
      <c r="F178" t="s">
        <v>975</v>
      </c>
      <c r="G178" t="s">
        <v>1099</v>
      </c>
      <c r="H178" s="1" t="s">
        <v>976</v>
      </c>
      <c r="I178" s="1">
        <v>27.9</v>
      </c>
      <c r="J178" s="20">
        <v>30.8</v>
      </c>
      <c r="K178" s="1">
        <v>27.9</v>
      </c>
      <c r="L178" s="1">
        <v>859.32</v>
      </c>
      <c r="M178" s="42" t="s">
        <v>2646</v>
      </c>
      <c r="O178" s="2" t="s">
        <v>2437</v>
      </c>
      <c r="Q178" t="s">
        <v>677</v>
      </c>
    </row>
    <row r="179" spans="1:17" ht="15" customHeight="1" x14ac:dyDescent="0.25">
      <c r="A179" s="3" t="s">
        <v>2068</v>
      </c>
      <c r="B179" s="4" t="s">
        <v>2647</v>
      </c>
      <c r="C179" t="s">
        <v>973</v>
      </c>
      <c r="D179">
        <v>2</v>
      </c>
      <c r="E179" t="s">
        <v>1017</v>
      </c>
      <c r="F179" t="s">
        <v>975</v>
      </c>
      <c r="G179" t="s">
        <v>1099</v>
      </c>
      <c r="H179" s="1" t="s">
        <v>976</v>
      </c>
      <c r="I179" s="1">
        <v>26.7</v>
      </c>
      <c r="J179" s="20">
        <v>14.8</v>
      </c>
      <c r="K179" s="1">
        <v>26.7</v>
      </c>
      <c r="L179" s="1">
        <v>395.16</v>
      </c>
      <c r="M179" s="42" t="s">
        <v>2648</v>
      </c>
      <c r="O179" s="2" t="s">
        <v>2528</v>
      </c>
      <c r="Q179" t="s">
        <v>678</v>
      </c>
    </row>
    <row r="180" spans="1:17" ht="15" customHeight="1" x14ac:dyDescent="0.25">
      <c r="A180" s="3" t="s">
        <v>2069</v>
      </c>
      <c r="B180" s="4" t="s">
        <v>482</v>
      </c>
      <c r="C180" t="s">
        <v>973</v>
      </c>
      <c r="D180">
        <v>2</v>
      </c>
      <c r="E180" t="s">
        <v>1017</v>
      </c>
      <c r="F180" t="s">
        <v>975</v>
      </c>
      <c r="G180" t="s">
        <v>1099</v>
      </c>
      <c r="H180" s="1" t="s">
        <v>976</v>
      </c>
      <c r="I180" s="1">
        <v>26.7</v>
      </c>
      <c r="J180" s="20">
        <v>14.9</v>
      </c>
      <c r="K180" s="1">
        <v>26.7</v>
      </c>
      <c r="L180" s="1">
        <v>397.83</v>
      </c>
      <c r="M180" s="42" t="s">
        <v>2649</v>
      </c>
      <c r="Q180" t="s">
        <v>482</v>
      </c>
    </row>
    <row r="181" spans="1:17" ht="15" customHeight="1" x14ac:dyDescent="0.25">
      <c r="A181" s="3" t="s">
        <v>2070</v>
      </c>
      <c r="B181" s="4" t="s">
        <v>2647</v>
      </c>
      <c r="C181" t="s">
        <v>973</v>
      </c>
      <c r="D181">
        <v>1</v>
      </c>
      <c r="E181" t="s">
        <v>974</v>
      </c>
      <c r="F181" t="s">
        <v>975</v>
      </c>
      <c r="G181" t="s">
        <v>1099</v>
      </c>
      <c r="H181" s="1" t="s">
        <v>976</v>
      </c>
      <c r="I181" s="1">
        <v>32.4</v>
      </c>
      <c r="J181" s="20">
        <v>15</v>
      </c>
      <c r="K181" s="1">
        <v>32.4</v>
      </c>
      <c r="L181" s="1">
        <v>486</v>
      </c>
      <c r="M181" s="42" t="s">
        <v>2650</v>
      </c>
      <c r="O181" s="2" t="s">
        <v>2447</v>
      </c>
      <c r="Q181" t="s">
        <v>679</v>
      </c>
    </row>
    <row r="182" spans="1:17" ht="15" customHeight="1" x14ac:dyDescent="0.25">
      <c r="A182" s="41" t="s">
        <v>2070</v>
      </c>
      <c r="B182" s="3" t="s">
        <v>2647</v>
      </c>
      <c r="C182" s="41" t="s">
        <v>973</v>
      </c>
      <c r="D182">
        <v>2</v>
      </c>
      <c r="E182" t="s">
        <v>1017</v>
      </c>
      <c r="F182" t="s">
        <v>975</v>
      </c>
      <c r="G182" t="s">
        <v>1099</v>
      </c>
      <c r="H182" s="1" t="s">
        <v>976</v>
      </c>
      <c r="I182" s="1">
        <v>32.4</v>
      </c>
      <c r="J182" s="20">
        <v>0</v>
      </c>
      <c r="K182" s="1">
        <v>32.4</v>
      </c>
      <c r="L182" s="1">
        <v>0</v>
      </c>
      <c r="M182" s="42" t="s">
        <v>2650</v>
      </c>
      <c r="O182" s="2" t="s">
        <v>2447</v>
      </c>
      <c r="Q182" t="s">
        <v>679</v>
      </c>
    </row>
    <row r="183" spans="1:17" ht="15" customHeight="1" x14ac:dyDescent="0.25">
      <c r="A183" s="3" t="s">
        <v>2071</v>
      </c>
      <c r="B183" s="4" t="s">
        <v>2652</v>
      </c>
      <c r="C183" t="s">
        <v>973</v>
      </c>
      <c r="D183">
        <v>2</v>
      </c>
      <c r="E183" t="s">
        <v>1017</v>
      </c>
      <c r="F183" t="s">
        <v>975</v>
      </c>
      <c r="G183" t="s">
        <v>1099</v>
      </c>
      <c r="H183" s="1" t="s">
        <v>976</v>
      </c>
      <c r="I183" s="1">
        <v>22.1</v>
      </c>
      <c r="J183" s="20">
        <v>29.7</v>
      </c>
      <c r="K183" s="1">
        <v>22.1</v>
      </c>
      <c r="L183" s="1">
        <v>656.37</v>
      </c>
      <c r="M183" s="42" t="s">
        <v>2651</v>
      </c>
      <c r="O183" s="2" t="s">
        <v>2467</v>
      </c>
      <c r="Q183" t="s">
        <v>680</v>
      </c>
    </row>
    <row r="184" spans="1:17" ht="15" customHeight="1" x14ac:dyDescent="0.25">
      <c r="A184" s="3" t="s">
        <v>2072</v>
      </c>
      <c r="B184" s="4" t="s">
        <v>2652</v>
      </c>
      <c r="C184" t="s">
        <v>973</v>
      </c>
      <c r="D184">
        <v>2</v>
      </c>
      <c r="E184" t="s">
        <v>1017</v>
      </c>
      <c r="F184" t="s">
        <v>975</v>
      </c>
      <c r="G184" t="s">
        <v>1099</v>
      </c>
      <c r="H184" s="1" t="s">
        <v>976</v>
      </c>
      <c r="I184" s="1">
        <v>22.1</v>
      </c>
      <c r="J184" s="20">
        <v>34.799999999999997</v>
      </c>
      <c r="K184" s="1">
        <v>22.1</v>
      </c>
      <c r="L184" s="1">
        <v>769.08</v>
      </c>
      <c r="M184" s="42" t="s">
        <v>2653</v>
      </c>
      <c r="O184" s="2" t="s">
        <v>2467</v>
      </c>
      <c r="Q184" t="s">
        <v>680</v>
      </c>
    </row>
    <row r="185" spans="1:17" ht="15" customHeight="1" x14ac:dyDescent="0.25">
      <c r="A185" s="3" t="s">
        <v>2073</v>
      </c>
      <c r="B185" s="4" t="s">
        <v>2647</v>
      </c>
      <c r="C185" t="s">
        <v>973</v>
      </c>
      <c r="D185">
        <v>1</v>
      </c>
      <c r="E185" t="s">
        <v>974</v>
      </c>
      <c r="F185" t="s">
        <v>975</v>
      </c>
      <c r="G185" t="s">
        <v>1099</v>
      </c>
      <c r="H185" s="1" t="s">
        <v>976</v>
      </c>
      <c r="I185" s="1">
        <v>39.700000000000003</v>
      </c>
      <c r="J185" s="20">
        <v>50</v>
      </c>
      <c r="K185" s="1">
        <v>39.700000000000003</v>
      </c>
      <c r="L185" s="1">
        <v>1985</v>
      </c>
      <c r="M185" s="42" t="s">
        <v>2654</v>
      </c>
      <c r="O185" s="2" t="s">
        <v>2482</v>
      </c>
      <c r="Q185" t="s">
        <v>681</v>
      </c>
    </row>
    <row r="186" spans="1:17" ht="15" customHeight="1" x14ac:dyDescent="0.25">
      <c r="A186" s="3" t="s">
        <v>2074</v>
      </c>
      <c r="B186" s="4" t="s">
        <v>2652</v>
      </c>
      <c r="C186" t="s">
        <v>973</v>
      </c>
      <c r="D186">
        <v>1</v>
      </c>
      <c r="E186" t="s">
        <v>974</v>
      </c>
      <c r="F186" t="s">
        <v>975</v>
      </c>
      <c r="G186" t="s">
        <v>1099</v>
      </c>
      <c r="H186" s="1" t="s">
        <v>976</v>
      </c>
      <c r="I186" s="1">
        <v>39.700000000000003</v>
      </c>
      <c r="J186" s="20">
        <v>70</v>
      </c>
      <c r="K186" s="1">
        <v>39.700000000000003</v>
      </c>
      <c r="L186" s="1">
        <v>2779</v>
      </c>
      <c r="M186" s="42" t="s">
        <v>2655</v>
      </c>
      <c r="O186" s="2" t="s">
        <v>2467</v>
      </c>
      <c r="Q186" t="s">
        <v>680</v>
      </c>
    </row>
    <row r="187" spans="1:17" ht="15" customHeight="1" x14ac:dyDescent="0.25">
      <c r="A187" s="3" t="s">
        <v>2075</v>
      </c>
      <c r="B187" s="4" t="s">
        <v>2657</v>
      </c>
      <c r="C187" t="s">
        <v>973</v>
      </c>
      <c r="D187">
        <v>1</v>
      </c>
      <c r="E187" t="s">
        <v>974</v>
      </c>
      <c r="F187" t="s">
        <v>975</v>
      </c>
      <c r="G187" t="s">
        <v>1090</v>
      </c>
      <c r="H187" s="1" t="s">
        <v>976</v>
      </c>
      <c r="I187" s="1">
        <v>25.14</v>
      </c>
      <c r="J187" s="20">
        <v>0</v>
      </c>
      <c r="K187" s="1">
        <v>25.14</v>
      </c>
      <c r="L187" s="1">
        <v>0</v>
      </c>
      <c r="M187" s="42" t="s">
        <v>2656</v>
      </c>
      <c r="O187" s="2" t="s">
        <v>2482</v>
      </c>
      <c r="Q187" t="s">
        <v>682</v>
      </c>
    </row>
    <row r="188" spans="1:17" ht="15" customHeight="1" x14ac:dyDescent="0.25">
      <c r="A188" s="3" t="s">
        <v>1100</v>
      </c>
      <c r="B188" s="4" t="s">
        <v>203</v>
      </c>
      <c r="C188" t="s">
        <v>973</v>
      </c>
      <c r="D188">
        <v>1</v>
      </c>
      <c r="E188" t="s">
        <v>974</v>
      </c>
      <c r="F188" t="s">
        <v>975</v>
      </c>
      <c r="G188" t="s">
        <v>976</v>
      </c>
      <c r="H188" s="1" t="s">
        <v>976</v>
      </c>
      <c r="I188" s="1">
        <v>43.9</v>
      </c>
      <c r="J188" s="20">
        <v>3</v>
      </c>
      <c r="K188" s="1">
        <v>41.705091000000003</v>
      </c>
      <c r="L188" s="1">
        <v>125.12</v>
      </c>
      <c r="M188" s="42" t="s">
        <v>2658</v>
      </c>
      <c r="Q188" t="s">
        <v>203</v>
      </c>
    </row>
    <row r="189" spans="1:17" ht="15" customHeight="1" x14ac:dyDescent="0.25">
      <c r="A189" s="41" t="s">
        <v>1100</v>
      </c>
      <c r="B189" s="3" t="s">
        <v>203</v>
      </c>
      <c r="C189" s="41" t="s">
        <v>973</v>
      </c>
      <c r="D189">
        <v>4</v>
      </c>
      <c r="E189" t="s">
        <v>1018</v>
      </c>
      <c r="F189" t="s">
        <v>975</v>
      </c>
      <c r="G189" t="s">
        <v>976</v>
      </c>
      <c r="H189" s="1" t="s">
        <v>976</v>
      </c>
      <c r="I189" s="1">
        <v>43.9</v>
      </c>
      <c r="J189" s="20">
        <v>52</v>
      </c>
      <c r="K189" s="1">
        <v>43.9</v>
      </c>
      <c r="L189" s="1">
        <v>2282.8000000000002</v>
      </c>
      <c r="M189" s="42" t="s">
        <v>2658</v>
      </c>
      <c r="Q189" t="s">
        <v>203</v>
      </c>
    </row>
    <row r="190" spans="1:17" ht="15" customHeight="1" x14ac:dyDescent="0.25">
      <c r="A190" s="3" t="s">
        <v>1101</v>
      </c>
      <c r="B190" s="4" t="s">
        <v>204</v>
      </c>
      <c r="C190" t="s">
        <v>1066</v>
      </c>
      <c r="D190">
        <v>1</v>
      </c>
      <c r="E190" t="s">
        <v>974</v>
      </c>
      <c r="F190" t="s">
        <v>975</v>
      </c>
      <c r="G190" t="s">
        <v>976</v>
      </c>
      <c r="H190" s="1" t="s">
        <v>976</v>
      </c>
      <c r="I190" s="1">
        <v>5.5</v>
      </c>
      <c r="J190" s="20">
        <v>257.91000000000003</v>
      </c>
      <c r="K190" s="1">
        <v>5.3517049999999999</v>
      </c>
      <c r="L190" s="1">
        <v>1380.26</v>
      </c>
      <c r="M190" s="42" t="s">
        <v>2659</v>
      </c>
      <c r="Q190" t="s">
        <v>204</v>
      </c>
    </row>
    <row r="191" spans="1:17" ht="15" customHeight="1" x14ac:dyDescent="0.25">
      <c r="A191" s="41" t="s">
        <v>1101</v>
      </c>
      <c r="B191" s="3" t="s">
        <v>204</v>
      </c>
      <c r="C191" s="41" t="s">
        <v>1066</v>
      </c>
      <c r="D191">
        <v>4</v>
      </c>
      <c r="E191" t="s">
        <v>1018</v>
      </c>
      <c r="F191" t="s">
        <v>975</v>
      </c>
      <c r="G191" t="s">
        <v>976</v>
      </c>
      <c r="H191" s="1" t="s">
        <v>976</v>
      </c>
      <c r="I191" s="1">
        <v>5.5</v>
      </c>
      <c r="J191" s="20">
        <v>631</v>
      </c>
      <c r="K191" s="1">
        <v>5.5</v>
      </c>
      <c r="L191" s="1">
        <v>3470.5</v>
      </c>
      <c r="M191" s="42" t="s">
        <v>2659</v>
      </c>
      <c r="Q191" t="s">
        <v>204</v>
      </c>
    </row>
    <row r="192" spans="1:17" ht="15" customHeight="1" x14ac:dyDescent="0.25">
      <c r="A192" s="3" t="s">
        <v>2210</v>
      </c>
      <c r="B192" s="4" t="s">
        <v>546</v>
      </c>
      <c r="C192" t="s">
        <v>1066</v>
      </c>
      <c r="D192">
        <v>1</v>
      </c>
      <c r="E192" t="s">
        <v>974</v>
      </c>
      <c r="F192" t="s">
        <v>975</v>
      </c>
      <c r="G192" t="s">
        <v>976</v>
      </c>
      <c r="H192" s="1" t="s">
        <v>976</v>
      </c>
      <c r="I192" s="1">
        <v>2.85</v>
      </c>
      <c r="J192" s="20">
        <v>1036</v>
      </c>
      <c r="K192" s="1">
        <v>2.85</v>
      </c>
      <c r="L192" s="1">
        <v>2952.6</v>
      </c>
      <c r="M192" s="42" t="s">
        <v>2660</v>
      </c>
      <c r="Q192" t="s">
        <v>546</v>
      </c>
    </row>
    <row r="193" spans="1:17" ht="15" customHeight="1" x14ac:dyDescent="0.25">
      <c r="A193" s="41" t="s">
        <v>2210</v>
      </c>
      <c r="B193" s="3" t="s">
        <v>546</v>
      </c>
      <c r="C193" s="41" t="s">
        <v>1066</v>
      </c>
      <c r="D193">
        <v>4</v>
      </c>
      <c r="E193" t="s">
        <v>1018</v>
      </c>
      <c r="F193" t="s">
        <v>975</v>
      </c>
      <c r="G193" t="s">
        <v>976</v>
      </c>
      <c r="H193" s="1" t="s">
        <v>976</v>
      </c>
      <c r="I193" s="1">
        <v>2.85</v>
      </c>
      <c r="J193" s="20">
        <v>1850</v>
      </c>
      <c r="K193" s="1">
        <v>2.85</v>
      </c>
      <c r="L193" s="1">
        <v>5272.5</v>
      </c>
      <c r="M193" s="42" t="s">
        <v>2660</v>
      </c>
      <c r="Q193" t="s">
        <v>546</v>
      </c>
    </row>
    <row r="194" spans="1:17" ht="15" customHeight="1" x14ac:dyDescent="0.25">
      <c r="A194" s="3" t="s">
        <v>1102</v>
      </c>
      <c r="B194" s="4" t="s">
        <v>205</v>
      </c>
      <c r="C194" t="s">
        <v>1066</v>
      </c>
      <c r="D194">
        <v>1</v>
      </c>
      <c r="E194" t="s">
        <v>974</v>
      </c>
      <c r="F194" t="s">
        <v>975</v>
      </c>
      <c r="G194" t="s">
        <v>976</v>
      </c>
      <c r="H194" s="1" t="s">
        <v>976</v>
      </c>
      <c r="I194" s="1">
        <v>3.43</v>
      </c>
      <c r="J194" s="20">
        <v>385</v>
      </c>
      <c r="K194" s="1">
        <v>3.43</v>
      </c>
      <c r="L194" s="1">
        <v>1320.55</v>
      </c>
      <c r="M194" s="42" t="s">
        <v>2661</v>
      </c>
      <c r="Q194" t="s">
        <v>205</v>
      </c>
    </row>
    <row r="195" spans="1:17" ht="15" customHeight="1" x14ac:dyDescent="0.25">
      <c r="A195" s="41" t="s">
        <v>1102</v>
      </c>
      <c r="B195" s="3" t="s">
        <v>205</v>
      </c>
      <c r="C195" s="41" t="s">
        <v>1066</v>
      </c>
      <c r="D195">
        <v>4</v>
      </c>
      <c r="E195" t="s">
        <v>1018</v>
      </c>
      <c r="F195" t="s">
        <v>975</v>
      </c>
      <c r="G195" t="s">
        <v>976</v>
      </c>
      <c r="H195" s="1" t="s">
        <v>976</v>
      </c>
      <c r="I195" s="1">
        <v>3.43</v>
      </c>
      <c r="J195" s="20">
        <v>511</v>
      </c>
      <c r="K195" s="1">
        <v>3.43</v>
      </c>
      <c r="L195" s="1">
        <v>1752.73</v>
      </c>
      <c r="M195" s="42" t="s">
        <v>2661</v>
      </c>
      <c r="Q195" t="s">
        <v>205</v>
      </c>
    </row>
    <row r="196" spans="1:17" ht="15" customHeight="1" x14ac:dyDescent="0.25">
      <c r="A196" s="3" t="s">
        <v>1103</v>
      </c>
      <c r="B196" s="4" t="s">
        <v>2663</v>
      </c>
      <c r="C196" t="s">
        <v>973</v>
      </c>
      <c r="D196">
        <v>1</v>
      </c>
      <c r="E196" t="s">
        <v>974</v>
      </c>
      <c r="F196" t="s">
        <v>975</v>
      </c>
      <c r="G196" t="s">
        <v>1089</v>
      </c>
      <c r="H196" s="1" t="s">
        <v>976</v>
      </c>
      <c r="I196" s="1">
        <v>14.04</v>
      </c>
      <c r="J196" s="20">
        <v>0</v>
      </c>
      <c r="K196" s="1">
        <v>14.039959</v>
      </c>
      <c r="L196" s="1">
        <v>0</v>
      </c>
      <c r="M196" s="42" t="s">
        <v>2662</v>
      </c>
      <c r="O196" s="2" t="s">
        <v>2467</v>
      </c>
      <c r="Q196" t="s">
        <v>683</v>
      </c>
    </row>
    <row r="197" spans="1:17" ht="15" customHeight="1" x14ac:dyDescent="0.25">
      <c r="A197" s="3" t="s">
        <v>1104</v>
      </c>
      <c r="B197" s="4" t="s">
        <v>206</v>
      </c>
      <c r="C197" t="s">
        <v>1066</v>
      </c>
      <c r="D197">
        <v>1</v>
      </c>
      <c r="E197" t="s">
        <v>974</v>
      </c>
      <c r="F197" t="s">
        <v>975</v>
      </c>
      <c r="G197" t="s">
        <v>976</v>
      </c>
      <c r="H197" s="1" t="s">
        <v>976</v>
      </c>
      <c r="I197" s="1">
        <v>2.98</v>
      </c>
      <c r="J197" s="20">
        <v>400</v>
      </c>
      <c r="K197" s="1">
        <v>3.28</v>
      </c>
      <c r="L197" s="1">
        <v>1312</v>
      </c>
      <c r="M197" s="42" t="s">
        <v>2664</v>
      </c>
      <c r="Q197" t="s">
        <v>206</v>
      </c>
    </row>
    <row r="198" spans="1:17" ht="15" customHeight="1" x14ac:dyDescent="0.25">
      <c r="A198" s="41" t="s">
        <v>1104</v>
      </c>
      <c r="B198" s="3" t="s">
        <v>206</v>
      </c>
      <c r="C198" s="41" t="s">
        <v>1066</v>
      </c>
      <c r="D198">
        <v>4</v>
      </c>
      <c r="E198" t="s">
        <v>1018</v>
      </c>
      <c r="F198" t="s">
        <v>975</v>
      </c>
      <c r="G198" t="s">
        <v>976</v>
      </c>
      <c r="H198" s="1" t="s">
        <v>976</v>
      </c>
      <c r="I198" s="1">
        <v>2.98</v>
      </c>
      <c r="J198" s="20">
        <v>600</v>
      </c>
      <c r="K198" s="1">
        <v>3.28</v>
      </c>
      <c r="L198" s="1">
        <v>1968</v>
      </c>
      <c r="M198" s="42" t="s">
        <v>2664</v>
      </c>
      <c r="Q198" t="s">
        <v>206</v>
      </c>
    </row>
    <row r="199" spans="1:17" ht="15" customHeight="1" x14ac:dyDescent="0.25">
      <c r="A199" s="3" t="s">
        <v>1105</v>
      </c>
      <c r="B199" s="4" t="s">
        <v>2666</v>
      </c>
      <c r="C199" t="s">
        <v>973</v>
      </c>
      <c r="D199">
        <v>1</v>
      </c>
      <c r="E199" t="s">
        <v>974</v>
      </c>
      <c r="F199" t="s">
        <v>975</v>
      </c>
      <c r="G199" t="s">
        <v>1106</v>
      </c>
      <c r="H199" s="1" t="s">
        <v>976</v>
      </c>
      <c r="I199" s="1">
        <v>14.04</v>
      </c>
      <c r="J199" s="20">
        <v>51.7</v>
      </c>
      <c r="K199" s="1">
        <v>14.040039</v>
      </c>
      <c r="L199" s="1">
        <v>725.87</v>
      </c>
      <c r="M199" s="42" t="s">
        <v>2665</v>
      </c>
      <c r="O199" s="2" t="s">
        <v>2433</v>
      </c>
      <c r="Q199" t="s">
        <v>684</v>
      </c>
    </row>
    <row r="200" spans="1:17" ht="15" customHeight="1" x14ac:dyDescent="0.25">
      <c r="A200" s="3" t="s">
        <v>1107</v>
      </c>
      <c r="B200" s="4" t="s">
        <v>207</v>
      </c>
      <c r="C200" t="s">
        <v>973</v>
      </c>
      <c r="D200">
        <v>1</v>
      </c>
      <c r="E200" t="s">
        <v>974</v>
      </c>
      <c r="F200" t="s">
        <v>975</v>
      </c>
      <c r="G200" t="s">
        <v>1106</v>
      </c>
      <c r="H200" s="1" t="s">
        <v>976</v>
      </c>
      <c r="I200" s="1">
        <v>14.04</v>
      </c>
      <c r="J200" s="20">
        <v>50</v>
      </c>
      <c r="K200" s="1">
        <v>14.04</v>
      </c>
      <c r="L200" s="1">
        <v>702</v>
      </c>
      <c r="M200" s="42" t="s">
        <v>2667</v>
      </c>
      <c r="Q200" t="s">
        <v>207</v>
      </c>
    </row>
    <row r="201" spans="1:17" ht="15" customHeight="1" x14ac:dyDescent="0.25">
      <c r="A201" s="3" t="s">
        <v>1108</v>
      </c>
      <c r="B201" s="4" t="s">
        <v>2669</v>
      </c>
      <c r="C201" t="s">
        <v>973</v>
      </c>
      <c r="D201">
        <v>1</v>
      </c>
      <c r="E201" t="s">
        <v>974</v>
      </c>
      <c r="F201" t="s">
        <v>975</v>
      </c>
      <c r="G201" t="s">
        <v>1089</v>
      </c>
      <c r="H201" s="1" t="s">
        <v>976</v>
      </c>
      <c r="I201" s="1">
        <v>14.04</v>
      </c>
      <c r="J201" s="20">
        <v>50</v>
      </c>
      <c r="K201" s="1">
        <v>14.04</v>
      </c>
      <c r="L201" s="1">
        <v>702</v>
      </c>
      <c r="M201" s="42" t="s">
        <v>2668</v>
      </c>
      <c r="O201" s="2" t="s">
        <v>2508</v>
      </c>
      <c r="Q201" t="s">
        <v>685</v>
      </c>
    </row>
    <row r="202" spans="1:17" ht="15" customHeight="1" x14ac:dyDescent="0.25">
      <c r="A202" s="3" t="s">
        <v>1109</v>
      </c>
      <c r="B202" s="4" t="s">
        <v>2552</v>
      </c>
      <c r="C202" t="s">
        <v>973</v>
      </c>
      <c r="D202">
        <v>1</v>
      </c>
      <c r="E202" t="s">
        <v>974</v>
      </c>
      <c r="F202" t="s">
        <v>975</v>
      </c>
      <c r="G202" t="s">
        <v>976</v>
      </c>
      <c r="H202" s="1" t="s">
        <v>976</v>
      </c>
      <c r="I202" s="1">
        <v>43.9</v>
      </c>
      <c r="J202" s="20">
        <v>0</v>
      </c>
      <c r="K202" s="1">
        <v>41.704999999999998</v>
      </c>
      <c r="L202" s="1">
        <v>0</v>
      </c>
      <c r="M202" s="42" t="s">
        <v>2670</v>
      </c>
      <c r="O202" s="2" t="s">
        <v>2614</v>
      </c>
      <c r="Q202" t="s">
        <v>686</v>
      </c>
    </row>
    <row r="203" spans="1:17" ht="15" customHeight="1" x14ac:dyDescent="0.25">
      <c r="A203" s="41" t="s">
        <v>1109</v>
      </c>
      <c r="B203" s="3" t="s">
        <v>2552</v>
      </c>
      <c r="C203" s="41" t="s">
        <v>973</v>
      </c>
      <c r="D203">
        <v>4</v>
      </c>
      <c r="E203" t="s">
        <v>1018</v>
      </c>
      <c r="F203" t="s">
        <v>975</v>
      </c>
      <c r="G203" t="s">
        <v>976</v>
      </c>
      <c r="H203" s="1" t="s">
        <v>976</v>
      </c>
      <c r="I203" s="1">
        <v>43.9</v>
      </c>
      <c r="J203" s="20">
        <v>0</v>
      </c>
      <c r="K203" s="1">
        <v>43.9</v>
      </c>
      <c r="L203" s="1">
        <v>0</v>
      </c>
      <c r="M203" s="42" t="s">
        <v>2670</v>
      </c>
      <c r="O203" s="2" t="s">
        <v>2614</v>
      </c>
      <c r="Q203" t="s">
        <v>686</v>
      </c>
    </row>
    <row r="204" spans="1:17" ht="15" customHeight="1" x14ac:dyDescent="0.25">
      <c r="A204" s="3" t="s">
        <v>1110</v>
      </c>
      <c r="B204" s="4" t="s">
        <v>2672</v>
      </c>
      <c r="C204" t="s">
        <v>973</v>
      </c>
      <c r="D204">
        <v>1</v>
      </c>
      <c r="E204" t="s">
        <v>974</v>
      </c>
      <c r="F204" t="s">
        <v>975</v>
      </c>
      <c r="G204" t="s">
        <v>976</v>
      </c>
      <c r="H204" s="1" t="s">
        <v>976</v>
      </c>
      <c r="I204" s="1">
        <v>69</v>
      </c>
      <c r="J204" s="20">
        <v>10</v>
      </c>
      <c r="K204" s="1">
        <v>69</v>
      </c>
      <c r="L204" s="1">
        <v>690</v>
      </c>
      <c r="M204" s="42" t="s">
        <v>2671</v>
      </c>
      <c r="O204" s="2" t="s">
        <v>2433</v>
      </c>
      <c r="Q204" t="s">
        <v>687</v>
      </c>
    </row>
    <row r="205" spans="1:17" ht="15" customHeight="1" x14ac:dyDescent="0.25">
      <c r="A205" s="3" t="s">
        <v>2076</v>
      </c>
      <c r="B205" s="4" t="s">
        <v>483</v>
      </c>
      <c r="C205" t="s">
        <v>973</v>
      </c>
      <c r="D205">
        <v>1</v>
      </c>
      <c r="E205" t="s">
        <v>974</v>
      </c>
      <c r="F205" t="s">
        <v>975</v>
      </c>
      <c r="G205" t="s">
        <v>976</v>
      </c>
      <c r="H205" s="1" t="s">
        <v>976</v>
      </c>
      <c r="I205" s="1">
        <v>36.4</v>
      </c>
      <c r="J205" s="20">
        <v>35.1</v>
      </c>
      <c r="K205" s="1">
        <v>35.759829000000003</v>
      </c>
      <c r="L205" s="1">
        <v>1255.17</v>
      </c>
      <c r="M205" s="42" t="s">
        <v>2673</v>
      </c>
      <c r="Q205" t="s">
        <v>483</v>
      </c>
    </row>
    <row r="206" spans="1:17" ht="15" customHeight="1" x14ac:dyDescent="0.25">
      <c r="A206" s="41" t="s">
        <v>2076</v>
      </c>
      <c r="B206" s="3" t="s">
        <v>483</v>
      </c>
      <c r="C206" s="41" t="s">
        <v>973</v>
      </c>
      <c r="D206">
        <v>4</v>
      </c>
      <c r="E206" t="s">
        <v>1018</v>
      </c>
      <c r="F206" t="s">
        <v>975</v>
      </c>
      <c r="G206" t="s">
        <v>976</v>
      </c>
      <c r="H206" s="1" t="s">
        <v>976</v>
      </c>
      <c r="I206" s="1">
        <v>36.4</v>
      </c>
      <c r="J206" s="20">
        <v>40.9</v>
      </c>
      <c r="K206" s="1">
        <v>36.4</v>
      </c>
      <c r="L206" s="1">
        <v>1488.76</v>
      </c>
      <c r="M206" s="42" t="s">
        <v>2673</v>
      </c>
      <c r="Q206" t="s">
        <v>483</v>
      </c>
    </row>
    <row r="207" spans="1:17" ht="15" customHeight="1" x14ac:dyDescent="0.25">
      <c r="A207" s="3" t="s">
        <v>2250</v>
      </c>
      <c r="B207" s="4" t="s">
        <v>2645</v>
      </c>
      <c r="C207" t="s">
        <v>973</v>
      </c>
      <c r="D207">
        <v>1</v>
      </c>
      <c r="E207" t="s">
        <v>974</v>
      </c>
      <c r="F207" t="s">
        <v>975</v>
      </c>
      <c r="G207" t="s">
        <v>976</v>
      </c>
      <c r="H207" s="1" t="s">
        <v>976</v>
      </c>
      <c r="I207" s="1">
        <v>52</v>
      </c>
      <c r="J207" s="20">
        <v>0</v>
      </c>
      <c r="K207" s="1">
        <v>49.4</v>
      </c>
      <c r="L207" s="1">
        <v>0</v>
      </c>
      <c r="M207" s="42" t="s">
        <v>2674</v>
      </c>
      <c r="O207" s="2" t="s">
        <v>2676</v>
      </c>
      <c r="Q207" t="s">
        <v>688</v>
      </c>
    </row>
    <row r="208" spans="1:17" ht="15" customHeight="1" x14ac:dyDescent="0.25">
      <c r="A208" s="41" t="s">
        <v>2250</v>
      </c>
      <c r="B208" s="3" t="s">
        <v>2645</v>
      </c>
      <c r="C208" s="41" t="s">
        <v>973</v>
      </c>
      <c r="D208">
        <v>4</v>
      </c>
      <c r="E208" t="s">
        <v>1018</v>
      </c>
      <c r="F208" t="s">
        <v>975</v>
      </c>
      <c r="G208" t="s">
        <v>976</v>
      </c>
      <c r="H208" s="1" t="s">
        <v>976</v>
      </c>
      <c r="I208" s="1">
        <v>52</v>
      </c>
      <c r="J208" s="20">
        <v>0</v>
      </c>
      <c r="K208" s="1">
        <v>52</v>
      </c>
      <c r="L208" s="1">
        <v>0</v>
      </c>
      <c r="M208" s="42" t="s">
        <v>2674</v>
      </c>
      <c r="O208" s="2" t="s">
        <v>2676</v>
      </c>
      <c r="Q208" t="s">
        <v>688</v>
      </c>
    </row>
    <row r="209" spans="1:17" ht="15" customHeight="1" x14ac:dyDescent="0.25">
      <c r="A209" s="3" t="s">
        <v>1111</v>
      </c>
      <c r="B209" s="4" t="s">
        <v>2678</v>
      </c>
      <c r="C209" t="s">
        <v>973</v>
      </c>
      <c r="D209">
        <v>1</v>
      </c>
      <c r="E209" t="s">
        <v>974</v>
      </c>
      <c r="F209" t="s">
        <v>975</v>
      </c>
      <c r="G209" t="s">
        <v>976</v>
      </c>
      <c r="H209" s="1" t="s">
        <v>976</v>
      </c>
      <c r="I209" s="1">
        <v>59.6</v>
      </c>
      <c r="J209" s="20">
        <v>4</v>
      </c>
      <c r="K209" s="1">
        <v>56.62</v>
      </c>
      <c r="L209" s="1">
        <v>226.48</v>
      </c>
      <c r="M209" s="42" t="s">
        <v>2677</v>
      </c>
      <c r="O209" s="2" t="s">
        <v>2443</v>
      </c>
      <c r="Q209" t="s">
        <v>689</v>
      </c>
    </row>
    <row r="210" spans="1:17" ht="15" customHeight="1" x14ac:dyDescent="0.25">
      <c r="A210" s="41" t="s">
        <v>1111</v>
      </c>
      <c r="B210" s="3" t="s">
        <v>2678</v>
      </c>
      <c r="C210" s="41" t="s">
        <v>973</v>
      </c>
      <c r="D210">
        <v>4</v>
      </c>
      <c r="E210" t="s">
        <v>1018</v>
      </c>
      <c r="F210" t="s">
        <v>975</v>
      </c>
      <c r="G210" t="s">
        <v>976</v>
      </c>
      <c r="H210" s="1" t="s">
        <v>976</v>
      </c>
      <c r="I210" s="1">
        <v>59.6</v>
      </c>
      <c r="J210" s="20">
        <v>10</v>
      </c>
      <c r="K210" s="1">
        <v>59.6</v>
      </c>
      <c r="L210" s="1">
        <v>596</v>
      </c>
      <c r="M210" s="42" t="s">
        <v>2677</v>
      </c>
      <c r="O210" s="2" t="s">
        <v>2443</v>
      </c>
      <c r="Q210" t="s">
        <v>689</v>
      </c>
    </row>
    <row r="211" spans="1:17" ht="15" customHeight="1" x14ac:dyDescent="0.25">
      <c r="A211" s="3" t="s">
        <v>2077</v>
      </c>
      <c r="B211" s="4" t="s">
        <v>2652</v>
      </c>
      <c r="C211" t="s">
        <v>973</v>
      </c>
      <c r="D211">
        <v>1</v>
      </c>
      <c r="E211" t="s">
        <v>974</v>
      </c>
      <c r="F211" t="s">
        <v>975</v>
      </c>
      <c r="G211" t="s">
        <v>1099</v>
      </c>
      <c r="H211" s="1" t="s">
        <v>976</v>
      </c>
      <c r="I211" s="1">
        <v>51.5</v>
      </c>
      <c r="J211" s="20">
        <v>15</v>
      </c>
      <c r="K211" s="1">
        <v>54.378</v>
      </c>
      <c r="L211" s="1">
        <v>815.67</v>
      </c>
      <c r="M211" s="42" t="s">
        <v>2679</v>
      </c>
      <c r="O211" s="2" t="s">
        <v>2467</v>
      </c>
      <c r="Q211" t="s">
        <v>680</v>
      </c>
    </row>
    <row r="212" spans="1:17" ht="15" customHeight="1" x14ac:dyDescent="0.25">
      <c r="A212" s="3" t="s">
        <v>1112</v>
      </c>
      <c r="C212" t="s">
        <v>973</v>
      </c>
      <c r="D212">
        <v>1</v>
      </c>
      <c r="E212" t="s">
        <v>974</v>
      </c>
      <c r="F212" t="s">
        <v>975</v>
      </c>
      <c r="G212" t="s">
        <v>1079</v>
      </c>
      <c r="H212" s="1" t="s">
        <v>976</v>
      </c>
      <c r="I212" s="1">
        <v>79.099999999999994</v>
      </c>
      <c r="J212" s="20">
        <v>0.5</v>
      </c>
      <c r="K212" s="1">
        <v>79.099999999999994</v>
      </c>
      <c r="L212" s="1">
        <v>39.549999999999997</v>
      </c>
      <c r="M212" s="42" t="s">
        <v>2680</v>
      </c>
      <c r="N212" s="1" t="s">
        <v>2616</v>
      </c>
    </row>
    <row r="213" spans="1:17" ht="15" customHeight="1" x14ac:dyDescent="0.25">
      <c r="A213" s="3" t="s">
        <v>1113</v>
      </c>
      <c r="B213" s="4" t="s">
        <v>2682</v>
      </c>
      <c r="C213" t="s">
        <v>973</v>
      </c>
      <c r="D213">
        <v>1</v>
      </c>
      <c r="E213" t="s">
        <v>974</v>
      </c>
      <c r="F213" t="s">
        <v>975</v>
      </c>
      <c r="G213" t="s">
        <v>976</v>
      </c>
      <c r="H213" s="1" t="s">
        <v>976</v>
      </c>
      <c r="I213" s="1">
        <v>38.35</v>
      </c>
      <c r="J213" s="20">
        <v>0</v>
      </c>
      <c r="K213" s="1">
        <v>36.432453000000002</v>
      </c>
      <c r="L213" s="1">
        <v>0</v>
      </c>
      <c r="M213" s="42" t="s">
        <v>2681</v>
      </c>
      <c r="O213" s="2" t="s">
        <v>2472</v>
      </c>
      <c r="Q213" t="s">
        <v>690</v>
      </c>
    </row>
    <row r="214" spans="1:17" ht="15" customHeight="1" x14ac:dyDescent="0.25">
      <c r="A214" s="41" t="s">
        <v>1113</v>
      </c>
      <c r="B214" s="3" t="s">
        <v>2682</v>
      </c>
      <c r="C214" s="41" t="s">
        <v>973</v>
      </c>
      <c r="D214">
        <v>4</v>
      </c>
      <c r="E214" t="s">
        <v>1018</v>
      </c>
      <c r="F214" t="s">
        <v>975</v>
      </c>
      <c r="G214" t="s">
        <v>976</v>
      </c>
      <c r="H214" s="1" t="s">
        <v>976</v>
      </c>
      <c r="I214" s="1">
        <v>38.35</v>
      </c>
      <c r="J214" s="20">
        <v>53</v>
      </c>
      <c r="K214" s="1">
        <v>38.35</v>
      </c>
      <c r="L214" s="1">
        <v>2032.55</v>
      </c>
      <c r="M214" s="42" t="s">
        <v>2681</v>
      </c>
      <c r="O214" s="2" t="s">
        <v>2472</v>
      </c>
      <c r="Q214" t="s">
        <v>690</v>
      </c>
    </row>
    <row r="215" spans="1:17" ht="15" customHeight="1" x14ac:dyDescent="0.25">
      <c r="A215" s="3" t="s">
        <v>1114</v>
      </c>
      <c r="B215" s="4" t="s">
        <v>2645</v>
      </c>
      <c r="C215" t="s">
        <v>973</v>
      </c>
      <c r="D215">
        <v>1</v>
      </c>
      <c r="E215" t="s">
        <v>974</v>
      </c>
      <c r="F215" t="s">
        <v>975</v>
      </c>
      <c r="G215" t="s">
        <v>976</v>
      </c>
      <c r="H215" s="1" t="s">
        <v>976</v>
      </c>
      <c r="I215" s="1">
        <v>52</v>
      </c>
      <c r="J215" s="20">
        <v>48</v>
      </c>
      <c r="K215" s="1">
        <v>48.36</v>
      </c>
      <c r="L215" s="1">
        <v>2321.2800000000002</v>
      </c>
      <c r="M215" s="42" t="s">
        <v>2683</v>
      </c>
      <c r="O215" s="2" t="s">
        <v>2495</v>
      </c>
      <c r="Q215" t="s">
        <v>691</v>
      </c>
    </row>
    <row r="216" spans="1:17" ht="15" customHeight="1" x14ac:dyDescent="0.25">
      <c r="A216" s="3" t="s">
        <v>2078</v>
      </c>
      <c r="B216" s="4" t="s">
        <v>2685</v>
      </c>
      <c r="C216" t="s">
        <v>973</v>
      </c>
      <c r="D216">
        <v>1</v>
      </c>
      <c r="E216" t="s">
        <v>974</v>
      </c>
      <c r="F216" t="s">
        <v>975</v>
      </c>
      <c r="G216" t="s">
        <v>976</v>
      </c>
      <c r="H216" s="1" t="s">
        <v>976</v>
      </c>
      <c r="I216" s="1">
        <v>23.98</v>
      </c>
      <c r="J216" s="20">
        <v>0</v>
      </c>
      <c r="K216" s="1">
        <v>23.98</v>
      </c>
      <c r="L216" s="1">
        <v>0</v>
      </c>
      <c r="M216" s="42" t="s">
        <v>2684</v>
      </c>
      <c r="O216" s="2" t="s">
        <v>2443</v>
      </c>
      <c r="Q216" t="s">
        <v>692</v>
      </c>
    </row>
    <row r="217" spans="1:17" ht="15" customHeight="1" x14ac:dyDescent="0.25">
      <c r="A217" s="41" t="s">
        <v>2078</v>
      </c>
      <c r="B217" s="3" t="s">
        <v>2685</v>
      </c>
      <c r="C217" s="41" t="s">
        <v>973</v>
      </c>
      <c r="D217">
        <v>4</v>
      </c>
      <c r="E217" t="s">
        <v>1018</v>
      </c>
      <c r="F217" t="s">
        <v>975</v>
      </c>
      <c r="G217" t="s">
        <v>976</v>
      </c>
      <c r="H217" s="1" t="s">
        <v>976</v>
      </c>
      <c r="I217" s="1">
        <v>23.98</v>
      </c>
      <c r="J217" s="20">
        <v>54</v>
      </c>
      <c r="K217" s="1">
        <v>23.98</v>
      </c>
      <c r="L217" s="1">
        <v>1294.92</v>
      </c>
      <c r="M217" s="42" t="s">
        <v>2684</v>
      </c>
      <c r="O217" s="2" t="s">
        <v>2443</v>
      </c>
      <c r="Q217" t="s">
        <v>692</v>
      </c>
    </row>
    <row r="218" spans="1:17" ht="15" customHeight="1" x14ac:dyDescent="0.25">
      <c r="A218" s="3" t="s">
        <v>1115</v>
      </c>
      <c r="B218" s="4" t="s">
        <v>208</v>
      </c>
      <c r="C218" t="s">
        <v>976</v>
      </c>
      <c r="D218">
        <v>1</v>
      </c>
      <c r="E218" t="s">
        <v>974</v>
      </c>
      <c r="F218" t="s">
        <v>975</v>
      </c>
      <c r="G218" t="s">
        <v>976</v>
      </c>
      <c r="H218" s="1" t="s">
        <v>976</v>
      </c>
      <c r="I218" s="1">
        <v>66</v>
      </c>
      <c r="J218" s="20">
        <v>0</v>
      </c>
      <c r="K218" s="1">
        <v>66</v>
      </c>
      <c r="L218" s="1">
        <v>0</v>
      </c>
      <c r="M218" s="42" t="s">
        <v>2686</v>
      </c>
      <c r="Q218" t="s">
        <v>208</v>
      </c>
    </row>
    <row r="219" spans="1:17" ht="15" customHeight="1" x14ac:dyDescent="0.25">
      <c r="A219" s="3" t="s">
        <v>2079</v>
      </c>
      <c r="B219" s="4" t="s">
        <v>2688</v>
      </c>
      <c r="C219" t="s">
        <v>973</v>
      </c>
      <c r="D219">
        <v>1</v>
      </c>
      <c r="E219" t="s">
        <v>974</v>
      </c>
      <c r="F219" t="s">
        <v>975</v>
      </c>
      <c r="G219" t="s">
        <v>976</v>
      </c>
      <c r="H219" s="1" t="s">
        <v>976</v>
      </c>
      <c r="I219" s="1">
        <v>53.4</v>
      </c>
      <c r="J219" s="20">
        <v>0</v>
      </c>
      <c r="K219" s="1">
        <v>49.967142000000003</v>
      </c>
      <c r="L219" s="1">
        <v>0</v>
      </c>
      <c r="M219" s="42" t="s">
        <v>2687</v>
      </c>
      <c r="O219" s="2" t="s">
        <v>2675</v>
      </c>
      <c r="Q219" t="s">
        <v>693</v>
      </c>
    </row>
    <row r="220" spans="1:17" ht="15" customHeight="1" x14ac:dyDescent="0.25">
      <c r="A220" s="41" t="s">
        <v>2079</v>
      </c>
      <c r="B220" s="3" t="s">
        <v>2688</v>
      </c>
      <c r="C220" s="41" t="s">
        <v>973</v>
      </c>
      <c r="D220">
        <v>4</v>
      </c>
      <c r="E220" t="s">
        <v>1018</v>
      </c>
      <c r="F220" t="s">
        <v>975</v>
      </c>
      <c r="G220" t="s">
        <v>976</v>
      </c>
      <c r="H220" s="1" t="s">
        <v>976</v>
      </c>
      <c r="I220" s="1">
        <v>53.4</v>
      </c>
      <c r="J220" s="20">
        <v>105</v>
      </c>
      <c r="K220" s="1">
        <v>53.4</v>
      </c>
      <c r="L220" s="1">
        <v>5607</v>
      </c>
      <c r="M220" s="42" t="s">
        <v>2687</v>
      </c>
      <c r="O220" s="2" t="s">
        <v>2675</v>
      </c>
      <c r="Q220" t="s">
        <v>693</v>
      </c>
    </row>
    <row r="221" spans="1:17" ht="15" customHeight="1" x14ac:dyDescent="0.25">
      <c r="A221" s="3" t="s">
        <v>2080</v>
      </c>
      <c r="C221" t="s">
        <v>973</v>
      </c>
      <c r="D221">
        <v>1</v>
      </c>
      <c r="E221" t="s">
        <v>974</v>
      </c>
      <c r="F221" t="s">
        <v>975</v>
      </c>
      <c r="G221" t="s">
        <v>1079</v>
      </c>
      <c r="H221" s="1" t="s">
        <v>976</v>
      </c>
      <c r="I221" s="1">
        <v>94.4</v>
      </c>
      <c r="J221" s="20">
        <v>0.45</v>
      </c>
      <c r="K221" s="1">
        <v>94.4</v>
      </c>
      <c r="L221" s="1">
        <v>42.48</v>
      </c>
      <c r="M221" s="42" t="s">
        <v>2689</v>
      </c>
      <c r="N221" s="1" t="s">
        <v>2616</v>
      </c>
    </row>
    <row r="222" spans="1:17" ht="15" customHeight="1" x14ac:dyDescent="0.25">
      <c r="A222" s="3" t="s">
        <v>2081</v>
      </c>
      <c r="B222" s="4" t="s">
        <v>2652</v>
      </c>
      <c r="C222" t="s">
        <v>973</v>
      </c>
      <c r="D222">
        <v>1</v>
      </c>
      <c r="E222" t="s">
        <v>974</v>
      </c>
      <c r="F222" t="s">
        <v>975</v>
      </c>
      <c r="G222" t="s">
        <v>1099</v>
      </c>
      <c r="H222" s="1" t="s">
        <v>976</v>
      </c>
      <c r="I222" s="1">
        <v>49.5</v>
      </c>
      <c r="J222" s="20">
        <v>15</v>
      </c>
      <c r="K222" s="1">
        <v>52.688667000000002</v>
      </c>
      <c r="L222" s="1">
        <v>790.33</v>
      </c>
      <c r="M222" s="42" t="s">
        <v>2690</v>
      </c>
      <c r="O222" s="2" t="s">
        <v>2467</v>
      </c>
      <c r="Q222" t="s">
        <v>680</v>
      </c>
    </row>
    <row r="223" spans="1:17" ht="15" customHeight="1" x14ac:dyDescent="0.25">
      <c r="A223" s="3" t="s">
        <v>1116</v>
      </c>
      <c r="B223" s="4" t="s">
        <v>2692</v>
      </c>
      <c r="C223" t="s">
        <v>973</v>
      </c>
      <c r="D223">
        <v>1</v>
      </c>
      <c r="E223" t="s">
        <v>974</v>
      </c>
      <c r="F223" t="s">
        <v>975</v>
      </c>
      <c r="G223" t="s">
        <v>976</v>
      </c>
      <c r="H223" s="1" t="s">
        <v>976</v>
      </c>
      <c r="I223" s="1">
        <v>39.979999999999997</v>
      </c>
      <c r="J223" s="20">
        <v>0</v>
      </c>
      <c r="K223" s="1">
        <v>39.979999999999997</v>
      </c>
      <c r="L223" s="1">
        <v>0</v>
      </c>
      <c r="M223" s="42" t="s">
        <v>2691</v>
      </c>
      <c r="O223" s="2" t="s">
        <v>2482</v>
      </c>
      <c r="Q223" t="s">
        <v>694</v>
      </c>
    </row>
    <row r="224" spans="1:17" ht="15" customHeight="1" x14ac:dyDescent="0.25">
      <c r="A224" s="41" t="s">
        <v>1116</v>
      </c>
      <c r="B224" s="3" t="s">
        <v>2692</v>
      </c>
      <c r="C224" s="41" t="s">
        <v>973</v>
      </c>
      <c r="D224">
        <v>4</v>
      </c>
      <c r="E224" t="s">
        <v>1018</v>
      </c>
      <c r="F224" t="s">
        <v>975</v>
      </c>
      <c r="G224" t="s">
        <v>976</v>
      </c>
      <c r="H224" s="1" t="s">
        <v>976</v>
      </c>
      <c r="I224" s="1">
        <v>39.979999999999997</v>
      </c>
      <c r="J224" s="20">
        <v>30</v>
      </c>
      <c r="K224" s="1">
        <v>39.979999999999997</v>
      </c>
      <c r="L224" s="1">
        <v>1199.4000000000001</v>
      </c>
      <c r="M224" s="42" t="s">
        <v>2691</v>
      </c>
      <c r="O224" s="2" t="s">
        <v>2482</v>
      </c>
      <c r="Q224" t="s">
        <v>694</v>
      </c>
    </row>
    <row r="225" spans="1:17" ht="15" customHeight="1" x14ac:dyDescent="0.25">
      <c r="A225" s="3" t="s">
        <v>1117</v>
      </c>
      <c r="B225" s="4" t="s">
        <v>2694</v>
      </c>
      <c r="C225" t="s">
        <v>973</v>
      </c>
      <c r="D225">
        <v>1</v>
      </c>
      <c r="E225" t="s">
        <v>974</v>
      </c>
      <c r="F225" t="s">
        <v>975</v>
      </c>
      <c r="G225" t="s">
        <v>976</v>
      </c>
      <c r="H225" s="1" t="s">
        <v>976</v>
      </c>
      <c r="I225" s="1">
        <v>45.9</v>
      </c>
      <c r="J225" s="20">
        <v>198</v>
      </c>
      <c r="K225" s="1">
        <v>42.686999999999998</v>
      </c>
      <c r="L225" s="1">
        <v>8452.0300000000007</v>
      </c>
      <c r="M225" s="42" t="s">
        <v>2693</v>
      </c>
      <c r="O225" s="2" t="s">
        <v>2528</v>
      </c>
      <c r="Q225" t="s">
        <v>695</v>
      </c>
    </row>
    <row r="226" spans="1:17" ht="15" customHeight="1" x14ac:dyDescent="0.25">
      <c r="A226" s="3" t="s">
        <v>1118</v>
      </c>
      <c r="B226" s="4" t="s">
        <v>2696</v>
      </c>
      <c r="C226" t="s">
        <v>973</v>
      </c>
      <c r="D226">
        <v>1</v>
      </c>
      <c r="E226" t="s">
        <v>974</v>
      </c>
      <c r="F226" t="s">
        <v>975</v>
      </c>
      <c r="G226" t="s">
        <v>1106</v>
      </c>
      <c r="H226" s="1" t="s">
        <v>976</v>
      </c>
      <c r="I226" s="1">
        <v>15.12</v>
      </c>
      <c r="J226" s="20">
        <v>50</v>
      </c>
      <c r="K226" s="1">
        <v>15.12</v>
      </c>
      <c r="L226" s="1">
        <v>756</v>
      </c>
      <c r="M226" s="42" t="s">
        <v>2695</v>
      </c>
      <c r="O226" s="2" t="s">
        <v>2433</v>
      </c>
      <c r="Q226" t="s">
        <v>696</v>
      </c>
    </row>
    <row r="227" spans="1:17" ht="15" customHeight="1" x14ac:dyDescent="0.25">
      <c r="A227" s="3" t="s">
        <v>1119</v>
      </c>
      <c r="B227" s="4" t="s">
        <v>2698</v>
      </c>
      <c r="C227" t="s">
        <v>973</v>
      </c>
      <c r="D227">
        <v>1</v>
      </c>
      <c r="E227" t="s">
        <v>974</v>
      </c>
      <c r="F227" t="s">
        <v>975</v>
      </c>
      <c r="G227" t="s">
        <v>976</v>
      </c>
      <c r="H227" s="1" t="s">
        <v>976</v>
      </c>
      <c r="I227" s="1">
        <v>35.520000000000003</v>
      </c>
      <c r="J227" s="20">
        <v>0</v>
      </c>
      <c r="K227" s="1">
        <v>35.520000000000003</v>
      </c>
      <c r="L227" s="1">
        <v>0</v>
      </c>
      <c r="M227" s="42" t="s">
        <v>2697</v>
      </c>
      <c r="O227" s="2" t="s">
        <v>2443</v>
      </c>
      <c r="Q227" t="s">
        <v>697</v>
      </c>
    </row>
    <row r="228" spans="1:17" ht="15" customHeight="1" x14ac:dyDescent="0.25">
      <c r="A228" s="41" t="s">
        <v>1119</v>
      </c>
      <c r="B228" s="3" t="s">
        <v>2698</v>
      </c>
      <c r="C228" s="41" t="s">
        <v>973</v>
      </c>
      <c r="D228">
        <v>4</v>
      </c>
      <c r="E228" t="s">
        <v>1018</v>
      </c>
      <c r="F228" t="s">
        <v>975</v>
      </c>
      <c r="G228" t="s">
        <v>976</v>
      </c>
      <c r="H228" s="1" t="s">
        <v>976</v>
      </c>
      <c r="I228" s="1">
        <v>35.520000000000003</v>
      </c>
      <c r="J228" s="20">
        <v>23</v>
      </c>
      <c r="K228" s="1">
        <v>35.520000000000003</v>
      </c>
      <c r="L228" s="1">
        <v>816.96</v>
      </c>
      <c r="M228" s="42" t="s">
        <v>2697</v>
      </c>
      <c r="O228" s="2" t="s">
        <v>2443</v>
      </c>
      <c r="Q228" t="s">
        <v>697</v>
      </c>
    </row>
    <row r="229" spans="1:17" ht="15" customHeight="1" x14ac:dyDescent="0.25">
      <c r="A229" s="3" t="s">
        <v>2082</v>
      </c>
      <c r="B229" s="4" t="s">
        <v>2700</v>
      </c>
      <c r="C229" t="s">
        <v>973</v>
      </c>
      <c r="D229">
        <v>1</v>
      </c>
      <c r="E229" t="s">
        <v>974</v>
      </c>
      <c r="F229" t="s">
        <v>975</v>
      </c>
      <c r="G229" t="s">
        <v>1079</v>
      </c>
      <c r="H229" s="1" t="s">
        <v>976</v>
      </c>
      <c r="I229" s="1">
        <v>60.9</v>
      </c>
      <c r="J229" s="20">
        <v>0</v>
      </c>
      <c r="K229" s="1">
        <v>60.9</v>
      </c>
      <c r="L229" s="1">
        <v>0</v>
      </c>
      <c r="M229" s="42" t="s">
        <v>2699</v>
      </c>
      <c r="O229" s="2" t="s">
        <v>2437</v>
      </c>
      <c r="Q229" t="s">
        <v>484</v>
      </c>
    </row>
    <row r="230" spans="1:17" ht="15" customHeight="1" x14ac:dyDescent="0.25">
      <c r="A230" s="41" t="s">
        <v>2082</v>
      </c>
      <c r="B230" s="3" t="s">
        <v>2700</v>
      </c>
      <c r="C230" s="41" t="s">
        <v>973</v>
      </c>
      <c r="D230">
        <v>4</v>
      </c>
      <c r="E230" t="s">
        <v>1018</v>
      </c>
      <c r="F230" t="s">
        <v>975</v>
      </c>
      <c r="G230" t="s">
        <v>1079</v>
      </c>
      <c r="H230" s="1" t="s">
        <v>976</v>
      </c>
      <c r="I230" s="1">
        <v>60.9</v>
      </c>
      <c r="J230" s="20">
        <v>14</v>
      </c>
      <c r="K230" s="1">
        <v>60.9</v>
      </c>
      <c r="L230" s="1">
        <v>852.6</v>
      </c>
      <c r="M230" s="42" t="s">
        <v>2699</v>
      </c>
      <c r="O230" s="2" t="s">
        <v>2437</v>
      </c>
      <c r="Q230" t="s">
        <v>484</v>
      </c>
    </row>
    <row r="231" spans="1:17" ht="15" customHeight="1" x14ac:dyDescent="0.25">
      <c r="A231" s="3" t="s">
        <v>1120</v>
      </c>
      <c r="B231" s="4" t="s">
        <v>2702</v>
      </c>
      <c r="C231" t="s">
        <v>973</v>
      </c>
      <c r="D231">
        <v>1</v>
      </c>
      <c r="E231" t="s">
        <v>974</v>
      </c>
      <c r="F231" t="s">
        <v>975</v>
      </c>
      <c r="G231" t="s">
        <v>976</v>
      </c>
      <c r="H231" s="1" t="s">
        <v>976</v>
      </c>
      <c r="I231" s="1">
        <v>54.950040000000001</v>
      </c>
      <c r="J231" s="20">
        <v>123.9</v>
      </c>
      <c r="K231" s="1">
        <v>54.950040000000001</v>
      </c>
      <c r="L231" s="1">
        <v>6808.31</v>
      </c>
      <c r="M231" s="42" t="s">
        <v>2701</v>
      </c>
      <c r="O231" s="2" t="s">
        <v>2579</v>
      </c>
      <c r="Q231" t="s">
        <v>698</v>
      </c>
    </row>
    <row r="232" spans="1:17" ht="15" customHeight="1" x14ac:dyDescent="0.25">
      <c r="A232" s="3" t="s">
        <v>1121</v>
      </c>
      <c r="B232" s="4" t="s">
        <v>209</v>
      </c>
      <c r="C232" t="s">
        <v>976</v>
      </c>
      <c r="D232">
        <v>1</v>
      </c>
      <c r="E232" t="s">
        <v>974</v>
      </c>
      <c r="F232" t="s">
        <v>975</v>
      </c>
      <c r="G232" t="s">
        <v>976</v>
      </c>
      <c r="H232" s="1" t="s">
        <v>976</v>
      </c>
      <c r="I232" s="1">
        <v>608</v>
      </c>
      <c r="J232" s="20">
        <v>2</v>
      </c>
      <c r="K232" s="1">
        <v>608</v>
      </c>
      <c r="L232" s="1">
        <v>1216</v>
      </c>
      <c r="M232" s="42" t="s">
        <v>2703</v>
      </c>
      <c r="Q232" t="s">
        <v>209</v>
      </c>
    </row>
    <row r="233" spans="1:17" ht="15" customHeight="1" x14ac:dyDescent="0.25">
      <c r="A233" s="3" t="s">
        <v>1122</v>
      </c>
      <c r="B233" s="4" t="s">
        <v>2705</v>
      </c>
      <c r="C233" t="s">
        <v>973</v>
      </c>
      <c r="D233">
        <v>1</v>
      </c>
      <c r="E233" t="s">
        <v>974</v>
      </c>
      <c r="F233" t="s">
        <v>975</v>
      </c>
      <c r="G233" t="s">
        <v>976</v>
      </c>
      <c r="H233" s="1" t="s">
        <v>976</v>
      </c>
      <c r="I233" s="1">
        <v>54.95</v>
      </c>
      <c r="J233" s="20">
        <v>120.9</v>
      </c>
      <c r="K233" s="1">
        <v>54.950040999999999</v>
      </c>
      <c r="L233" s="1">
        <v>6643.46</v>
      </c>
      <c r="M233" s="42" t="s">
        <v>2704</v>
      </c>
      <c r="O233" s="2" t="s">
        <v>2472</v>
      </c>
      <c r="Q233" t="s">
        <v>699</v>
      </c>
    </row>
    <row r="234" spans="1:17" ht="15" customHeight="1" x14ac:dyDescent="0.25">
      <c r="A234" s="3" t="s">
        <v>1123</v>
      </c>
      <c r="B234" s="4" t="s">
        <v>2707</v>
      </c>
      <c r="C234" t="s">
        <v>973</v>
      </c>
      <c r="D234">
        <v>1</v>
      </c>
      <c r="E234" t="s">
        <v>974</v>
      </c>
      <c r="F234" t="s">
        <v>975</v>
      </c>
      <c r="G234" t="s">
        <v>1106</v>
      </c>
      <c r="H234" s="1" t="s">
        <v>976</v>
      </c>
      <c r="I234" s="1">
        <v>14.04</v>
      </c>
      <c r="J234" s="20">
        <v>50</v>
      </c>
      <c r="K234" s="1">
        <v>14.04</v>
      </c>
      <c r="L234" s="1">
        <v>702</v>
      </c>
      <c r="M234" s="42" t="s">
        <v>2706</v>
      </c>
      <c r="O234" s="2" t="s">
        <v>2467</v>
      </c>
      <c r="Q234" t="s">
        <v>700</v>
      </c>
    </row>
    <row r="235" spans="1:17" ht="15" customHeight="1" x14ac:dyDescent="0.25">
      <c r="A235" s="3" t="s">
        <v>2083</v>
      </c>
      <c r="B235" s="4" t="s">
        <v>2709</v>
      </c>
      <c r="C235" t="s">
        <v>973</v>
      </c>
      <c r="D235">
        <v>1</v>
      </c>
      <c r="E235" t="s">
        <v>974</v>
      </c>
      <c r="F235" t="s">
        <v>975</v>
      </c>
      <c r="G235" t="s">
        <v>976</v>
      </c>
      <c r="H235" s="1" t="s">
        <v>976</v>
      </c>
      <c r="I235" s="1">
        <v>55</v>
      </c>
      <c r="J235" s="20">
        <v>22.6</v>
      </c>
      <c r="K235" s="1">
        <v>55</v>
      </c>
      <c r="L235" s="1">
        <v>1243</v>
      </c>
      <c r="M235" s="42" t="s">
        <v>2708</v>
      </c>
      <c r="O235" s="2" t="s">
        <v>2447</v>
      </c>
      <c r="Q235" t="s">
        <v>701</v>
      </c>
    </row>
    <row r="236" spans="1:17" ht="15" customHeight="1" x14ac:dyDescent="0.25">
      <c r="A236" s="3" t="s">
        <v>2084</v>
      </c>
      <c r="B236" s="4" t="s">
        <v>2711</v>
      </c>
      <c r="C236" t="s">
        <v>973</v>
      </c>
      <c r="D236">
        <v>1</v>
      </c>
      <c r="E236" t="s">
        <v>974</v>
      </c>
      <c r="F236" t="s">
        <v>975</v>
      </c>
      <c r="G236" t="s">
        <v>976</v>
      </c>
      <c r="H236" s="1" t="s">
        <v>976</v>
      </c>
      <c r="I236" s="1">
        <v>90.88</v>
      </c>
      <c r="J236" s="20">
        <v>0</v>
      </c>
      <c r="K236" s="1">
        <v>90.88</v>
      </c>
      <c r="L236" s="1">
        <v>0</v>
      </c>
      <c r="M236" s="42" t="s">
        <v>2710</v>
      </c>
      <c r="O236" s="2" t="s">
        <v>2528</v>
      </c>
      <c r="Q236" t="s">
        <v>702</v>
      </c>
    </row>
    <row r="237" spans="1:17" ht="15" customHeight="1" x14ac:dyDescent="0.25">
      <c r="A237" s="41" t="s">
        <v>2084</v>
      </c>
      <c r="B237" s="3" t="s">
        <v>2711</v>
      </c>
      <c r="C237" s="41" t="s">
        <v>973</v>
      </c>
      <c r="D237">
        <v>4</v>
      </c>
      <c r="E237" t="s">
        <v>1018</v>
      </c>
      <c r="F237" t="s">
        <v>975</v>
      </c>
      <c r="G237" t="s">
        <v>976</v>
      </c>
      <c r="H237" s="1" t="s">
        <v>976</v>
      </c>
      <c r="I237" s="1">
        <v>90.88</v>
      </c>
      <c r="J237" s="20">
        <v>2</v>
      </c>
      <c r="K237" s="1">
        <v>90.88</v>
      </c>
      <c r="L237" s="1">
        <v>181.76</v>
      </c>
      <c r="M237" s="42" t="s">
        <v>2710</v>
      </c>
      <c r="O237" s="2" t="s">
        <v>2528</v>
      </c>
      <c r="Q237" t="s">
        <v>702</v>
      </c>
    </row>
    <row r="238" spans="1:17" ht="15" customHeight="1" x14ac:dyDescent="0.25">
      <c r="A238" s="3" t="s">
        <v>2211</v>
      </c>
      <c r="B238" s="4" t="s">
        <v>2711</v>
      </c>
      <c r="C238" t="s">
        <v>973</v>
      </c>
      <c r="D238">
        <v>1</v>
      </c>
      <c r="E238" t="s">
        <v>974</v>
      </c>
      <c r="F238" t="s">
        <v>975</v>
      </c>
      <c r="G238" t="s">
        <v>976</v>
      </c>
      <c r="H238" s="1" t="s">
        <v>976</v>
      </c>
      <c r="I238" s="1">
        <v>89.91</v>
      </c>
      <c r="J238" s="20">
        <v>0</v>
      </c>
      <c r="K238" s="1">
        <v>89.909980000000004</v>
      </c>
      <c r="L238" s="1">
        <v>0</v>
      </c>
      <c r="M238" s="42" t="s">
        <v>2712</v>
      </c>
      <c r="O238" s="2" t="s">
        <v>2447</v>
      </c>
      <c r="Q238" t="s">
        <v>703</v>
      </c>
    </row>
    <row r="239" spans="1:17" ht="15" customHeight="1" x14ac:dyDescent="0.25">
      <c r="A239" s="41" t="s">
        <v>2211</v>
      </c>
      <c r="B239" s="3" t="s">
        <v>2711</v>
      </c>
      <c r="C239" s="41" t="s">
        <v>973</v>
      </c>
      <c r="D239">
        <v>4</v>
      </c>
      <c r="E239" t="s">
        <v>1018</v>
      </c>
      <c r="F239" t="s">
        <v>975</v>
      </c>
      <c r="G239" t="s">
        <v>976</v>
      </c>
      <c r="H239" s="1" t="s">
        <v>976</v>
      </c>
      <c r="I239" s="1">
        <v>89.91</v>
      </c>
      <c r="J239" s="20">
        <v>2</v>
      </c>
      <c r="K239" s="1">
        <v>89.91</v>
      </c>
      <c r="L239" s="1">
        <v>179.82</v>
      </c>
      <c r="M239" s="42" t="s">
        <v>2712</v>
      </c>
      <c r="O239" s="2" t="s">
        <v>2447</v>
      </c>
      <c r="Q239" t="s">
        <v>703</v>
      </c>
    </row>
    <row r="240" spans="1:17" ht="15" customHeight="1" x14ac:dyDescent="0.25">
      <c r="A240" s="3" t="s">
        <v>2207</v>
      </c>
      <c r="B240" s="4" t="s">
        <v>543</v>
      </c>
      <c r="C240" t="s">
        <v>973</v>
      </c>
      <c r="D240">
        <v>1</v>
      </c>
      <c r="E240" t="s">
        <v>974</v>
      </c>
      <c r="F240" t="s">
        <v>975</v>
      </c>
      <c r="G240" t="s">
        <v>976</v>
      </c>
      <c r="H240" s="1" t="s">
        <v>976</v>
      </c>
      <c r="I240" s="1">
        <v>90.42</v>
      </c>
      <c r="J240" s="20">
        <v>123.9</v>
      </c>
      <c r="K240" s="1">
        <v>90.420016000000004</v>
      </c>
      <c r="L240" s="1">
        <v>11203.04</v>
      </c>
      <c r="M240" s="42" t="s">
        <v>2713</v>
      </c>
      <c r="Q240" t="s">
        <v>543</v>
      </c>
    </row>
    <row r="241" spans="1:17" ht="15" customHeight="1" x14ac:dyDescent="0.25">
      <c r="A241" s="3" t="s">
        <v>1124</v>
      </c>
      <c r="B241" s="4" t="s">
        <v>2715</v>
      </c>
      <c r="C241" t="s">
        <v>973</v>
      </c>
      <c r="D241">
        <v>1</v>
      </c>
      <c r="E241" t="s">
        <v>974</v>
      </c>
      <c r="F241" t="s">
        <v>975</v>
      </c>
      <c r="G241" t="s">
        <v>976</v>
      </c>
      <c r="H241" s="1" t="s">
        <v>976</v>
      </c>
      <c r="I241" s="1">
        <v>17.95</v>
      </c>
      <c r="J241" s="20">
        <v>80</v>
      </c>
      <c r="K241" s="1">
        <v>17.052499999999998</v>
      </c>
      <c r="L241" s="1">
        <v>1364.2</v>
      </c>
      <c r="M241" s="42" t="s">
        <v>2714</v>
      </c>
      <c r="O241" s="2" t="s">
        <v>2433</v>
      </c>
      <c r="Q241" t="s">
        <v>210</v>
      </c>
    </row>
    <row r="242" spans="1:17" ht="15" customHeight="1" x14ac:dyDescent="0.25">
      <c r="A242" s="3" t="s">
        <v>1125</v>
      </c>
      <c r="B242" s="4" t="s">
        <v>2717</v>
      </c>
      <c r="C242" t="s">
        <v>973</v>
      </c>
      <c r="D242">
        <v>1</v>
      </c>
      <c r="E242" t="s">
        <v>974</v>
      </c>
      <c r="F242" t="s">
        <v>975</v>
      </c>
      <c r="G242" t="s">
        <v>976</v>
      </c>
      <c r="H242" s="1" t="s">
        <v>976</v>
      </c>
      <c r="I242" s="1">
        <v>47.5</v>
      </c>
      <c r="J242" s="20">
        <v>87</v>
      </c>
      <c r="K242" s="1">
        <v>47.5</v>
      </c>
      <c r="L242" s="1">
        <v>4132.5</v>
      </c>
      <c r="M242" s="42" t="s">
        <v>2716</v>
      </c>
      <c r="O242" s="2" t="s">
        <v>2482</v>
      </c>
      <c r="Q242" t="s">
        <v>704</v>
      </c>
    </row>
    <row r="243" spans="1:17" ht="15" customHeight="1" x14ac:dyDescent="0.25">
      <c r="A243" s="3" t="s">
        <v>1126</v>
      </c>
      <c r="C243" t="s">
        <v>973</v>
      </c>
      <c r="D243">
        <v>1</v>
      </c>
      <c r="E243" t="s">
        <v>974</v>
      </c>
      <c r="F243" t="s">
        <v>975</v>
      </c>
      <c r="G243" t="s">
        <v>1079</v>
      </c>
      <c r="H243" s="1" t="s">
        <v>976</v>
      </c>
      <c r="I243" s="1">
        <v>83.8</v>
      </c>
      <c r="J243" s="20">
        <v>0.35</v>
      </c>
      <c r="K243" s="1">
        <v>83.8</v>
      </c>
      <c r="L243" s="1">
        <v>29.33</v>
      </c>
      <c r="M243" s="42" t="s">
        <v>2718</v>
      </c>
      <c r="N243" s="1" t="s">
        <v>2616</v>
      </c>
    </row>
    <row r="244" spans="1:17" ht="15" customHeight="1" x14ac:dyDescent="0.25">
      <c r="A244" s="3" t="s">
        <v>2085</v>
      </c>
      <c r="C244" t="s">
        <v>973</v>
      </c>
      <c r="D244">
        <v>1</v>
      </c>
      <c r="E244" t="s">
        <v>974</v>
      </c>
      <c r="F244" t="s">
        <v>975</v>
      </c>
      <c r="G244" t="s">
        <v>1079</v>
      </c>
      <c r="H244" s="1" t="s">
        <v>976</v>
      </c>
      <c r="I244" s="1">
        <v>79.900000000000006</v>
      </c>
      <c r="J244" s="20">
        <v>1.8</v>
      </c>
      <c r="K244" s="1">
        <v>79.900000000000006</v>
      </c>
      <c r="L244" s="1">
        <v>143.82</v>
      </c>
      <c r="M244" s="42" t="s">
        <v>2719</v>
      </c>
      <c r="N244" s="1" t="s">
        <v>2616</v>
      </c>
    </row>
    <row r="245" spans="1:17" ht="15" customHeight="1" x14ac:dyDescent="0.25">
      <c r="A245" s="3" t="s">
        <v>1127</v>
      </c>
      <c r="B245" s="4" t="s">
        <v>2721</v>
      </c>
      <c r="C245" t="s">
        <v>973</v>
      </c>
      <c r="D245">
        <v>1</v>
      </c>
      <c r="E245" t="s">
        <v>974</v>
      </c>
      <c r="F245" t="s">
        <v>975</v>
      </c>
      <c r="G245" t="s">
        <v>976</v>
      </c>
      <c r="H245" s="1" t="s">
        <v>976</v>
      </c>
      <c r="I245" s="1">
        <v>88.22</v>
      </c>
      <c r="J245" s="20">
        <v>0</v>
      </c>
      <c r="K245" s="1">
        <v>88.22</v>
      </c>
      <c r="L245" s="1">
        <v>0</v>
      </c>
      <c r="M245" s="42" t="s">
        <v>2720</v>
      </c>
      <c r="O245" s="2" t="s">
        <v>2443</v>
      </c>
      <c r="Q245" t="s">
        <v>705</v>
      </c>
    </row>
    <row r="246" spans="1:17" ht="15" customHeight="1" x14ac:dyDescent="0.25">
      <c r="A246" s="3" t="s">
        <v>1128</v>
      </c>
      <c r="B246" s="4" t="s">
        <v>2723</v>
      </c>
      <c r="C246" t="s">
        <v>973</v>
      </c>
      <c r="D246">
        <v>1</v>
      </c>
      <c r="E246" t="s">
        <v>974</v>
      </c>
      <c r="F246" t="s">
        <v>975</v>
      </c>
      <c r="G246" t="s">
        <v>1129</v>
      </c>
      <c r="H246" s="1" t="s">
        <v>976</v>
      </c>
      <c r="I246" s="1">
        <v>13.41</v>
      </c>
      <c r="J246" s="20">
        <v>0</v>
      </c>
      <c r="K246" s="1">
        <v>13.41</v>
      </c>
      <c r="L246" s="1">
        <v>0</v>
      </c>
      <c r="M246" s="42" t="s">
        <v>2722</v>
      </c>
      <c r="O246" s="2" t="s">
        <v>2443</v>
      </c>
      <c r="Q246" t="s">
        <v>706</v>
      </c>
    </row>
    <row r="247" spans="1:17" ht="15" customHeight="1" x14ac:dyDescent="0.25">
      <c r="A247" s="3" t="s">
        <v>2086</v>
      </c>
      <c r="B247" s="4" t="s">
        <v>2725</v>
      </c>
      <c r="C247" t="s">
        <v>973</v>
      </c>
      <c r="D247">
        <v>1</v>
      </c>
      <c r="E247" t="s">
        <v>974</v>
      </c>
      <c r="F247" t="s">
        <v>975</v>
      </c>
      <c r="G247" t="s">
        <v>1089</v>
      </c>
      <c r="H247" s="1" t="s">
        <v>976</v>
      </c>
      <c r="I247" s="1">
        <v>14.31</v>
      </c>
      <c r="J247" s="20">
        <v>0</v>
      </c>
      <c r="K247" s="1">
        <v>14.310048</v>
      </c>
      <c r="L247" s="1">
        <v>0</v>
      </c>
      <c r="M247" s="42" t="s">
        <v>2724</v>
      </c>
      <c r="O247" s="2" t="s">
        <v>2467</v>
      </c>
      <c r="Q247" t="s">
        <v>707</v>
      </c>
    </row>
    <row r="248" spans="1:17" ht="15" customHeight="1" x14ac:dyDescent="0.25">
      <c r="A248" s="3" t="s">
        <v>1130</v>
      </c>
      <c r="B248" s="4" t="s">
        <v>2728</v>
      </c>
      <c r="C248" t="s">
        <v>973</v>
      </c>
      <c r="D248">
        <v>1</v>
      </c>
      <c r="E248" t="s">
        <v>974</v>
      </c>
      <c r="F248" t="s">
        <v>975</v>
      </c>
      <c r="G248" t="s">
        <v>1089</v>
      </c>
      <c r="H248" s="1" t="s">
        <v>976</v>
      </c>
      <c r="I248" s="1">
        <v>13.41</v>
      </c>
      <c r="J248" s="20">
        <v>50</v>
      </c>
      <c r="K248" s="1">
        <v>13.41</v>
      </c>
      <c r="L248" s="1">
        <v>670.5</v>
      </c>
      <c r="M248" s="42" t="s">
        <v>2726</v>
      </c>
      <c r="O248" s="2" t="s">
        <v>2727</v>
      </c>
      <c r="Q248" t="s">
        <v>708</v>
      </c>
    </row>
    <row r="249" spans="1:17" ht="15" customHeight="1" x14ac:dyDescent="0.25">
      <c r="A249" s="3" t="s">
        <v>1131</v>
      </c>
      <c r="B249" s="4" t="s">
        <v>2730</v>
      </c>
      <c r="C249" t="s">
        <v>973</v>
      </c>
      <c r="D249">
        <v>1</v>
      </c>
      <c r="E249" t="s">
        <v>974</v>
      </c>
      <c r="F249" t="s">
        <v>975</v>
      </c>
      <c r="G249" t="s">
        <v>1089</v>
      </c>
      <c r="H249" s="1" t="s">
        <v>976</v>
      </c>
      <c r="I249" s="1">
        <v>13.41</v>
      </c>
      <c r="J249" s="20">
        <v>50</v>
      </c>
      <c r="K249" s="1">
        <v>13.41</v>
      </c>
      <c r="L249" s="1">
        <v>670.5</v>
      </c>
      <c r="M249" s="42" t="s">
        <v>2729</v>
      </c>
      <c r="O249" s="2" t="s">
        <v>2482</v>
      </c>
      <c r="Q249" t="s">
        <v>709</v>
      </c>
    </row>
    <row r="250" spans="1:17" ht="15" customHeight="1" x14ac:dyDescent="0.25">
      <c r="A250" s="3" t="s">
        <v>1132</v>
      </c>
      <c r="B250" s="4" t="s">
        <v>2732</v>
      </c>
      <c r="C250" t="s">
        <v>973</v>
      </c>
      <c r="D250">
        <v>1</v>
      </c>
      <c r="E250" t="s">
        <v>974</v>
      </c>
      <c r="F250" t="s">
        <v>975</v>
      </c>
      <c r="G250" t="s">
        <v>1133</v>
      </c>
      <c r="H250" s="1" t="s">
        <v>976</v>
      </c>
      <c r="I250" s="1">
        <v>14</v>
      </c>
      <c r="J250" s="20">
        <v>5.76</v>
      </c>
      <c r="K250" s="1">
        <v>14</v>
      </c>
      <c r="L250" s="1">
        <v>80.64</v>
      </c>
      <c r="M250" s="42" t="s">
        <v>2731</v>
      </c>
      <c r="O250" s="2" t="s">
        <v>2443</v>
      </c>
      <c r="Q250" t="s">
        <v>710</v>
      </c>
    </row>
    <row r="251" spans="1:17" ht="15" customHeight="1" x14ac:dyDescent="0.25">
      <c r="A251" s="3" t="s">
        <v>1134</v>
      </c>
      <c r="B251" s="4" t="s">
        <v>2735</v>
      </c>
      <c r="C251" t="s">
        <v>973</v>
      </c>
      <c r="D251">
        <v>1</v>
      </c>
      <c r="E251" t="s">
        <v>974</v>
      </c>
      <c r="F251" t="s">
        <v>975</v>
      </c>
      <c r="G251" t="s">
        <v>976</v>
      </c>
      <c r="H251" s="1" t="s">
        <v>976</v>
      </c>
      <c r="I251" s="1">
        <v>34</v>
      </c>
      <c r="J251" s="20">
        <v>39.6</v>
      </c>
      <c r="K251" s="1">
        <v>34</v>
      </c>
      <c r="L251" s="1">
        <v>1346.4</v>
      </c>
      <c r="M251" s="42" t="s">
        <v>2733</v>
      </c>
      <c r="O251" s="2" t="s">
        <v>2734</v>
      </c>
      <c r="Q251" t="s">
        <v>711</v>
      </c>
    </row>
    <row r="252" spans="1:17" ht="15" customHeight="1" x14ac:dyDescent="0.25">
      <c r="A252" s="3" t="s">
        <v>1135</v>
      </c>
      <c r="C252" t="s">
        <v>973</v>
      </c>
      <c r="D252">
        <v>1</v>
      </c>
      <c r="E252" t="s">
        <v>974</v>
      </c>
      <c r="F252" t="s">
        <v>975</v>
      </c>
      <c r="G252" t="s">
        <v>1079</v>
      </c>
      <c r="H252" s="1" t="s">
        <v>976</v>
      </c>
      <c r="I252" s="1">
        <v>79.900000000000006</v>
      </c>
      <c r="J252" s="20">
        <v>0.5</v>
      </c>
      <c r="K252" s="1">
        <v>79.900000000000006</v>
      </c>
      <c r="L252" s="1">
        <v>39.950000000000003</v>
      </c>
      <c r="M252" s="42" t="s">
        <v>2736</v>
      </c>
      <c r="N252" s="1" t="s">
        <v>2616</v>
      </c>
    </row>
    <row r="253" spans="1:17" ht="15" customHeight="1" x14ac:dyDescent="0.25">
      <c r="A253" s="3" t="s">
        <v>2087</v>
      </c>
      <c r="B253" s="4" t="s">
        <v>2738</v>
      </c>
      <c r="C253" t="s">
        <v>973</v>
      </c>
      <c r="D253">
        <v>1</v>
      </c>
      <c r="E253" t="s">
        <v>974</v>
      </c>
      <c r="F253" t="s">
        <v>975</v>
      </c>
      <c r="G253" t="s">
        <v>976</v>
      </c>
      <c r="H253" s="1" t="s">
        <v>976</v>
      </c>
      <c r="I253" s="1">
        <v>55</v>
      </c>
      <c r="J253" s="20">
        <v>18.2</v>
      </c>
      <c r="K253" s="1">
        <v>55</v>
      </c>
      <c r="L253" s="1">
        <v>1001</v>
      </c>
      <c r="M253" s="42" t="s">
        <v>2737</v>
      </c>
      <c r="O253" s="2" t="s">
        <v>2495</v>
      </c>
      <c r="Q253" t="s">
        <v>712</v>
      </c>
    </row>
    <row r="254" spans="1:17" ht="15" customHeight="1" x14ac:dyDescent="0.25">
      <c r="A254" s="3" t="s">
        <v>1136</v>
      </c>
      <c r="B254" s="4" t="s">
        <v>2740</v>
      </c>
      <c r="C254" t="s">
        <v>973</v>
      </c>
      <c r="D254">
        <v>1</v>
      </c>
      <c r="E254" t="s">
        <v>974</v>
      </c>
      <c r="F254" t="s">
        <v>975</v>
      </c>
      <c r="G254" t="s">
        <v>976</v>
      </c>
      <c r="H254" s="1" t="s">
        <v>976</v>
      </c>
      <c r="I254" s="1">
        <v>34</v>
      </c>
      <c r="J254" s="20">
        <v>44.6</v>
      </c>
      <c r="K254" s="1">
        <v>34</v>
      </c>
      <c r="L254" s="1">
        <v>1516.4</v>
      </c>
      <c r="M254" s="42" t="s">
        <v>2739</v>
      </c>
      <c r="O254" s="2" t="s">
        <v>2579</v>
      </c>
      <c r="Q254" t="s">
        <v>713</v>
      </c>
    </row>
    <row r="255" spans="1:17" ht="15" customHeight="1" x14ac:dyDescent="0.25">
      <c r="A255" s="3" t="s">
        <v>2088</v>
      </c>
      <c r="B255" s="4" t="s">
        <v>2742</v>
      </c>
      <c r="C255" t="s">
        <v>973</v>
      </c>
      <c r="D255">
        <v>1</v>
      </c>
      <c r="E255" t="s">
        <v>974</v>
      </c>
      <c r="F255" t="s">
        <v>975</v>
      </c>
      <c r="G255" t="s">
        <v>976</v>
      </c>
      <c r="H255" s="1" t="s">
        <v>976</v>
      </c>
      <c r="I255" s="1">
        <v>53.66</v>
      </c>
      <c r="J255" s="20">
        <v>18.100000000000001</v>
      </c>
      <c r="K255" s="1">
        <v>53.660221</v>
      </c>
      <c r="L255" s="1">
        <v>971.25</v>
      </c>
      <c r="M255" s="42" t="s">
        <v>2741</v>
      </c>
      <c r="O255" s="2" t="s">
        <v>2447</v>
      </c>
      <c r="Q255" t="s">
        <v>714</v>
      </c>
    </row>
    <row r="256" spans="1:17" ht="15" customHeight="1" x14ac:dyDescent="0.25">
      <c r="A256" s="3" t="s">
        <v>2089</v>
      </c>
      <c r="B256" s="4" t="s">
        <v>2744</v>
      </c>
      <c r="C256" t="s">
        <v>973</v>
      </c>
      <c r="D256">
        <v>1</v>
      </c>
      <c r="E256" t="s">
        <v>974</v>
      </c>
      <c r="F256" t="s">
        <v>975</v>
      </c>
      <c r="G256" t="s">
        <v>976</v>
      </c>
      <c r="H256" s="1" t="s">
        <v>976</v>
      </c>
      <c r="I256" s="1">
        <v>95</v>
      </c>
      <c r="J256" s="20">
        <v>21.9</v>
      </c>
      <c r="K256" s="1">
        <v>95</v>
      </c>
      <c r="L256" s="1">
        <v>2080.5</v>
      </c>
      <c r="M256" s="42" t="s">
        <v>2743</v>
      </c>
      <c r="O256" s="2" t="s">
        <v>2437</v>
      </c>
      <c r="Q256" t="s">
        <v>715</v>
      </c>
    </row>
    <row r="257" spans="1:17" ht="15" customHeight="1" x14ac:dyDescent="0.25">
      <c r="A257" s="3" t="s">
        <v>1137</v>
      </c>
      <c r="B257" s="4" t="s">
        <v>211</v>
      </c>
      <c r="C257" t="s">
        <v>1016</v>
      </c>
      <c r="D257">
        <v>1</v>
      </c>
      <c r="E257" t="s">
        <v>974</v>
      </c>
      <c r="F257" t="s">
        <v>975</v>
      </c>
      <c r="G257" t="s">
        <v>976</v>
      </c>
      <c r="H257" s="1" t="s">
        <v>976</v>
      </c>
      <c r="I257" s="1">
        <v>1.18</v>
      </c>
      <c r="J257" s="20">
        <v>375</v>
      </c>
      <c r="K257" s="1">
        <v>1.18</v>
      </c>
      <c r="L257" s="1">
        <v>442.5</v>
      </c>
      <c r="M257" s="42" t="s">
        <v>2745</v>
      </c>
      <c r="Q257" t="s">
        <v>211</v>
      </c>
    </row>
    <row r="258" spans="1:17" ht="15" customHeight="1" x14ac:dyDescent="0.25">
      <c r="A258" s="3" t="s">
        <v>1138</v>
      </c>
      <c r="B258" s="4" t="s">
        <v>212</v>
      </c>
      <c r="C258" t="s">
        <v>1016</v>
      </c>
      <c r="D258">
        <v>1</v>
      </c>
      <c r="E258" t="s">
        <v>974</v>
      </c>
      <c r="F258" t="s">
        <v>975</v>
      </c>
      <c r="G258" t="s">
        <v>976</v>
      </c>
      <c r="H258" s="1" t="s">
        <v>976</v>
      </c>
      <c r="I258" s="1">
        <v>0.44</v>
      </c>
      <c r="J258" s="20">
        <v>1095</v>
      </c>
      <c r="K258" s="1">
        <v>0.445662</v>
      </c>
      <c r="L258" s="1">
        <v>488</v>
      </c>
      <c r="M258" s="42" t="s">
        <v>2746</v>
      </c>
      <c r="Q258" t="s">
        <v>212</v>
      </c>
    </row>
    <row r="259" spans="1:17" ht="15" customHeight="1" x14ac:dyDescent="0.25">
      <c r="A259" s="41" t="s">
        <v>1138</v>
      </c>
      <c r="B259" s="3" t="s">
        <v>212</v>
      </c>
      <c r="C259" s="41" t="s">
        <v>1016</v>
      </c>
      <c r="D259">
        <v>4</v>
      </c>
      <c r="E259" t="s">
        <v>1018</v>
      </c>
      <c r="F259" t="s">
        <v>975</v>
      </c>
      <c r="G259" t="s">
        <v>976</v>
      </c>
      <c r="H259" s="1" t="s">
        <v>976</v>
      </c>
      <c r="I259" s="1">
        <v>0.44</v>
      </c>
      <c r="J259" s="20">
        <v>105</v>
      </c>
      <c r="K259" s="1">
        <v>0.44209500000000002</v>
      </c>
      <c r="L259" s="1">
        <v>46.42</v>
      </c>
      <c r="M259" s="42" t="s">
        <v>2746</v>
      </c>
      <c r="Q259" t="s">
        <v>212</v>
      </c>
    </row>
    <row r="260" spans="1:17" ht="15" customHeight="1" x14ac:dyDescent="0.25">
      <c r="A260" s="3" t="s">
        <v>1139</v>
      </c>
      <c r="B260" s="4" t="s">
        <v>213</v>
      </c>
      <c r="C260" t="s">
        <v>1016</v>
      </c>
      <c r="D260">
        <v>1</v>
      </c>
      <c r="E260" t="s">
        <v>974</v>
      </c>
      <c r="F260" t="s">
        <v>975</v>
      </c>
      <c r="G260" t="s">
        <v>976</v>
      </c>
      <c r="H260" s="1" t="s">
        <v>976</v>
      </c>
      <c r="I260" s="1">
        <v>0.44</v>
      </c>
      <c r="J260" s="20">
        <v>0</v>
      </c>
      <c r="K260" s="1">
        <v>0.44447599999999998</v>
      </c>
      <c r="L260" s="1">
        <v>0</v>
      </c>
      <c r="M260" s="42" t="s">
        <v>2747</v>
      </c>
      <c r="Q260" t="s">
        <v>213</v>
      </c>
    </row>
    <row r="261" spans="1:17" ht="15" customHeight="1" x14ac:dyDescent="0.25">
      <c r="A261" s="41" t="s">
        <v>1139</v>
      </c>
      <c r="B261" s="3" t="s">
        <v>213</v>
      </c>
      <c r="C261" s="41" t="s">
        <v>1016</v>
      </c>
      <c r="D261">
        <v>4</v>
      </c>
      <c r="E261" t="s">
        <v>1018</v>
      </c>
      <c r="F261" t="s">
        <v>975</v>
      </c>
      <c r="G261" t="s">
        <v>976</v>
      </c>
      <c r="H261" s="1" t="s">
        <v>976</v>
      </c>
      <c r="I261" s="1">
        <v>0.44</v>
      </c>
      <c r="J261" s="20">
        <v>100</v>
      </c>
      <c r="K261" s="1">
        <v>0.44</v>
      </c>
      <c r="L261" s="1">
        <v>44</v>
      </c>
      <c r="M261" s="42" t="s">
        <v>2747</v>
      </c>
      <c r="Q261" t="s">
        <v>213</v>
      </c>
    </row>
    <row r="262" spans="1:17" ht="15" customHeight="1" x14ac:dyDescent="0.25">
      <c r="A262" s="3" t="s">
        <v>1140</v>
      </c>
      <c r="B262" s="4" t="s">
        <v>214</v>
      </c>
      <c r="C262" t="s">
        <v>1016</v>
      </c>
      <c r="D262">
        <v>1</v>
      </c>
      <c r="E262" t="s">
        <v>974</v>
      </c>
      <c r="F262" t="s">
        <v>975</v>
      </c>
      <c r="G262" t="s">
        <v>976</v>
      </c>
      <c r="H262" s="1" t="s">
        <v>976</v>
      </c>
      <c r="I262" s="1">
        <v>1.08</v>
      </c>
      <c r="J262" s="20">
        <v>233</v>
      </c>
      <c r="K262" s="1">
        <v>1.08</v>
      </c>
      <c r="L262" s="1">
        <v>251.64</v>
      </c>
      <c r="M262" s="42" t="s">
        <v>2748</v>
      </c>
      <c r="Q262" t="s">
        <v>214</v>
      </c>
    </row>
    <row r="263" spans="1:17" ht="15" customHeight="1" x14ac:dyDescent="0.25">
      <c r="A263" s="3" t="s">
        <v>1141</v>
      </c>
      <c r="B263" s="4" t="s">
        <v>2694</v>
      </c>
      <c r="C263" t="s">
        <v>973</v>
      </c>
      <c r="D263">
        <v>1</v>
      </c>
      <c r="E263" t="s">
        <v>974</v>
      </c>
      <c r="F263" t="s">
        <v>975</v>
      </c>
      <c r="G263" t="s">
        <v>976</v>
      </c>
      <c r="H263" s="1" t="s">
        <v>976</v>
      </c>
      <c r="I263" s="1">
        <v>45.9</v>
      </c>
      <c r="J263" s="20">
        <v>204.5</v>
      </c>
      <c r="K263" s="1">
        <v>42.687004000000002</v>
      </c>
      <c r="L263" s="1">
        <v>8729.49</v>
      </c>
      <c r="M263" s="42" t="s">
        <v>2749</v>
      </c>
      <c r="O263" s="2" t="s">
        <v>2463</v>
      </c>
      <c r="Q263" t="s">
        <v>716</v>
      </c>
    </row>
    <row r="264" spans="1:17" ht="15" customHeight="1" x14ac:dyDescent="0.25">
      <c r="A264" s="3" t="s">
        <v>1142</v>
      </c>
      <c r="B264" s="4" t="s">
        <v>215</v>
      </c>
      <c r="C264" t="s">
        <v>973</v>
      </c>
      <c r="D264">
        <v>1</v>
      </c>
      <c r="E264" t="s">
        <v>974</v>
      </c>
      <c r="F264" t="s">
        <v>975</v>
      </c>
      <c r="G264" t="s">
        <v>976</v>
      </c>
      <c r="H264" s="1" t="s">
        <v>976</v>
      </c>
      <c r="I264" s="1">
        <v>45.9</v>
      </c>
      <c r="J264" s="20">
        <v>120</v>
      </c>
      <c r="K264" s="1">
        <v>42.686999999999998</v>
      </c>
      <c r="L264" s="1">
        <v>5122.4399999999996</v>
      </c>
      <c r="M264" s="42" t="s">
        <v>2750</v>
      </c>
      <c r="Q264" t="s">
        <v>215</v>
      </c>
    </row>
    <row r="265" spans="1:17" ht="15" customHeight="1" x14ac:dyDescent="0.25">
      <c r="A265" s="3" t="s">
        <v>1143</v>
      </c>
      <c r="B265" s="4" t="s">
        <v>216</v>
      </c>
      <c r="C265" t="s">
        <v>973</v>
      </c>
      <c r="D265">
        <v>1</v>
      </c>
      <c r="E265" t="s">
        <v>974</v>
      </c>
      <c r="F265" t="s">
        <v>975</v>
      </c>
      <c r="G265" t="s">
        <v>976</v>
      </c>
      <c r="H265" s="1" t="s">
        <v>976</v>
      </c>
      <c r="I265" s="1">
        <v>54.09</v>
      </c>
      <c r="J265" s="20">
        <v>-9</v>
      </c>
      <c r="K265" s="1">
        <v>51.385620000000003</v>
      </c>
      <c r="L265" s="1">
        <v>-462.47</v>
      </c>
      <c r="M265" s="42" t="s">
        <v>2751</v>
      </c>
      <c r="Q265" t="s">
        <v>216</v>
      </c>
    </row>
    <row r="266" spans="1:17" ht="15" customHeight="1" x14ac:dyDescent="0.25">
      <c r="A266" s="41" t="s">
        <v>1143</v>
      </c>
      <c r="B266" s="3" t="s">
        <v>216</v>
      </c>
      <c r="C266" s="41" t="s">
        <v>973</v>
      </c>
      <c r="D266">
        <v>4</v>
      </c>
      <c r="E266" t="s">
        <v>1018</v>
      </c>
      <c r="F266" t="s">
        <v>975</v>
      </c>
      <c r="G266" t="s">
        <v>976</v>
      </c>
      <c r="H266" s="1" t="s">
        <v>976</v>
      </c>
      <c r="I266" s="1">
        <v>54.09</v>
      </c>
      <c r="J266" s="20">
        <v>11</v>
      </c>
      <c r="K266" s="1">
        <v>54.09</v>
      </c>
      <c r="L266" s="1">
        <v>594.99</v>
      </c>
      <c r="M266" s="42" t="s">
        <v>2751</v>
      </c>
      <c r="Q266" t="s">
        <v>216</v>
      </c>
    </row>
    <row r="267" spans="1:17" ht="15" customHeight="1" x14ac:dyDescent="0.25">
      <c r="A267" s="3" t="s">
        <v>2090</v>
      </c>
      <c r="B267" s="4" t="s">
        <v>2753</v>
      </c>
      <c r="C267" t="s">
        <v>973</v>
      </c>
      <c r="D267">
        <v>1</v>
      </c>
      <c r="E267" t="s">
        <v>974</v>
      </c>
      <c r="F267" t="s">
        <v>975</v>
      </c>
      <c r="G267" t="s">
        <v>976</v>
      </c>
      <c r="H267" s="1" t="s">
        <v>976</v>
      </c>
      <c r="I267" s="1">
        <v>12.5</v>
      </c>
      <c r="J267" s="20">
        <v>56.699995999999999</v>
      </c>
      <c r="K267" s="1">
        <v>12.5</v>
      </c>
      <c r="L267" s="1">
        <v>708.75</v>
      </c>
      <c r="M267" s="42" t="s">
        <v>2752</v>
      </c>
      <c r="O267" s="2" t="s">
        <v>2482</v>
      </c>
      <c r="Q267" t="s">
        <v>717</v>
      </c>
    </row>
    <row r="268" spans="1:17" ht="15" customHeight="1" x14ac:dyDescent="0.25">
      <c r="A268" s="3" t="s">
        <v>1144</v>
      </c>
      <c r="B268" s="4" t="s">
        <v>2755</v>
      </c>
      <c r="C268" t="s">
        <v>973</v>
      </c>
      <c r="D268">
        <v>1</v>
      </c>
      <c r="E268" t="s">
        <v>974</v>
      </c>
      <c r="F268" t="s">
        <v>975</v>
      </c>
      <c r="G268" t="s">
        <v>976</v>
      </c>
      <c r="H268" s="1" t="s">
        <v>976</v>
      </c>
      <c r="I268" s="1">
        <v>17.690000000000001</v>
      </c>
      <c r="J268" s="20">
        <v>53.6</v>
      </c>
      <c r="K268" s="1">
        <v>17.689924999999999</v>
      </c>
      <c r="L268" s="1">
        <v>948.18</v>
      </c>
      <c r="M268" s="42" t="s">
        <v>2754</v>
      </c>
      <c r="O268" s="2" t="s">
        <v>2467</v>
      </c>
      <c r="Q268" t="s">
        <v>718</v>
      </c>
    </row>
    <row r="269" spans="1:17" ht="15" customHeight="1" x14ac:dyDescent="0.25">
      <c r="A269" s="3" t="s">
        <v>1145</v>
      </c>
      <c r="B269" s="4" t="s">
        <v>217</v>
      </c>
      <c r="C269" t="s">
        <v>976</v>
      </c>
      <c r="D269">
        <v>1</v>
      </c>
      <c r="E269" t="s">
        <v>974</v>
      </c>
      <c r="F269" t="s">
        <v>975</v>
      </c>
      <c r="G269" t="s">
        <v>976</v>
      </c>
      <c r="H269" s="1" t="s">
        <v>976</v>
      </c>
      <c r="I269" s="1">
        <v>19.07</v>
      </c>
      <c r="J269" s="20">
        <v>2</v>
      </c>
      <c r="K269" s="1">
        <v>19.07</v>
      </c>
      <c r="L269" s="1">
        <v>38.14</v>
      </c>
      <c r="M269" s="42" t="s">
        <v>2756</v>
      </c>
      <c r="Q269" t="s">
        <v>217</v>
      </c>
    </row>
    <row r="270" spans="1:17" ht="15" customHeight="1" x14ac:dyDescent="0.25">
      <c r="A270" s="3" t="s">
        <v>1146</v>
      </c>
      <c r="B270" s="4" t="s">
        <v>2758</v>
      </c>
      <c r="C270" t="s">
        <v>976</v>
      </c>
      <c r="D270">
        <v>1</v>
      </c>
      <c r="E270" t="s">
        <v>974</v>
      </c>
      <c r="F270" t="s">
        <v>975</v>
      </c>
      <c r="G270" t="s">
        <v>976</v>
      </c>
      <c r="H270" s="1" t="s">
        <v>976</v>
      </c>
      <c r="I270" s="1">
        <v>19.07</v>
      </c>
      <c r="J270" s="20">
        <v>2.8</v>
      </c>
      <c r="K270" s="1">
        <v>19.071428999999998</v>
      </c>
      <c r="L270" s="1">
        <v>53.4</v>
      </c>
      <c r="M270" s="42" t="s">
        <v>2757</v>
      </c>
      <c r="O270" s="2" t="s">
        <v>2437</v>
      </c>
      <c r="Q270" t="s">
        <v>719</v>
      </c>
    </row>
    <row r="271" spans="1:17" ht="15" customHeight="1" x14ac:dyDescent="0.25">
      <c r="A271" s="3" t="s">
        <v>1147</v>
      </c>
      <c r="B271" s="4" t="s">
        <v>218</v>
      </c>
      <c r="C271" t="s">
        <v>1148</v>
      </c>
      <c r="D271">
        <v>1</v>
      </c>
      <c r="E271" t="s">
        <v>974</v>
      </c>
      <c r="F271" t="s">
        <v>975</v>
      </c>
      <c r="G271" t="s">
        <v>180</v>
      </c>
      <c r="H271" s="1" t="s">
        <v>976</v>
      </c>
      <c r="I271" s="1">
        <v>950</v>
      </c>
      <c r="J271" s="20">
        <v>1</v>
      </c>
      <c r="K271" s="1">
        <v>316.27999999999997</v>
      </c>
      <c r="L271" s="1">
        <v>316.27999999999997</v>
      </c>
      <c r="M271" s="42" t="s">
        <v>2759</v>
      </c>
      <c r="Q271" t="s">
        <v>218</v>
      </c>
    </row>
    <row r="272" spans="1:17" ht="15" customHeight="1" x14ac:dyDescent="0.25">
      <c r="A272" s="3" t="s">
        <v>1149</v>
      </c>
      <c r="B272" s="4" t="s">
        <v>219</v>
      </c>
      <c r="C272" t="s">
        <v>1148</v>
      </c>
      <c r="D272">
        <v>1</v>
      </c>
      <c r="E272" t="s">
        <v>974</v>
      </c>
      <c r="F272" t="s">
        <v>975</v>
      </c>
      <c r="G272" t="s">
        <v>180</v>
      </c>
      <c r="H272" s="1" t="s">
        <v>976</v>
      </c>
      <c r="I272" s="1">
        <v>690</v>
      </c>
      <c r="J272" s="20">
        <v>5</v>
      </c>
      <c r="K272" s="1">
        <v>230.08</v>
      </c>
      <c r="L272" s="1">
        <v>1150.4000000000001</v>
      </c>
      <c r="M272" s="42" t="s">
        <v>2759</v>
      </c>
      <c r="Q272" t="s">
        <v>219</v>
      </c>
    </row>
    <row r="273" spans="1:17" ht="15" customHeight="1" x14ac:dyDescent="0.25">
      <c r="A273" s="3" t="s">
        <v>1150</v>
      </c>
      <c r="B273" s="4" t="s">
        <v>220</v>
      </c>
      <c r="C273" t="s">
        <v>1148</v>
      </c>
      <c r="D273">
        <v>1</v>
      </c>
      <c r="E273" t="s">
        <v>974</v>
      </c>
      <c r="F273" t="s">
        <v>975</v>
      </c>
      <c r="G273" t="s">
        <v>180</v>
      </c>
      <c r="H273" s="1" t="s">
        <v>976</v>
      </c>
      <c r="I273" s="1">
        <v>990</v>
      </c>
      <c r="J273" s="20">
        <v>1</v>
      </c>
      <c r="K273" s="1">
        <v>333.56</v>
      </c>
      <c r="L273" s="1">
        <v>333.56</v>
      </c>
      <c r="M273" s="42" t="s">
        <v>2759</v>
      </c>
      <c r="Q273" t="s">
        <v>220</v>
      </c>
    </row>
    <row r="274" spans="1:17" ht="15" customHeight="1" x14ac:dyDescent="0.25">
      <c r="A274" s="3" t="s">
        <v>1151</v>
      </c>
      <c r="B274" s="4" t="s">
        <v>221</v>
      </c>
      <c r="C274" t="s">
        <v>1152</v>
      </c>
      <c r="D274">
        <v>1</v>
      </c>
      <c r="E274" t="s">
        <v>974</v>
      </c>
      <c r="F274" t="s">
        <v>975</v>
      </c>
      <c r="G274" t="s">
        <v>180</v>
      </c>
      <c r="H274" s="1" t="s">
        <v>976</v>
      </c>
      <c r="I274" s="1">
        <v>4200</v>
      </c>
      <c r="J274" s="20">
        <v>11</v>
      </c>
      <c r="K274" s="1">
        <v>502.72727200000003</v>
      </c>
      <c r="L274" s="1">
        <v>5530</v>
      </c>
      <c r="M274" s="42" t="s">
        <v>2760</v>
      </c>
      <c r="P274" t="s">
        <v>24</v>
      </c>
      <c r="Q274" t="s">
        <v>221</v>
      </c>
    </row>
    <row r="275" spans="1:17" ht="15" customHeight="1" x14ac:dyDescent="0.25">
      <c r="A275" s="3" t="s">
        <v>1153</v>
      </c>
      <c r="B275" s="4" t="s">
        <v>222</v>
      </c>
      <c r="C275" t="s">
        <v>1152</v>
      </c>
      <c r="D275">
        <v>1</v>
      </c>
      <c r="E275" t="s">
        <v>974</v>
      </c>
      <c r="F275" t="s">
        <v>975</v>
      </c>
      <c r="G275" t="s">
        <v>180</v>
      </c>
      <c r="H275" s="1" t="s">
        <v>976</v>
      </c>
      <c r="I275" s="1">
        <v>4200</v>
      </c>
      <c r="J275" s="20">
        <v>5</v>
      </c>
      <c r="K275" s="1">
        <v>0</v>
      </c>
      <c r="L275" s="1">
        <v>0</v>
      </c>
      <c r="M275" s="42" t="s">
        <v>2760</v>
      </c>
      <c r="P275" t="s">
        <v>22</v>
      </c>
      <c r="Q275" t="s">
        <v>222</v>
      </c>
    </row>
    <row r="276" spans="1:17" ht="15" customHeight="1" x14ac:dyDescent="0.25">
      <c r="A276" s="3" t="s">
        <v>1154</v>
      </c>
      <c r="B276" s="4" t="s">
        <v>2761</v>
      </c>
      <c r="C276" t="s">
        <v>1152</v>
      </c>
      <c r="D276">
        <v>1</v>
      </c>
      <c r="E276" t="s">
        <v>974</v>
      </c>
      <c r="F276" t="s">
        <v>975</v>
      </c>
      <c r="G276" t="s">
        <v>180</v>
      </c>
      <c r="H276" s="1" t="s">
        <v>976</v>
      </c>
      <c r="I276" s="1">
        <v>4800</v>
      </c>
      <c r="J276" s="20">
        <v>4</v>
      </c>
      <c r="K276" s="1">
        <v>0</v>
      </c>
      <c r="L276" s="1">
        <v>0</v>
      </c>
      <c r="M276" s="42" t="s">
        <v>2760</v>
      </c>
      <c r="O276" s="2" t="s">
        <v>2495</v>
      </c>
      <c r="P276" t="s">
        <v>24</v>
      </c>
      <c r="Q276" t="s">
        <v>720</v>
      </c>
    </row>
    <row r="277" spans="1:17" ht="15" customHeight="1" x14ac:dyDescent="0.25">
      <c r="A277" s="3" t="s">
        <v>1155</v>
      </c>
      <c r="B277" s="4" t="s">
        <v>2761</v>
      </c>
      <c r="C277" t="s">
        <v>1152</v>
      </c>
      <c r="D277">
        <v>1</v>
      </c>
      <c r="E277" t="s">
        <v>974</v>
      </c>
      <c r="F277" t="s">
        <v>975</v>
      </c>
      <c r="G277" t="s">
        <v>180</v>
      </c>
      <c r="H277" s="1" t="s">
        <v>976</v>
      </c>
      <c r="I277" s="1">
        <v>4800</v>
      </c>
      <c r="J277" s="20">
        <v>3</v>
      </c>
      <c r="K277" s="1">
        <v>0</v>
      </c>
      <c r="L277" s="1">
        <v>0</v>
      </c>
      <c r="M277" s="42" t="s">
        <v>2760</v>
      </c>
      <c r="O277" s="2" t="s">
        <v>2495</v>
      </c>
      <c r="P277" t="s">
        <v>22</v>
      </c>
      <c r="Q277" t="s">
        <v>720</v>
      </c>
    </row>
    <row r="278" spans="1:17" ht="15" customHeight="1" x14ac:dyDescent="0.25">
      <c r="A278" s="3" t="s">
        <v>1156</v>
      </c>
      <c r="B278" s="4" t="s">
        <v>2762</v>
      </c>
      <c r="C278" t="s">
        <v>1152</v>
      </c>
      <c r="D278">
        <v>1</v>
      </c>
      <c r="E278" t="s">
        <v>974</v>
      </c>
      <c r="F278" t="s">
        <v>975</v>
      </c>
      <c r="G278" t="s">
        <v>180</v>
      </c>
      <c r="H278" s="1" t="s">
        <v>976</v>
      </c>
      <c r="I278" s="1">
        <v>3000</v>
      </c>
      <c r="J278" s="20">
        <v>-4</v>
      </c>
      <c r="K278" s="1">
        <v>0</v>
      </c>
      <c r="L278" s="1">
        <v>0</v>
      </c>
      <c r="M278" s="42" t="s">
        <v>2760</v>
      </c>
      <c r="O278" s="2" t="s">
        <v>2495</v>
      </c>
      <c r="P278" t="s">
        <v>22</v>
      </c>
      <c r="Q278" t="s">
        <v>721</v>
      </c>
    </row>
    <row r="279" spans="1:17" ht="15" customHeight="1" x14ac:dyDescent="0.25">
      <c r="A279" s="3" t="s">
        <v>1157</v>
      </c>
      <c r="B279" s="4" t="s">
        <v>223</v>
      </c>
      <c r="C279" t="s">
        <v>1152</v>
      </c>
      <c r="D279">
        <v>1</v>
      </c>
      <c r="E279" t="s">
        <v>974</v>
      </c>
      <c r="F279" t="s">
        <v>975</v>
      </c>
      <c r="G279" t="s">
        <v>180</v>
      </c>
      <c r="H279" s="1" t="s">
        <v>976</v>
      </c>
      <c r="I279" s="1">
        <v>14300</v>
      </c>
      <c r="J279" s="20">
        <v>3</v>
      </c>
      <c r="K279" s="1">
        <v>3100</v>
      </c>
      <c r="L279" s="1">
        <v>9300</v>
      </c>
      <c r="M279" s="42" t="s">
        <v>2763</v>
      </c>
      <c r="Q279" t="s">
        <v>223</v>
      </c>
    </row>
    <row r="280" spans="1:17" ht="15" customHeight="1" x14ac:dyDescent="0.25">
      <c r="A280" s="3" t="s">
        <v>1158</v>
      </c>
      <c r="B280" s="4" t="s">
        <v>2765</v>
      </c>
      <c r="C280" t="s">
        <v>1159</v>
      </c>
      <c r="D280">
        <v>1</v>
      </c>
      <c r="E280" t="s">
        <v>974</v>
      </c>
      <c r="F280" t="s">
        <v>975</v>
      </c>
      <c r="G280" t="s">
        <v>976</v>
      </c>
      <c r="H280" s="1" t="s">
        <v>976</v>
      </c>
      <c r="I280" s="1">
        <v>730</v>
      </c>
      <c r="J280" s="20">
        <v>-1</v>
      </c>
      <c r="K280" s="1">
        <v>0</v>
      </c>
      <c r="L280" s="1">
        <v>0</v>
      </c>
      <c r="M280" s="42" t="s">
        <v>2764</v>
      </c>
      <c r="N280" s="1" t="s">
        <v>2616</v>
      </c>
      <c r="O280" s="2" t="s">
        <v>2463</v>
      </c>
      <c r="Q280" t="s">
        <v>722</v>
      </c>
    </row>
    <row r="281" spans="1:17" ht="15" customHeight="1" x14ac:dyDescent="0.25">
      <c r="A281" s="3" t="s">
        <v>1160</v>
      </c>
      <c r="B281" s="4" t="s">
        <v>2766</v>
      </c>
      <c r="C281" t="s">
        <v>1159</v>
      </c>
      <c r="D281">
        <v>1</v>
      </c>
      <c r="E281" t="s">
        <v>974</v>
      </c>
      <c r="F281" t="s">
        <v>975</v>
      </c>
      <c r="G281" t="s">
        <v>976</v>
      </c>
      <c r="H281" s="1" t="s">
        <v>976</v>
      </c>
      <c r="I281" s="1">
        <v>810</v>
      </c>
      <c r="J281" s="20">
        <v>-1</v>
      </c>
      <c r="K281" s="1">
        <v>0</v>
      </c>
      <c r="L281" s="1">
        <v>0</v>
      </c>
      <c r="M281" s="42" t="s">
        <v>2764</v>
      </c>
      <c r="N281" s="1" t="s">
        <v>2616</v>
      </c>
      <c r="O281" s="2" t="s">
        <v>2443</v>
      </c>
      <c r="Q281" t="s">
        <v>723</v>
      </c>
    </row>
    <row r="282" spans="1:17" ht="15" customHeight="1" x14ac:dyDescent="0.25">
      <c r="A282" s="3" t="s">
        <v>1161</v>
      </c>
      <c r="B282" s="4" t="s">
        <v>2767</v>
      </c>
      <c r="C282" t="s">
        <v>1159</v>
      </c>
      <c r="D282">
        <v>1</v>
      </c>
      <c r="E282" t="s">
        <v>974</v>
      </c>
      <c r="F282" t="s">
        <v>975</v>
      </c>
      <c r="G282" t="s">
        <v>976</v>
      </c>
      <c r="H282" s="1" t="s">
        <v>976</v>
      </c>
      <c r="I282" s="1">
        <v>740</v>
      </c>
      <c r="J282" s="20">
        <v>0</v>
      </c>
      <c r="K282" s="1">
        <v>130</v>
      </c>
      <c r="L282" s="1">
        <v>0</v>
      </c>
      <c r="M282" s="42" t="s">
        <v>2764</v>
      </c>
      <c r="O282" s="2" t="s">
        <v>2463</v>
      </c>
      <c r="P282">
        <v>36</v>
      </c>
      <c r="Q282" t="s">
        <v>724</v>
      </c>
    </row>
    <row r="283" spans="1:17" ht="15" customHeight="1" x14ac:dyDescent="0.25">
      <c r="A283" s="3" t="s">
        <v>1162</v>
      </c>
      <c r="B283" s="4" t="s">
        <v>2767</v>
      </c>
      <c r="C283" t="s">
        <v>1159</v>
      </c>
      <c r="D283">
        <v>1</v>
      </c>
      <c r="E283" t="s">
        <v>974</v>
      </c>
      <c r="F283" t="s">
        <v>975</v>
      </c>
      <c r="G283" t="s">
        <v>976</v>
      </c>
      <c r="H283" s="1" t="s">
        <v>976</v>
      </c>
      <c r="I283" s="1">
        <v>740</v>
      </c>
      <c r="J283" s="20">
        <v>9</v>
      </c>
      <c r="K283" s="1">
        <v>130</v>
      </c>
      <c r="L283" s="1">
        <v>1170</v>
      </c>
      <c r="M283" s="42" t="s">
        <v>2764</v>
      </c>
      <c r="O283" s="2" t="s">
        <v>2463</v>
      </c>
      <c r="P283">
        <v>38</v>
      </c>
      <c r="Q283" t="s">
        <v>724</v>
      </c>
    </row>
    <row r="284" spans="1:17" ht="15" customHeight="1" x14ac:dyDescent="0.25">
      <c r="A284" s="3" t="s">
        <v>1163</v>
      </c>
      <c r="B284" s="4" t="s">
        <v>2767</v>
      </c>
      <c r="C284" t="s">
        <v>1159</v>
      </c>
      <c r="D284">
        <v>1</v>
      </c>
      <c r="E284" t="s">
        <v>974</v>
      </c>
      <c r="F284" t="s">
        <v>975</v>
      </c>
      <c r="G284" t="s">
        <v>976</v>
      </c>
      <c r="H284" s="1" t="s">
        <v>976</v>
      </c>
      <c r="I284" s="1">
        <v>740</v>
      </c>
      <c r="J284" s="20">
        <v>19</v>
      </c>
      <c r="K284" s="1">
        <v>130</v>
      </c>
      <c r="L284" s="1">
        <v>2470</v>
      </c>
      <c r="M284" s="42" t="s">
        <v>2764</v>
      </c>
      <c r="O284" s="2" t="s">
        <v>2463</v>
      </c>
      <c r="P284">
        <v>40</v>
      </c>
      <c r="Q284" t="s">
        <v>724</v>
      </c>
    </row>
    <row r="285" spans="1:17" ht="15" customHeight="1" x14ac:dyDescent="0.25">
      <c r="A285" s="3" t="s">
        <v>1164</v>
      </c>
      <c r="B285" s="4" t="s">
        <v>2767</v>
      </c>
      <c r="C285" t="s">
        <v>1159</v>
      </c>
      <c r="D285">
        <v>1</v>
      </c>
      <c r="E285" t="s">
        <v>974</v>
      </c>
      <c r="F285" t="s">
        <v>975</v>
      </c>
      <c r="G285" t="s">
        <v>976</v>
      </c>
      <c r="H285" s="1" t="s">
        <v>976</v>
      </c>
      <c r="I285" s="1">
        <v>740</v>
      </c>
      <c r="J285" s="20">
        <v>7</v>
      </c>
      <c r="K285" s="1">
        <v>130</v>
      </c>
      <c r="L285" s="1">
        <v>910</v>
      </c>
      <c r="M285" s="42" t="s">
        <v>2764</v>
      </c>
      <c r="O285" s="2" t="s">
        <v>2463</v>
      </c>
      <c r="P285">
        <v>42</v>
      </c>
      <c r="Q285" t="s">
        <v>724</v>
      </c>
    </row>
    <row r="286" spans="1:17" ht="15" customHeight="1" x14ac:dyDescent="0.25">
      <c r="A286" s="3" t="s">
        <v>1165</v>
      </c>
      <c r="B286" s="4" t="s">
        <v>2767</v>
      </c>
      <c r="C286" t="s">
        <v>1159</v>
      </c>
      <c r="D286">
        <v>1</v>
      </c>
      <c r="E286" t="s">
        <v>974</v>
      </c>
      <c r="F286" t="s">
        <v>975</v>
      </c>
      <c r="G286" t="s">
        <v>976</v>
      </c>
      <c r="H286" s="1" t="s">
        <v>976</v>
      </c>
      <c r="I286" s="1">
        <v>740</v>
      </c>
      <c r="J286" s="20">
        <v>3</v>
      </c>
      <c r="K286" s="1">
        <v>130</v>
      </c>
      <c r="L286" s="1">
        <v>390</v>
      </c>
      <c r="M286" s="42" t="s">
        <v>2764</v>
      </c>
      <c r="O286" s="2" t="s">
        <v>2463</v>
      </c>
      <c r="P286">
        <v>44</v>
      </c>
      <c r="Q286" t="s">
        <v>724</v>
      </c>
    </row>
    <row r="287" spans="1:17" ht="15" customHeight="1" x14ac:dyDescent="0.25">
      <c r="A287" s="3" t="s">
        <v>1166</v>
      </c>
      <c r="B287" s="4" t="s">
        <v>2767</v>
      </c>
      <c r="C287" t="s">
        <v>1159</v>
      </c>
      <c r="D287">
        <v>1</v>
      </c>
      <c r="E287" t="s">
        <v>974</v>
      </c>
      <c r="F287" t="s">
        <v>975</v>
      </c>
      <c r="G287" t="s">
        <v>976</v>
      </c>
      <c r="H287" s="1" t="s">
        <v>976</v>
      </c>
      <c r="I287" s="1">
        <v>740</v>
      </c>
      <c r="J287" s="20">
        <v>2</v>
      </c>
      <c r="K287" s="1">
        <v>130</v>
      </c>
      <c r="L287" s="1">
        <v>260</v>
      </c>
      <c r="M287" s="42" t="s">
        <v>2764</v>
      </c>
      <c r="O287" s="2" t="s">
        <v>2463</v>
      </c>
      <c r="P287">
        <v>46</v>
      </c>
      <c r="Q287" t="s">
        <v>724</v>
      </c>
    </row>
    <row r="288" spans="1:17" ht="15" customHeight="1" x14ac:dyDescent="0.25">
      <c r="A288" s="3" t="s">
        <v>1167</v>
      </c>
      <c r="B288" s="4" t="s">
        <v>224</v>
      </c>
      <c r="C288" t="s">
        <v>1159</v>
      </c>
      <c r="D288">
        <v>1</v>
      </c>
      <c r="E288" t="s">
        <v>974</v>
      </c>
      <c r="F288" t="s">
        <v>975</v>
      </c>
      <c r="G288" t="s">
        <v>180</v>
      </c>
      <c r="H288" s="1" t="s">
        <v>976</v>
      </c>
      <c r="I288" s="1">
        <v>599</v>
      </c>
      <c r="J288" s="20">
        <v>1</v>
      </c>
      <c r="K288" s="1">
        <v>0</v>
      </c>
      <c r="L288" s="1">
        <v>0</v>
      </c>
      <c r="M288" s="42" t="s">
        <v>2764</v>
      </c>
      <c r="P288" t="s">
        <v>24</v>
      </c>
      <c r="Q288" t="s">
        <v>224</v>
      </c>
    </row>
    <row r="289" spans="1:17" ht="15" customHeight="1" x14ac:dyDescent="0.25">
      <c r="A289" s="41" t="s">
        <v>1167</v>
      </c>
      <c r="B289" s="3" t="s">
        <v>224</v>
      </c>
      <c r="C289" s="41" t="s">
        <v>1159</v>
      </c>
      <c r="D289">
        <v>4</v>
      </c>
      <c r="E289" t="s">
        <v>1018</v>
      </c>
      <c r="F289" t="s">
        <v>975</v>
      </c>
      <c r="G289" t="s">
        <v>180</v>
      </c>
      <c r="H289" s="1" t="s">
        <v>976</v>
      </c>
      <c r="I289" s="1">
        <v>599</v>
      </c>
      <c r="J289" s="20">
        <v>0</v>
      </c>
      <c r="K289" s="1">
        <v>0</v>
      </c>
      <c r="L289" s="1">
        <v>0</v>
      </c>
      <c r="M289" s="42" t="s">
        <v>2764</v>
      </c>
      <c r="P289" t="s">
        <v>24</v>
      </c>
      <c r="Q289" t="s">
        <v>224</v>
      </c>
    </row>
    <row r="290" spans="1:17" ht="15" customHeight="1" x14ac:dyDescent="0.25">
      <c r="A290" s="3" t="s">
        <v>1168</v>
      </c>
      <c r="B290" s="4" t="s">
        <v>225</v>
      </c>
      <c r="C290" t="s">
        <v>1159</v>
      </c>
      <c r="D290">
        <v>1</v>
      </c>
      <c r="E290" t="s">
        <v>974</v>
      </c>
      <c r="F290" t="s">
        <v>975</v>
      </c>
      <c r="G290" t="s">
        <v>180</v>
      </c>
      <c r="H290" s="1" t="s">
        <v>976</v>
      </c>
      <c r="I290" s="1">
        <v>599</v>
      </c>
      <c r="J290" s="20">
        <v>0</v>
      </c>
      <c r="K290" s="1">
        <v>0</v>
      </c>
      <c r="L290" s="1">
        <v>0</v>
      </c>
      <c r="M290" s="42" t="s">
        <v>2764</v>
      </c>
      <c r="P290" t="s">
        <v>25</v>
      </c>
      <c r="Q290" t="s">
        <v>225</v>
      </c>
    </row>
    <row r="291" spans="1:17" ht="15" customHeight="1" x14ac:dyDescent="0.25">
      <c r="A291" s="3" t="s">
        <v>1169</v>
      </c>
      <c r="B291" s="4" t="s">
        <v>226</v>
      </c>
      <c r="C291" t="s">
        <v>1159</v>
      </c>
      <c r="D291">
        <v>1</v>
      </c>
      <c r="E291" t="s">
        <v>974</v>
      </c>
      <c r="F291" t="s">
        <v>975</v>
      </c>
      <c r="G291" t="s">
        <v>180</v>
      </c>
      <c r="H291" s="1" t="s">
        <v>976</v>
      </c>
      <c r="I291" s="1">
        <v>599</v>
      </c>
      <c r="J291" s="20">
        <v>2</v>
      </c>
      <c r="K291" s="1">
        <v>108.9</v>
      </c>
      <c r="L291" s="1">
        <v>217.8</v>
      </c>
      <c r="M291" s="42" t="s">
        <v>2764</v>
      </c>
      <c r="P291" t="s">
        <v>23</v>
      </c>
      <c r="Q291" t="s">
        <v>226</v>
      </c>
    </row>
    <row r="292" spans="1:17" ht="15" customHeight="1" x14ac:dyDescent="0.25">
      <c r="A292" s="3" t="s">
        <v>1170</v>
      </c>
      <c r="B292" s="4" t="s">
        <v>227</v>
      </c>
      <c r="C292" t="s">
        <v>1159</v>
      </c>
      <c r="D292">
        <v>1</v>
      </c>
      <c r="E292" t="s">
        <v>974</v>
      </c>
      <c r="F292" t="s">
        <v>975</v>
      </c>
      <c r="G292" t="s">
        <v>180</v>
      </c>
      <c r="H292" s="1" t="s">
        <v>976</v>
      </c>
      <c r="I292" s="1">
        <v>599</v>
      </c>
      <c r="J292" s="20">
        <v>1</v>
      </c>
      <c r="K292" s="1">
        <v>0</v>
      </c>
      <c r="L292" s="1">
        <v>0</v>
      </c>
      <c r="M292" s="42" t="s">
        <v>2764</v>
      </c>
      <c r="P292" t="s">
        <v>22</v>
      </c>
      <c r="Q292" t="s">
        <v>227</v>
      </c>
    </row>
    <row r="293" spans="1:17" ht="15" customHeight="1" x14ac:dyDescent="0.25">
      <c r="A293" s="3" t="s">
        <v>1171</v>
      </c>
      <c r="B293" s="4" t="s">
        <v>2768</v>
      </c>
      <c r="C293" t="s">
        <v>1159</v>
      </c>
      <c r="D293">
        <v>1</v>
      </c>
      <c r="E293" t="s">
        <v>974</v>
      </c>
      <c r="F293" t="s">
        <v>975</v>
      </c>
      <c r="G293" t="s">
        <v>180</v>
      </c>
      <c r="H293" s="1" t="s">
        <v>976</v>
      </c>
      <c r="I293" s="1">
        <v>599</v>
      </c>
      <c r="J293" s="20">
        <v>4</v>
      </c>
      <c r="K293" s="1">
        <v>0</v>
      </c>
      <c r="L293" s="1">
        <v>0</v>
      </c>
      <c r="M293" s="42" t="s">
        <v>2764</v>
      </c>
      <c r="O293" s="2" t="s">
        <v>2443</v>
      </c>
      <c r="P293" t="s">
        <v>24</v>
      </c>
      <c r="Q293" t="s">
        <v>725</v>
      </c>
    </row>
    <row r="294" spans="1:17" ht="15" customHeight="1" x14ac:dyDescent="0.25">
      <c r="A294" s="3" t="s">
        <v>1172</v>
      </c>
      <c r="B294" s="4" t="s">
        <v>2768</v>
      </c>
      <c r="C294" t="s">
        <v>1159</v>
      </c>
      <c r="D294">
        <v>1</v>
      </c>
      <c r="E294" t="s">
        <v>974</v>
      </c>
      <c r="F294" t="s">
        <v>975</v>
      </c>
      <c r="G294" t="s">
        <v>180</v>
      </c>
      <c r="H294" s="1" t="s">
        <v>976</v>
      </c>
      <c r="I294" s="1">
        <v>599</v>
      </c>
      <c r="J294" s="20">
        <v>0</v>
      </c>
      <c r="K294" s="1">
        <v>108.9</v>
      </c>
      <c r="L294" s="1">
        <v>0</v>
      </c>
      <c r="M294" s="42" t="s">
        <v>2764</v>
      </c>
      <c r="O294" s="2" t="s">
        <v>2443</v>
      </c>
      <c r="P294" t="s">
        <v>25</v>
      </c>
      <c r="Q294" t="s">
        <v>725</v>
      </c>
    </row>
    <row r="295" spans="1:17" ht="15" customHeight="1" x14ac:dyDescent="0.25">
      <c r="A295" s="3" t="s">
        <v>1173</v>
      </c>
      <c r="B295" s="4" t="s">
        <v>2768</v>
      </c>
      <c r="C295" t="s">
        <v>1159</v>
      </c>
      <c r="D295">
        <v>1</v>
      </c>
      <c r="E295" t="s">
        <v>974</v>
      </c>
      <c r="F295" t="s">
        <v>975</v>
      </c>
      <c r="G295" t="s">
        <v>180</v>
      </c>
      <c r="H295" s="1" t="s">
        <v>976</v>
      </c>
      <c r="I295" s="1">
        <v>599</v>
      </c>
      <c r="J295" s="20">
        <v>8</v>
      </c>
      <c r="K295" s="1">
        <v>127</v>
      </c>
      <c r="L295" s="1">
        <v>1016</v>
      </c>
      <c r="M295" s="42" t="s">
        <v>2764</v>
      </c>
      <c r="O295" s="2" t="s">
        <v>2443</v>
      </c>
      <c r="P295" t="s">
        <v>23</v>
      </c>
      <c r="Q295" t="s">
        <v>725</v>
      </c>
    </row>
    <row r="296" spans="1:17" ht="15" customHeight="1" x14ac:dyDescent="0.25">
      <c r="A296" s="3" t="s">
        <v>1174</v>
      </c>
      <c r="B296" s="4" t="s">
        <v>2768</v>
      </c>
      <c r="C296" t="s">
        <v>1159</v>
      </c>
      <c r="D296">
        <v>1</v>
      </c>
      <c r="E296" t="s">
        <v>974</v>
      </c>
      <c r="F296" t="s">
        <v>975</v>
      </c>
      <c r="G296" t="s">
        <v>180</v>
      </c>
      <c r="H296" s="1" t="s">
        <v>976</v>
      </c>
      <c r="I296" s="1">
        <v>599</v>
      </c>
      <c r="J296" s="20">
        <v>0</v>
      </c>
      <c r="K296" s="1">
        <v>108.9</v>
      </c>
      <c r="L296" s="1">
        <v>0</v>
      </c>
      <c r="M296" s="42" t="s">
        <v>2764</v>
      </c>
      <c r="O296" s="2" t="s">
        <v>2443</v>
      </c>
      <c r="P296" t="s">
        <v>22</v>
      </c>
      <c r="Q296" t="s">
        <v>725</v>
      </c>
    </row>
    <row r="297" spans="1:17" ht="15" customHeight="1" x14ac:dyDescent="0.25">
      <c r="A297" s="3" t="s">
        <v>1175</v>
      </c>
      <c r="B297" s="4" t="s">
        <v>2768</v>
      </c>
      <c r="C297" t="s">
        <v>1159</v>
      </c>
      <c r="D297">
        <v>1</v>
      </c>
      <c r="E297" t="s">
        <v>974</v>
      </c>
      <c r="F297" t="s">
        <v>975</v>
      </c>
      <c r="G297" t="s">
        <v>180</v>
      </c>
      <c r="H297" s="1" t="s">
        <v>976</v>
      </c>
      <c r="I297" s="1">
        <v>599</v>
      </c>
      <c r="J297" s="20">
        <v>3</v>
      </c>
      <c r="K297" s="1">
        <v>599</v>
      </c>
      <c r="L297" s="1">
        <v>1797</v>
      </c>
      <c r="M297" s="42" t="s">
        <v>2764</v>
      </c>
      <c r="O297" s="2" t="s">
        <v>2482</v>
      </c>
      <c r="P297" t="s">
        <v>24</v>
      </c>
      <c r="Q297" t="s">
        <v>726</v>
      </c>
    </row>
    <row r="298" spans="1:17" ht="15" customHeight="1" x14ac:dyDescent="0.25">
      <c r="A298" s="41" t="s">
        <v>1175</v>
      </c>
      <c r="B298" s="3" t="s">
        <v>2768</v>
      </c>
      <c r="C298" s="41" t="s">
        <v>1159</v>
      </c>
      <c r="D298">
        <v>2</v>
      </c>
      <c r="E298" t="s">
        <v>1017</v>
      </c>
      <c r="F298" t="s">
        <v>975</v>
      </c>
      <c r="G298" t="s">
        <v>180</v>
      </c>
      <c r="H298" s="1" t="s">
        <v>976</v>
      </c>
      <c r="I298" s="1">
        <v>599</v>
      </c>
      <c r="J298" s="20">
        <v>0</v>
      </c>
      <c r="K298" s="1">
        <v>599</v>
      </c>
      <c r="L298" s="1">
        <v>0</v>
      </c>
      <c r="M298" s="42" t="s">
        <v>2764</v>
      </c>
      <c r="O298" s="2" t="s">
        <v>2482</v>
      </c>
      <c r="P298" t="s">
        <v>24</v>
      </c>
      <c r="Q298" t="s">
        <v>726</v>
      </c>
    </row>
    <row r="299" spans="1:17" ht="15" customHeight="1" x14ac:dyDescent="0.25">
      <c r="A299" s="3" t="s">
        <v>1176</v>
      </c>
      <c r="B299" s="4" t="s">
        <v>2768</v>
      </c>
      <c r="C299" t="s">
        <v>1159</v>
      </c>
      <c r="D299">
        <v>1</v>
      </c>
      <c r="E299" t="s">
        <v>974</v>
      </c>
      <c r="F299" t="s">
        <v>975</v>
      </c>
      <c r="G299" t="s">
        <v>180</v>
      </c>
      <c r="H299" s="1" t="s">
        <v>976</v>
      </c>
      <c r="I299" s="1">
        <v>599</v>
      </c>
      <c r="J299" s="20">
        <v>0</v>
      </c>
      <c r="K299" s="1">
        <v>0</v>
      </c>
      <c r="L299" s="1">
        <v>0</v>
      </c>
      <c r="M299" s="42" t="s">
        <v>2764</v>
      </c>
      <c r="O299" s="2" t="s">
        <v>2482</v>
      </c>
      <c r="P299" t="s">
        <v>25</v>
      </c>
      <c r="Q299" t="s">
        <v>726</v>
      </c>
    </row>
    <row r="300" spans="1:17" ht="15" customHeight="1" x14ac:dyDescent="0.25">
      <c r="A300" s="3" t="s">
        <v>1177</v>
      </c>
      <c r="B300" s="4" t="s">
        <v>2768</v>
      </c>
      <c r="C300" t="s">
        <v>1159</v>
      </c>
      <c r="D300">
        <v>1</v>
      </c>
      <c r="E300" t="s">
        <v>974</v>
      </c>
      <c r="F300" t="s">
        <v>975</v>
      </c>
      <c r="G300" t="s">
        <v>180</v>
      </c>
      <c r="H300" s="1" t="s">
        <v>976</v>
      </c>
      <c r="I300" s="1">
        <v>599</v>
      </c>
      <c r="J300" s="20">
        <v>2</v>
      </c>
      <c r="K300" s="1">
        <v>0</v>
      </c>
      <c r="L300" s="1">
        <v>0</v>
      </c>
      <c r="M300" s="42" t="s">
        <v>2764</v>
      </c>
      <c r="O300" s="2" t="s">
        <v>2482</v>
      </c>
      <c r="P300" t="s">
        <v>23</v>
      </c>
      <c r="Q300" t="s">
        <v>726</v>
      </c>
    </row>
    <row r="301" spans="1:17" ht="15" customHeight="1" x14ac:dyDescent="0.25">
      <c r="A301" s="3" t="s">
        <v>1178</v>
      </c>
      <c r="B301" s="4" t="s">
        <v>2768</v>
      </c>
      <c r="C301" t="s">
        <v>1159</v>
      </c>
      <c r="D301">
        <v>1</v>
      </c>
      <c r="E301" t="s">
        <v>974</v>
      </c>
      <c r="F301" t="s">
        <v>975</v>
      </c>
      <c r="G301" t="s">
        <v>180</v>
      </c>
      <c r="H301" s="1" t="s">
        <v>976</v>
      </c>
      <c r="I301" s="1">
        <v>599</v>
      </c>
      <c r="J301" s="20">
        <v>2</v>
      </c>
      <c r="K301" s="1">
        <v>119</v>
      </c>
      <c r="L301" s="1">
        <v>238</v>
      </c>
      <c r="M301" s="42" t="s">
        <v>2764</v>
      </c>
      <c r="O301" s="2" t="s">
        <v>2482</v>
      </c>
      <c r="P301" t="s">
        <v>22</v>
      </c>
      <c r="Q301" t="s">
        <v>726</v>
      </c>
    </row>
    <row r="302" spans="1:17" ht="15" customHeight="1" x14ac:dyDescent="0.25">
      <c r="A302" s="3" t="s">
        <v>2251</v>
      </c>
      <c r="B302" s="4" t="s">
        <v>2769</v>
      </c>
      <c r="C302" t="s">
        <v>1159</v>
      </c>
      <c r="D302">
        <v>1</v>
      </c>
      <c r="E302" t="s">
        <v>974</v>
      </c>
      <c r="F302" t="s">
        <v>975</v>
      </c>
      <c r="G302" t="s">
        <v>180</v>
      </c>
      <c r="H302" s="1" t="s">
        <v>976</v>
      </c>
      <c r="I302" s="1">
        <v>490</v>
      </c>
      <c r="J302" s="20">
        <v>2</v>
      </c>
      <c r="K302" s="1">
        <v>94</v>
      </c>
      <c r="L302" s="1">
        <v>188</v>
      </c>
      <c r="M302" s="42" t="s">
        <v>2764</v>
      </c>
      <c r="O302" s="2" t="s">
        <v>2482</v>
      </c>
      <c r="P302" t="s">
        <v>23</v>
      </c>
      <c r="Q302" t="s">
        <v>727</v>
      </c>
    </row>
    <row r="303" spans="1:17" ht="15" customHeight="1" x14ac:dyDescent="0.25">
      <c r="A303" s="41" t="s">
        <v>2251</v>
      </c>
      <c r="B303" s="3" t="s">
        <v>2769</v>
      </c>
      <c r="C303" s="41" t="s">
        <v>1159</v>
      </c>
      <c r="D303">
        <v>3</v>
      </c>
      <c r="E303" t="s">
        <v>1179</v>
      </c>
      <c r="F303" t="s">
        <v>1180</v>
      </c>
      <c r="G303" t="s">
        <v>180</v>
      </c>
      <c r="H303" s="1" t="s">
        <v>976</v>
      </c>
      <c r="I303" s="1">
        <v>490</v>
      </c>
      <c r="J303" s="20">
        <v>0</v>
      </c>
      <c r="K303" s="1">
        <v>90</v>
      </c>
      <c r="L303" s="1">
        <v>0</v>
      </c>
      <c r="M303" s="42" t="s">
        <v>2764</v>
      </c>
      <c r="O303" s="2" t="s">
        <v>2482</v>
      </c>
      <c r="P303" t="s">
        <v>23</v>
      </c>
      <c r="Q303" t="s">
        <v>727</v>
      </c>
    </row>
    <row r="304" spans="1:17" ht="15" customHeight="1" x14ac:dyDescent="0.25">
      <c r="A304" s="3" t="s">
        <v>1181</v>
      </c>
      <c r="B304" s="4" t="s">
        <v>1159</v>
      </c>
      <c r="C304" t="s">
        <v>1159</v>
      </c>
      <c r="D304">
        <v>1</v>
      </c>
      <c r="E304" t="s">
        <v>974</v>
      </c>
      <c r="F304" t="s">
        <v>975</v>
      </c>
      <c r="G304" t="s">
        <v>180</v>
      </c>
      <c r="H304" s="1" t="s">
        <v>976</v>
      </c>
      <c r="I304" s="1">
        <v>460</v>
      </c>
      <c r="J304" s="20">
        <v>1</v>
      </c>
      <c r="K304" s="1">
        <v>80</v>
      </c>
      <c r="L304" s="1">
        <v>80</v>
      </c>
      <c r="M304" s="42" t="s">
        <v>2764</v>
      </c>
      <c r="O304" s="2" t="s">
        <v>2472</v>
      </c>
      <c r="Q304" t="s">
        <v>728</v>
      </c>
    </row>
    <row r="305" spans="1:17" ht="15" customHeight="1" x14ac:dyDescent="0.25">
      <c r="A305" s="3" t="s">
        <v>1182</v>
      </c>
      <c r="B305" s="4" t="s">
        <v>1159</v>
      </c>
      <c r="C305" t="s">
        <v>1159</v>
      </c>
      <c r="D305">
        <v>1</v>
      </c>
      <c r="E305" t="s">
        <v>974</v>
      </c>
      <c r="F305" t="s">
        <v>975</v>
      </c>
      <c r="G305" t="s">
        <v>180</v>
      </c>
      <c r="H305" s="1" t="s">
        <v>976</v>
      </c>
      <c r="I305" s="1">
        <v>460</v>
      </c>
      <c r="J305" s="20">
        <v>1</v>
      </c>
      <c r="K305" s="1">
        <v>80</v>
      </c>
      <c r="L305" s="1">
        <v>80</v>
      </c>
      <c r="M305" s="42" t="s">
        <v>2764</v>
      </c>
      <c r="O305" s="2" t="s">
        <v>2482</v>
      </c>
      <c r="P305" t="s">
        <v>24</v>
      </c>
      <c r="Q305" t="s">
        <v>729</v>
      </c>
    </row>
    <row r="306" spans="1:17" ht="15" customHeight="1" x14ac:dyDescent="0.25">
      <c r="A306" s="3" t="s">
        <v>1183</v>
      </c>
      <c r="B306" s="4" t="s">
        <v>1159</v>
      </c>
      <c r="C306" t="s">
        <v>1159</v>
      </c>
      <c r="D306">
        <v>1</v>
      </c>
      <c r="E306" t="s">
        <v>974</v>
      </c>
      <c r="F306" t="s">
        <v>975</v>
      </c>
      <c r="G306" t="s">
        <v>180</v>
      </c>
      <c r="H306" s="1" t="s">
        <v>976</v>
      </c>
      <c r="I306" s="1">
        <v>460</v>
      </c>
      <c r="J306" s="20">
        <v>0</v>
      </c>
      <c r="K306" s="1">
        <v>92</v>
      </c>
      <c r="L306" s="1">
        <v>0</v>
      </c>
      <c r="M306" s="42" t="s">
        <v>2764</v>
      </c>
      <c r="O306" s="2" t="s">
        <v>2482</v>
      </c>
      <c r="P306" t="s">
        <v>22</v>
      </c>
      <c r="Q306" t="s">
        <v>729</v>
      </c>
    </row>
    <row r="307" spans="1:17" ht="15" customHeight="1" x14ac:dyDescent="0.25">
      <c r="A307" s="3" t="s">
        <v>1184</v>
      </c>
      <c r="B307" s="4" t="s">
        <v>2765</v>
      </c>
      <c r="C307" t="s">
        <v>1159</v>
      </c>
      <c r="D307">
        <v>1</v>
      </c>
      <c r="E307" t="s">
        <v>974</v>
      </c>
      <c r="F307" t="s">
        <v>975</v>
      </c>
      <c r="G307" t="s">
        <v>976</v>
      </c>
      <c r="H307" s="1" t="s">
        <v>976</v>
      </c>
      <c r="I307" s="1">
        <v>730</v>
      </c>
      <c r="J307" s="20">
        <v>-1</v>
      </c>
      <c r="K307" s="1">
        <v>0</v>
      </c>
      <c r="L307" s="1">
        <v>0</v>
      </c>
      <c r="M307" s="42" t="s">
        <v>2764</v>
      </c>
      <c r="N307" s="1" t="s">
        <v>2616</v>
      </c>
      <c r="O307" s="2" t="s">
        <v>2447</v>
      </c>
      <c r="Q307" t="s">
        <v>730</v>
      </c>
    </row>
    <row r="308" spans="1:17" ht="15" customHeight="1" x14ac:dyDescent="0.25">
      <c r="A308" s="3" t="s">
        <v>1185</v>
      </c>
      <c r="B308" s="4" t="s">
        <v>2765</v>
      </c>
      <c r="C308" t="s">
        <v>1159</v>
      </c>
      <c r="D308">
        <v>1</v>
      </c>
      <c r="E308" t="s">
        <v>974</v>
      </c>
      <c r="F308" t="s">
        <v>975</v>
      </c>
      <c r="G308" t="s">
        <v>976</v>
      </c>
      <c r="H308" s="1" t="s">
        <v>976</v>
      </c>
      <c r="I308" s="1">
        <v>730</v>
      </c>
      <c r="J308" s="20">
        <v>1</v>
      </c>
      <c r="K308" s="1">
        <v>127</v>
      </c>
      <c r="L308" s="1">
        <v>127</v>
      </c>
      <c r="M308" s="42" t="s">
        <v>2764</v>
      </c>
      <c r="O308" s="2" t="s">
        <v>2463</v>
      </c>
      <c r="P308">
        <v>36</v>
      </c>
      <c r="Q308" t="s">
        <v>722</v>
      </c>
    </row>
    <row r="309" spans="1:17" ht="15" customHeight="1" x14ac:dyDescent="0.25">
      <c r="A309" s="3" t="s">
        <v>1186</v>
      </c>
      <c r="B309" s="4" t="s">
        <v>2765</v>
      </c>
      <c r="C309" t="s">
        <v>1159</v>
      </c>
      <c r="D309">
        <v>1</v>
      </c>
      <c r="E309" t="s">
        <v>974</v>
      </c>
      <c r="F309" t="s">
        <v>975</v>
      </c>
      <c r="G309" t="s">
        <v>976</v>
      </c>
      <c r="H309" s="1" t="s">
        <v>976</v>
      </c>
      <c r="I309" s="1">
        <v>730</v>
      </c>
      <c r="J309" s="20">
        <v>6</v>
      </c>
      <c r="K309" s="1">
        <v>127</v>
      </c>
      <c r="L309" s="1">
        <v>762</v>
      </c>
      <c r="M309" s="42" t="s">
        <v>2764</v>
      </c>
      <c r="O309" s="2" t="s">
        <v>2463</v>
      </c>
      <c r="P309">
        <v>38</v>
      </c>
      <c r="Q309" t="s">
        <v>722</v>
      </c>
    </row>
    <row r="310" spans="1:17" ht="15" customHeight="1" x14ac:dyDescent="0.25">
      <c r="A310" s="3" t="s">
        <v>1187</v>
      </c>
      <c r="B310" s="4" t="s">
        <v>2765</v>
      </c>
      <c r="C310" t="s">
        <v>1159</v>
      </c>
      <c r="D310">
        <v>1</v>
      </c>
      <c r="E310" t="s">
        <v>974</v>
      </c>
      <c r="F310" t="s">
        <v>975</v>
      </c>
      <c r="G310" t="s">
        <v>976</v>
      </c>
      <c r="H310" s="1" t="s">
        <v>976</v>
      </c>
      <c r="I310" s="1">
        <v>730</v>
      </c>
      <c r="J310" s="20">
        <v>8</v>
      </c>
      <c r="K310" s="1">
        <v>127</v>
      </c>
      <c r="L310" s="1">
        <v>1016</v>
      </c>
      <c r="M310" s="42" t="s">
        <v>2764</v>
      </c>
      <c r="O310" s="2" t="s">
        <v>2463</v>
      </c>
      <c r="P310">
        <v>40</v>
      </c>
      <c r="Q310" t="s">
        <v>722</v>
      </c>
    </row>
    <row r="311" spans="1:17" ht="15" customHeight="1" x14ac:dyDescent="0.25">
      <c r="A311" s="3" t="s">
        <v>1188</v>
      </c>
      <c r="B311" s="4" t="s">
        <v>2765</v>
      </c>
      <c r="C311" t="s">
        <v>1159</v>
      </c>
      <c r="D311">
        <v>1</v>
      </c>
      <c r="E311" t="s">
        <v>974</v>
      </c>
      <c r="F311" t="s">
        <v>975</v>
      </c>
      <c r="G311" t="s">
        <v>976</v>
      </c>
      <c r="H311" s="1" t="s">
        <v>976</v>
      </c>
      <c r="I311" s="1">
        <v>730</v>
      </c>
      <c r="J311" s="20">
        <v>3</v>
      </c>
      <c r="K311" s="1">
        <v>127</v>
      </c>
      <c r="L311" s="1">
        <v>381</v>
      </c>
      <c r="M311" s="42" t="s">
        <v>2764</v>
      </c>
      <c r="O311" s="2" t="s">
        <v>2463</v>
      </c>
      <c r="P311">
        <v>42</v>
      </c>
      <c r="Q311" t="s">
        <v>722</v>
      </c>
    </row>
    <row r="312" spans="1:17" ht="15" customHeight="1" x14ac:dyDescent="0.25">
      <c r="A312" s="3" t="s">
        <v>1189</v>
      </c>
      <c r="B312" s="4" t="s">
        <v>2765</v>
      </c>
      <c r="C312" t="s">
        <v>1159</v>
      </c>
      <c r="D312">
        <v>1</v>
      </c>
      <c r="E312" t="s">
        <v>974</v>
      </c>
      <c r="F312" t="s">
        <v>975</v>
      </c>
      <c r="G312" t="s">
        <v>976</v>
      </c>
      <c r="H312" s="1" t="s">
        <v>976</v>
      </c>
      <c r="I312" s="1">
        <v>730</v>
      </c>
      <c r="J312" s="20">
        <v>0</v>
      </c>
      <c r="K312" s="1">
        <v>127</v>
      </c>
      <c r="L312" s="1">
        <v>0</v>
      </c>
      <c r="M312" s="42" t="s">
        <v>2764</v>
      </c>
      <c r="O312" s="2" t="s">
        <v>2463</v>
      </c>
      <c r="P312">
        <v>44</v>
      </c>
      <c r="Q312" t="s">
        <v>722</v>
      </c>
    </row>
    <row r="313" spans="1:17" ht="15" customHeight="1" x14ac:dyDescent="0.25">
      <c r="A313" s="3" t="s">
        <v>1190</v>
      </c>
      <c r="B313" s="4" t="s">
        <v>2765</v>
      </c>
      <c r="C313" t="s">
        <v>1159</v>
      </c>
      <c r="D313">
        <v>1</v>
      </c>
      <c r="E313" t="s">
        <v>974</v>
      </c>
      <c r="F313" t="s">
        <v>975</v>
      </c>
      <c r="G313" t="s">
        <v>976</v>
      </c>
      <c r="H313" s="1" t="s">
        <v>976</v>
      </c>
      <c r="I313" s="1">
        <v>730</v>
      </c>
      <c r="J313" s="20">
        <v>2</v>
      </c>
      <c r="K313" s="1">
        <v>127</v>
      </c>
      <c r="L313" s="1">
        <v>254</v>
      </c>
      <c r="M313" s="42" t="s">
        <v>2764</v>
      </c>
      <c r="O313" s="2" t="s">
        <v>2447</v>
      </c>
      <c r="P313">
        <v>36</v>
      </c>
      <c r="Q313" t="s">
        <v>730</v>
      </c>
    </row>
    <row r="314" spans="1:17" ht="15" customHeight="1" x14ac:dyDescent="0.25">
      <c r="A314" s="3" t="s">
        <v>1191</v>
      </c>
      <c r="B314" s="4" t="s">
        <v>2765</v>
      </c>
      <c r="C314" t="s">
        <v>1159</v>
      </c>
      <c r="D314">
        <v>1</v>
      </c>
      <c r="E314" t="s">
        <v>974</v>
      </c>
      <c r="F314" t="s">
        <v>975</v>
      </c>
      <c r="G314" t="s">
        <v>976</v>
      </c>
      <c r="H314" s="1" t="s">
        <v>976</v>
      </c>
      <c r="I314" s="1">
        <v>730</v>
      </c>
      <c r="J314" s="20">
        <v>6</v>
      </c>
      <c r="K314" s="1">
        <v>127</v>
      </c>
      <c r="L314" s="1">
        <v>762</v>
      </c>
      <c r="M314" s="42" t="s">
        <v>2764</v>
      </c>
      <c r="O314" s="2" t="s">
        <v>2447</v>
      </c>
      <c r="P314">
        <v>38</v>
      </c>
      <c r="Q314" t="s">
        <v>730</v>
      </c>
    </row>
    <row r="315" spans="1:17" ht="15" customHeight="1" x14ac:dyDescent="0.25">
      <c r="A315" s="3" t="s">
        <v>1192</v>
      </c>
      <c r="B315" s="4" t="s">
        <v>2765</v>
      </c>
      <c r="C315" t="s">
        <v>1159</v>
      </c>
      <c r="D315">
        <v>1</v>
      </c>
      <c r="E315" t="s">
        <v>974</v>
      </c>
      <c r="F315" t="s">
        <v>975</v>
      </c>
      <c r="G315" t="s">
        <v>976</v>
      </c>
      <c r="H315" s="1" t="s">
        <v>976</v>
      </c>
      <c r="I315" s="1">
        <v>730</v>
      </c>
      <c r="J315" s="20">
        <v>10</v>
      </c>
      <c r="K315" s="1">
        <v>127</v>
      </c>
      <c r="L315" s="1">
        <v>1270</v>
      </c>
      <c r="M315" s="42" t="s">
        <v>2764</v>
      </c>
      <c r="O315" s="2" t="s">
        <v>2447</v>
      </c>
      <c r="P315">
        <v>40</v>
      </c>
      <c r="Q315" t="s">
        <v>730</v>
      </c>
    </row>
    <row r="316" spans="1:17" ht="15" customHeight="1" x14ac:dyDescent="0.25">
      <c r="A316" s="3" t="s">
        <v>1193</v>
      </c>
      <c r="B316" s="4" t="s">
        <v>2765</v>
      </c>
      <c r="C316" t="s">
        <v>1159</v>
      </c>
      <c r="D316">
        <v>1</v>
      </c>
      <c r="E316" t="s">
        <v>974</v>
      </c>
      <c r="F316" t="s">
        <v>975</v>
      </c>
      <c r="G316" t="s">
        <v>976</v>
      </c>
      <c r="H316" s="1" t="s">
        <v>976</v>
      </c>
      <c r="I316" s="1">
        <v>730</v>
      </c>
      <c r="J316" s="20">
        <v>3</v>
      </c>
      <c r="K316" s="1">
        <v>95.25</v>
      </c>
      <c r="L316" s="1">
        <v>285.75</v>
      </c>
      <c r="M316" s="42" t="s">
        <v>2764</v>
      </c>
      <c r="O316" s="2" t="s">
        <v>2447</v>
      </c>
      <c r="P316">
        <v>42</v>
      </c>
      <c r="Q316" t="s">
        <v>730</v>
      </c>
    </row>
    <row r="317" spans="1:17" ht="15" customHeight="1" x14ac:dyDescent="0.25">
      <c r="A317" s="3" t="s">
        <v>1194</v>
      </c>
      <c r="B317" s="4" t="s">
        <v>2765</v>
      </c>
      <c r="C317" t="s">
        <v>1159</v>
      </c>
      <c r="D317">
        <v>1</v>
      </c>
      <c r="E317" t="s">
        <v>974</v>
      </c>
      <c r="F317" t="s">
        <v>975</v>
      </c>
      <c r="G317" t="s">
        <v>976</v>
      </c>
      <c r="H317" s="1" t="s">
        <v>976</v>
      </c>
      <c r="I317" s="1">
        <v>730</v>
      </c>
      <c r="J317" s="20">
        <v>1</v>
      </c>
      <c r="K317" s="1">
        <v>127</v>
      </c>
      <c r="L317" s="1">
        <v>127</v>
      </c>
      <c r="M317" s="42" t="s">
        <v>2764</v>
      </c>
      <c r="O317" s="2" t="s">
        <v>2447</v>
      </c>
      <c r="P317">
        <v>44</v>
      </c>
      <c r="Q317" t="s">
        <v>730</v>
      </c>
    </row>
    <row r="318" spans="1:17" ht="15" customHeight="1" x14ac:dyDescent="0.25">
      <c r="A318" s="3" t="s">
        <v>1195</v>
      </c>
      <c r="B318" s="4" t="s">
        <v>731</v>
      </c>
      <c r="C318" t="s">
        <v>1196</v>
      </c>
      <c r="D318">
        <v>1</v>
      </c>
      <c r="E318" t="s">
        <v>974</v>
      </c>
      <c r="F318" t="s">
        <v>975</v>
      </c>
      <c r="G318" t="s">
        <v>976</v>
      </c>
      <c r="H318" s="1" t="s">
        <v>976</v>
      </c>
      <c r="I318" s="1">
        <v>980</v>
      </c>
      <c r="J318" s="20">
        <v>-1</v>
      </c>
      <c r="K318" s="1">
        <v>0</v>
      </c>
      <c r="L318" s="1">
        <v>0</v>
      </c>
      <c r="M318" s="42" t="s">
        <v>2764</v>
      </c>
      <c r="N318" s="1" t="s">
        <v>2616</v>
      </c>
      <c r="Q318" t="s">
        <v>731</v>
      </c>
    </row>
    <row r="319" spans="1:17" ht="15" customHeight="1" x14ac:dyDescent="0.25">
      <c r="A319" s="3" t="s">
        <v>1197</v>
      </c>
      <c r="B319" s="4" t="s">
        <v>2770</v>
      </c>
      <c r="C319" t="s">
        <v>1196</v>
      </c>
      <c r="D319">
        <v>1</v>
      </c>
      <c r="E319" t="s">
        <v>974</v>
      </c>
      <c r="F319" t="s">
        <v>975</v>
      </c>
      <c r="G319" t="s">
        <v>976</v>
      </c>
      <c r="H319" s="1" t="s">
        <v>976</v>
      </c>
      <c r="I319" s="1">
        <v>980</v>
      </c>
      <c r="J319" s="20">
        <v>0</v>
      </c>
      <c r="K319" s="1">
        <v>0</v>
      </c>
      <c r="L319" s="1">
        <v>0</v>
      </c>
      <c r="M319" s="42" t="s">
        <v>2764</v>
      </c>
      <c r="N319" s="1" t="s">
        <v>2616</v>
      </c>
      <c r="O319" s="2" t="s">
        <v>2482</v>
      </c>
      <c r="Q319" t="s">
        <v>732</v>
      </c>
    </row>
    <row r="320" spans="1:17" ht="15" customHeight="1" x14ac:dyDescent="0.25">
      <c r="A320" s="3" t="s">
        <v>1198</v>
      </c>
      <c r="B320" s="4" t="s">
        <v>1159</v>
      </c>
      <c r="C320" t="s">
        <v>1159</v>
      </c>
      <c r="D320">
        <v>1</v>
      </c>
      <c r="E320" t="s">
        <v>974</v>
      </c>
      <c r="F320" t="s">
        <v>975</v>
      </c>
      <c r="G320" t="s">
        <v>180</v>
      </c>
      <c r="H320" s="1" t="s">
        <v>976</v>
      </c>
      <c r="I320" s="1">
        <v>440</v>
      </c>
      <c r="J320" s="20">
        <v>0</v>
      </c>
      <c r="K320" s="1">
        <v>106</v>
      </c>
      <c r="L320" s="1">
        <v>0</v>
      </c>
      <c r="M320" s="42" t="s">
        <v>2764</v>
      </c>
      <c r="O320" s="2" t="s">
        <v>2579</v>
      </c>
      <c r="P320" t="s">
        <v>24</v>
      </c>
      <c r="Q320" t="s">
        <v>733</v>
      </c>
    </row>
    <row r="321" spans="1:17" ht="15" customHeight="1" x14ac:dyDescent="0.25">
      <c r="A321" s="41" t="s">
        <v>1198</v>
      </c>
      <c r="B321" s="3" t="s">
        <v>1159</v>
      </c>
      <c r="C321" s="41" t="s">
        <v>1159</v>
      </c>
      <c r="D321">
        <v>3</v>
      </c>
      <c r="E321" t="s">
        <v>1179</v>
      </c>
      <c r="F321" t="s">
        <v>1180</v>
      </c>
      <c r="G321" t="s">
        <v>180</v>
      </c>
      <c r="H321" s="1" t="s">
        <v>976</v>
      </c>
      <c r="I321" s="1">
        <v>440</v>
      </c>
      <c r="J321" s="20">
        <v>0</v>
      </c>
      <c r="K321" s="1">
        <v>106</v>
      </c>
      <c r="L321" s="1">
        <v>0</v>
      </c>
      <c r="M321" s="42" t="s">
        <v>2764</v>
      </c>
      <c r="O321" s="2" t="s">
        <v>2579</v>
      </c>
      <c r="P321" t="s">
        <v>24</v>
      </c>
      <c r="Q321" t="s">
        <v>733</v>
      </c>
    </row>
    <row r="322" spans="1:17" ht="15" customHeight="1" x14ac:dyDescent="0.25">
      <c r="A322" s="3" t="s">
        <v>1199</v>
      </c>
      <c r="B322" s="4" t="s">
        <v>1159</v>
      </c>
      <c r="C322" t="s">
        <v>1159</v>
      </c>
      <c r="D322">
        <v>1</v>
      </c>
      <c r="E322" t="s">
        <v>974</v>
      </c>
      <c r="F322" t="s">
        <v>975</v>
      </c>
      <c r="G322" t="s">
        <v>180</v>
      </c>
      <c r="H322" s="1" t="s">
        <v>976</v>
      </c>
      <c r="I322" s="1">
        <v>440</v>
      </c>
      <c r="J322" s="20">
        <v>0</v>
      </c>
      <c r="K322" s="1">
        <v>106</v>
      </c>
      <c r="L322" s="1">
        <v>0</v>
      </c>
      <c r="M322" s="42" t="s">
        <v>2764</v>
      </c>
      <c r="O322" s="2" t="s">
        <v>2579</v>
      </c>
      <c r="P322" t="s">
        <v>23</v>
      </c>
      <c r="Q322" t="s">
        <v>733</v>
      </c>
    </row>
    <row r="323" spans="1:17" ht="15" customHeight="1" x14ac:dyDescent="0.25">
      <c r="A323" s="41" t="s">
        <v>1199</v>
      </c>
      <c r="B323" s="3" t="s">
        <v>1159</v>
      </c>
      <c r="C323" s="41" t="s">
        <v>1159</v>
      </c>
      <c r="D323">
        <v>3</v>
      </c>
      <c r="E323" t="s">
        <v>1179</v>
      </c>
      <c r="F323" t="s">
        <v>1180</v>
      </c>
      <c r="G323" t="s">
        <v>180</v>
      </c>
      <c r="H323" s="1" t="s">
        <v>976</v>
      </c>
      <c r="I323" s="1">
        <v>440</v>
      </c>
      <c r="J323" s="20">
        <v>0</v>
      </c>
      <c r="K323" s="1">
        <v>106</v>
      </c>
      <c r="L323" s="1">
        <v>0</v>
      </c>
      <c r="M323" s="42" t="s">
        <v>2764</v>
      </c>
      <c r="O323" s="2" t="s">
        <v>2579</v>
      </c>
      <c r="P323" t="s">
        <v>23</v>
      </c>
      <c r="Q323" t="s">
        <v>733</v>
      </c>
    </row>
    <row r="324" spans="1:17" ht="15" customHeight="1" x14ac:dyDescent="0.25">
      <c r="A324" s="3" t="s">
        <v>1200</v>
      </c>
      <c r="B324" s="4" t="s">
        <v>1159</v>
      </c>
      <c r="C324" t="s">
        <v>1159</v>
      </c>
      <c r="D324">
        <v>1</v>
      </c>
      <c r="E324" t="s">
        <v>974</v>
      </c>
      <c r="F324" t="s">
        <v>975</v>
      </c>
      <c r="G324" t="s">
        <v>180</v>
      </c>
      <c r="H324" s="1" t="s">
        <v>976</v>
      </c>
      <c r="I324" s="1">
        <v>440</v>
      </c>
      <c r="J324" s="20">
        <v>0</v>
      </c>
      <c r="K324" s="1">
        <v>106</v>
      </c>
      <c r="L324" s="1">
        <v>0</v>
      </c>
      <c r="M324" s="42" t="s">
        <v>2764</v>
      </c>
      <c r="O324" s="2" t="s">
        <v>2579</v>
      </c>
      <c r="P324" t="s">
        <v>22</v>
      </c>
      <c r="Q324" t="s">
        <v>733</v>
      </c>
    </row>
    <row r="325" spans="1:17" ht="15" customHeight="1" x14ac:dyDescent="0.25">
      <c r="A325" s="41" t="s">
        <v>1200</v>
      </c>
      <c r="B325" s="3" t="s">
        <v>1159</v>
      </c>
      <c r="C325" s="41" t="s">
        <v>1159</v>
      </c>
      <c r="D325">
        <v>3</v>
      </c>
      <c r="E325" t="s">
        <v>1179</v>
      </c>
      <c r="F325" t="s">
        <v>1180</v>
      </c>
      <c r="G325" t="s">
        <v>180</v>
      </c>
      <c r="H325" s="1" t="s">
        <v>976</v>
      </c>
      <c r="I325" s="1">
        <v>440</v>
      </c>
      <c r="J325" s="20">
        <v>0</v>
      </c>
      <c r="K325" s="1">
        <v>106</v>
      </c>
      <c r="L325" s="1">
        <v>0</v>
      </c>
      <c r="M325" s="42" t="s">
        <v>2764</v>
      </c>
      <c r="O325" s="2" t="s">
        <v>2579</v>
      </c>
      <c r="P325" t="s">
        <v>22</v>
      </c>
      <c r="Q325" t="s">
        <v>733</v>
      </c>
    </row>
    <row r="326" spans="1:17" ht="15" customHeight="1" x14ac:dyDescent="0.25">
      <c r="A326" s="3" t="s">
        <v>1201</v>
      </c>
      <c r="B326" s="4" t="s">
        <v>2771</v>
      </c>
      <c r="C326" t="s">
        <v>1159</v>
      </c>
      <c r="D326">
        <v>1</v>
      </c>
      <c r="E326" t="s">
        <v>974</v>
      </c>
      <c r="F326" t="s">
        <v>975</v>
      </c>
      <c r="G326" t="s">
        <v>180</v>
      </c>
      <c r="H326" s="1" t="s">
        <v>976</v>
      </c>
      <c r="I326" s="1">
        <v>270</v>
      </c>
      <c r="J326" s="20">
        <v>0</v>
      </c>
      <c r="K326" s="1">
        <v>46.78</v>
      </c>
      <c r="L326" s="1">
        <v>0</v>
      </c>
      <c r="M326" s="42" t="s">
        <v>2764</v>
      </c>
      <c r="O326" s="2" t="s">
        <v>2443</v>
      </c>
      <c r="P326" t="s">
        <v>24</v>
      </c>
      <c r="Q326" t="s">
        <v>734</v>
      </c>
    </row>
    <row r="327" spans="1:17" ht="15" customHeight="1" x14ac:dyDescent="0.25">
      <c r="A327" s="3" t="s">
        <v>1202</v>
      </c>
      <c r="B327" s="4" t="s">
        <v>2771</v>
      </c>
      <c r="C327" t="s">
        <v>1159</v>
      </c>
      <c r="D327">
        <v>1</v>
      </c>
      <c r="E327" t="s">
        <v>974</v>
      </c>
      <c r="F327" t="s">
        <v>975</v>
      </c>
      <c r="G327" t="s">
        <v>180</v>
      </c>
      <c r="H327" s="1" t="s">
        <v>976</v>
      </c>
      <c r="I327" s="1">
        <v>270</v>
      </c>
      <c r="J327" s="20">
        <v>0</v>
      </c>
      <c r="K327" s="1">
        <v>46.78</v>
      </c>
      <c r="L327" s="1">
        <v>0</v>
      </c>
      <c r="M327" s="42" t="s">
        <v>2764</v>
      </c>
      <c r="O327" s="2" t="s">
        <v>2443</v>
      </c>
      <c r="P327" t="s">
        <v>25</v>
      </c>
      <c r="Q327" t="s">
        <v>734</v>
      </c>
    </row>
    <row r="328" spans="1:17" ht="15" customHeight="1" x14ac:dyDescent="0.25">
      <c r="A328" s="3" t="s">
        <v>1203</v>
      </c>
      <c r="B328" s="4" t="s">
        <v>2771</v>
      </c>
      <c r="C328" t="s">
        <v>1159</v>
      </c>
      <c r="D328">
        <v>1</v>
      </c>
      <c r="E328" t="s">
        <v>974</v>
      </c>
      <c r="F328" t="s">
        <v>975</v>
      </c>
      <c r="G328" t="s">
        <v>180</v>
      </c>
      <c r="H328" s="1" t="s">
        <v>976</v>
      </c>
      <c r="I328" s="1">
        <v>270</v>
      </c>
      <c r="J328" s="20">
        <v>0</v>
      </c>
      <c r="K328" s="1">
        <v>46.78</v>
      </c>
      <c r="L328" s="1">
        <v>0</v>
      </c>
      <c r="M328" s="42" t="s">
        <v>2764</v>
      </c>
      <c r="O328" s="2" t="s">
        <v>2443</v>
      </c>
      <c r="Q328" t="s">
        <v>734</v>
      </c>
    </row>
    <row r="329" spans="1:17" ht="15" customHeight="1" x14ac:dyDescent="0.25">
      <c r="A329" s="3" t="s">
        <v>1204</v>
      </c>
      <c r="B329" s="4" t="s">
        <v>2771</v>
      </c>
      <c r="C329" t="s">
        <v>1159</v>
      </c>
      <c r="D329">
        <v>1</v>
      </c>
      <c r="E329" t="s">
        <v>974</v>
      </c>
      <c r="F329" t="s">
        <v>975</v>
      </c>
      <c r="G329" t="s">
        <v>180</v>
      </c>
      <c r="H329" s="1" t="s">
        <v>976</v>
      </c>
      <c r="I329" s="1">
        <v>270</v>
      </c>
      <c r="J329" s="20">
        <v>0</v>
      </c>
      <c r="K329" s="1">
        <v>46.78</v>
      </c>
      <c r="L329" s="1">
        <v>0</v>
      </c>
      <c r="M329" s="42" t="s">
        <v>2764</v>
      </c>
      <c r="O329" s="2" t="s">
        <v>2443</v>
      </c>
      <c r="Q329" t="s">
        <v>734</v>
      </c>
    </row>
    <row r="330" spans="1:17" ht="15" customHeight="1" x14ac:dyDescent="0.25">
      <c r="A330" s="3" t="s">
        <v>1205</v>
      </c>
      <c r="B330" s="4" t="s">
        <v>228</v>
      </c>
      <c r="C330" t="s">
        <v>1159</v>
      </c>
      <c r="D330">
        <v>1</v>
      </c>
      <c r="E330" t="s">
        <v>974</v>
      </c>
      <c r="F330" t="s">
        <v>975</v>
      </c>
      <c r="G330" t="s">
        <v>180</v>
      </c>
      <c r="H330" s="1" t="s">
        <v>976</v>
      </c>
      <c r="I330" s="1">
        <v>390</v>
      </c>
      <c r="J330" s="20">
        <v>0</v>
      </c>
      <c r="K330" s="1">
        <v>62.23</v>
      </c>
      <c r="L330" s="1">
        <v>0</v>
      </c>
      <c r="M330" s="42" t="s">
        <v>2764</v>
      </c>
      <c r="P330" t="s">
        <v>24</v>
      </c>
      <c r="Q330" t="s">
        <v>228</v>
      </c>
    </row>
    <row r="331" spans="1:17" ht="15" customHeight="1" x14ac:dyDescent="0.25">
      <c r="A331" s="41" t="s">
        <v>1205</v>
      </c>
      <c r="B331" s="3" t="s">
        <v>228</v>
      </c>
      <c r="C331" s="41" t="s">
        <v>1159</v>
      </c>
      <c r="D331">
        <v>2</v>
      </c>
      <c r="E331" t="s">
        <v>1017</v>
      </c>
      <c r="F331" t="s">
        <v>975</v>
      </c>
      <c r="G331" t="s">
        <v>180</v>
      </c>
      <c r="H331" s="1" t="s">
        <v>976</v>
      </c>
      <c r="I331" s="1">
        <v>390</v>
      </c>
      <c r="J331" s="20">
        <v>0</v>
      </c>
      <c r="K331" s="1">
        <v>62.23</v>
      </c>
      <c r="L331" s="1">
        <v>0</v>
      </c>
      <c r="M331" s="42" t="s">
        <v>2764</v>
      </c>
      <c r="P331" t="s">
        <v>24</v>
      </c>
      <c r="Q331" t="s">
        <v>228</v>
      </c>
    </row>
    <row r="332" spans="1:17" ht="15" customHeight="1" x14ac:dyDescent="0.25">
      <c r="A332" s="41" t="s">
        <v>1205</v>
      </c>
      <c r="B332" s="3" t="s">
        <v>228</v>
      </c>
      <c r="C332" s="41" t="s">
        <v>1159</v>
      </c>
      <c r="D332">
        <v>3</v>
      </c>
      <c r="E332" t="s">
        <v>1179</v>
      </c>
      <c r="F332" t="s">
        <v>1180</v>
      </c>
      <c r="G332" t="s">
        <v>180</v>
      </c>
      <c r="H332" s="1" t="s">
        <v>976</v>
      </c>
      <c r="I332" s="1">
        <v>390</v>
      </c>
      <c r="J332" s="20">
        <v>0</v>
      </c>
      <c r="K332" s="1">
        <v>62.23</v>
      </c>
      <c r="L332" s="1">
        <v>0</v>
      </c>
      <c r="M332" s="42" t="s">
        <v>2764</v>
      </c>
      <c r="P332" t="s">
        <v>24</v>
      </c>
      <c r="Q332" t="s">
        <v>228</v>
      </c>
    </row>
    <row r="333" spans="1:17" ht="15" customHeight="1" x14ac:dyDescent="0.25">
      <c r="A333" s="3" t="s">
        <v>1206</v>
      </c>
      <c r="B333" s="4" t="s">
        <v>229</v>
      </c>
      <c r="C333" t="s">
        <v>1159</v>
      </c>
      <c r="D333">
        <v>1</v>
      </c>
      <c r="E333" t="s">
        <v>974</v>
      </c>
      <c r="F333" t="s">
        <v>975</v>
      </c>
      <c r="G333" t="s">
        <v>180</v>
      </c>
      <c r="H333" s="1" t="s">
        <v>976</v>
      </c>
      <c r="I333" s="1">
        <v>390</v>
      </c>
      <c r="J333" s="20">
        <v>0</v>
      </c>
      <c r="K333" s="1">
        <v>62.23</v>
      </c>
      <c r="L333" s="1">
        <v>0</v>
      </c>
      <c r="M333" s="42" t="s">
        <v>2764</v>
      </c>
      <c r="P333" t="s">
        <v>23</v>
      </c>
      <c r="Q333" t="s">
        <v>229</v>
      </c>
    </row>
    <row r="334" spans="1:17" ht="15" customHeight="1" x14ac:dyDescent="0.25">
      <c r="A334" s="41" t="s">
        <v>1206</v>
      </c>
      <c r="B334" s="3" t="s">
        <v>229</v>
      </c>
      <c r="C334" s="41" t="s">
        <v>1159</v>
      </c>
      <c r="D334">
        <v>3</v>
      </c>
      <c r="E334" t="s">
        <v>1179</v>
      </c>
      <c r="F334" t="s">
        <v>1180</v>
      </c>
      <c r="G334" t="s">
        <v>180</v>
      </c>
      <c r="H334" s="1" t="s">
        <v>976</v>
      </c>
      <c r="I334" s="1">
        <v>390</v>
      </c>
      <c r="J334" s="20">
        <v>0</v>
      </c>
      <c r="K334" s="1">
        <v>62.23</v>
      </c>
      <c r="L334" s="1">
        <v>0</v>
      </c>
      <c r="M334" s="42" t="s">
        <v>2764</v>
      </c>
      <c r="P334" t="s">
        <v>23</v>
      </c>
      <c r="Q334" t="s">
        <v>229</v>
      </c>
    </row>
    <row r="335" spans="1:17" ht="15" customHeight="1" x14ac:dyDescent="0.25">
      <c r="A335" s="3" t="s">
        <v>1207</v>
      </c>
      <c r="B335" s="4" t="s">
        <v>230</v>
      </c>
      <c r="C335" t="s">
        <v>1159</v>
      </c>
      <c r="D335">
        <v>1</v>
      </c>
      <c r="E335" t="s">
        <v>974</v>
      </c>
      <c r="F335" t="s">
        <v>975</v>
      </c>
      <c r="G335" t="s">
        <v>180</v>
      </c>
      <c r="H335" s="1" t="s">
        <v>976</v>
      </c>
      <c r="I335" s="1">
        <v>390</v>
      </c>
      <c r="J335" s="20">
        <v>0</v>
      </c>
      <c r="K335" s="1">
        <v>62.23</v>
      </c>
      <c r="L335" s="1">
        <v>0</v>
      </c>
      <c r="M335" s="42" t="s">
        <v>2764</v>
      </c>
      <c r="P335" t="s">
        <v>22</v>
      </c>
      <c r="Q335" t="s">
        <v>230</v>
      </c>
    </row>
    <row r="336" spans="1:17" ht="15" customHeight="1" x14ac:dyDescent="0.25">
      <c r="A336" s="41" t="s">
        <v>1207</v>
      </c>
      <c r="B336" s="3" t="s">
        <v>230</v>
      </c>
      <c r="C336" s="41" t="s">
        <v>1159</v>
      </c>
      <c r="D336">
        <v>3</v>
      </c>
      <c r="E336" t="s">
        <v>1179</v>
      </c>
      <c r="F336" t="s">
        <v>1180</v>
      </c>
      <c r="G336" t="s">
        <v>180</v>
      </c>
      <c r="H336" s="1" t="s">
        <v>976</v>
      </c>
      <c r="I336" s="1">
        <v>390</v>
      </c>
      <c r="J336" s="20">
        <v>0</v>
      </c>
      <c r="K336" s="1">
        <v>62.23</v>
      </c>
      <c r="L336" s="1">
        <v>0</v>
      </c>
      <c r="M336" s="42" t="s">
        <v>2764</v>
      </c>
      <c r="P336" t="s">
        <v>22</v>
      </c>
      <c r="Q336" t="s">
        <v>230</v>
      </c>
    </row>
    <row r="337" spans="1:17" ht="15" customHeight="1" x14ac:dyDescent="0.25">
      <c r="A337" s="3" t="s">
        <v>1208</v>
      </c>
      <c r="B337" s="4" t="s">
        <v>2772</v>
      </c>
      <c r="C337" t="s">
        <v>1159</v>
      </c>
      <c r="D337">
        <v>1</v>
      </c>
      <c r="E337" t="s">
        <v>974</v>
      </c>
      <c r="F337" t="s">
        <v>975</v>
      </c>
      <c r="G337" t="s">
        <v>180</v>
      </c>
      <c r="H337" s="1" t="s">
        <v>976</v>
      </c>
      <c r="I337" s="1">
        <v>390</v>
      </c>
      <c r="J337" s="20">
        <v>4</v>
      </c>
      <c r="K337" s="1">
        <v>60.83</v>
      </c>
      <c r="L337" s="1">
        <v>243.32</v>
      </c>
      <c r="M337" s="42" t="s">
        <v>2764</v>
      </c>
      <c r="O337" s="2" t="s">
        <v>2508</v>
      </c>
      <c r="P337" t="s">
        <v>24</v>
      </c>
      <c r="Q337" t="s">
        <v>735</v>
      </c>
    </row>
    <row r="338" spans="1:17" ht="15" customHeight="1" x14ac:dyDescent="0.25">
      <c r="A338" s="41" t="s">
        <v>1208</v>
      </c>
      <c r="B338" s="3" t="s">
        <v>2772</v>
      </c>
      <c r="C338" s="41" t="s">
        <v>1159</v>
      </c>
      <c r="D338">
        <v>3</v>
      </c>
      <c r="E338" t="s">
        <v>1179</v>
      </c>
      <c r="F338" t="s">
        <v>1180</v>
      </c>
      <c r="G338" t="s">
        <v>180</v>
      </c>
      <c r="H338" s="1" t="s">
        <v>976</v>
      </c>
      <c r="I338" s="1">
        <v>390</v>
      </c>
      <c r="J338" s="20">
        <v>0</v>
      </c>
      <c r="K338" s="1">
        <v>60.83</v>
      </c>
      <c r="L338" s="1">
        <v>0</v>
      </c>
      <c r="M338" s="42" t="s">
        <v>2764</v>
      </c>
      <c r="O338" s="2" t="s">
        <v>2508</v>
      </c>
      <c r="P338" t="s">
        <v>24</v>
      </c>
      <c r="Q338" t="s">
        <v>735</v>
      </c>
    </row>
    <row r="339" spans="1:17" ht="15" customHeight="1" x14ac:dyDescent="0.25">
      <c r="A339" s="3" t="s">
        <v>1209</v>
      </c>
      <c r="B339" s="4" t="s">
        <v>2772</v>
      </c>
      <c r="C339" t="s">
        <v>1159</v>
      </c>
      <c r="D339">
        <v>1</v>
      </c>
      <c r="E339" t="s">
        <v>974</v>
      </c>
      <c r="F339" t="s">
        <v>975</v>
      </c>
      <c r="G339" t="s">
        <v>180</v>
      </c>
      <c r="H339" s="1" t="s">
        <v>976</v>
      </c>
      <c r="I339" s="1">
        <v>390</v>
      </c>
      <c r="J339" s="20">
        <v>4</v>
      </c>
      <c r="K339" s="1">
        <v>60.83</v>
      </c>
      <c r="L339" s="1">
        <v>243.32</v>
      </c>
      <c r="M339" s="42" t="s">
        <v>2764</v>
      </c>
      <c r="O339" s="2" t="s">
        <v>2508</v>
      </c>
      <c r="P339" t="s">
        <v>23</v>
      </c>
      <c r="Q339" t="s">
        <v>735</v>
      </c>
    </row>
    <row r="340" spans="1:17" ht="15" customHeight="1" x14ac:dyDescent="0.25">
      <c r="A340" s="41" t="s">
        <v>1209</v>
      </c>
      <c r="B340" s="3" t="s">
        <v>2772</v>
      </c>
      <c r="C340" s="41" t="s">
        <v>1159</v>
      </c>
      <c r="D340">
        <v>3</v>
      </c>
      <c r="E340" t="s">
        <v>1179</v>
      </c>
      <c r="F340" t="s">
        <v>1180</v>
      </c>
      <c r="G340" t="s">
        <v>180</v>
      </c>
      <c r="H340" s="1" t="s">
        <v>976</v>
      </c>
      <c r="I340" s="1">
        <v>390</v>
      </c>
      <c r="J340" s="20">
        <v>0</v>
      </c>
      <c r="K340" s="1">
        <v>60.83</v>
      </c>
      <c r="L340" s="1">
        <v>0</v>
      </c>
      <c r="M340" s="42" t="s">
        <v>2764</v>
      </c>
      <c r="O340" s="2" t="s">
        <v>2508</v>
      </c>
      <c r="P340" t="s">
        <v>23</v>
      </c>
      <c r="Q340" t="s">
        <v>735</v>
      </c>
    </row>
    <row r="341" spans="1:17" ht="15" customHeight="1" x14ac:dyDescent="0.25">
      <c r="A341" s="3" t="s">
        <v>1210</v>
      </c>
      <c r="B341" s="4" t="s">
        <v>2772</v>
      </c>
      <c r="C341" t="s">
        <v>1159</v>
      </c>
      <c r="D341">
        <v>1</v>
      </c>
      <c r="E341" t="s">
        <v>974</v>
      </c>
      <c r="F341" t="s">
        <v>975</v>
      </c>
      <c r="G341" t="s">
        <v>180</v>
      </c>
      <c r="H341" s="1" t="s">
        <v>976</v>
      </c>
      <c r="I341" s="1">
        <v>390</v>
      </c>
      <c r="J341" s="20">
        <v>1</v>
      </c>
      <c r="K341" s="1">
        <v>60.83</v>
      </c>
      <c r="L341" s="1">
        <v>60.83</v>
      </c>
      <c r="M341" s="42" t="s">
        <v>2764</v>
      </c>
      <c r="O341" s="2" t="s">
        <v>2508</v>
      </c>
      <c r="P341" t="s">
        <v>22</v>
      </c>
      <c r="Q341" t="s">
        <v>735</v>
      </c>
    </row>
    <row r="342" spans="1:17" ht="15" customHeight="1" x14ac:dyDescent="0.25">
      <c r="A342" s="41" t="s">
        <v>1210</v>
      </c>
      <c r="B342" s="3" t="s">
        <v>2772</v>
      </c>
      <c r="C342" s="41" t="s">
        <v>1159</v>
      </c>
      <c r="D342">
        <v>3</v>
      </c>
      <c r="E342" t="s">
        <v>1179</v>
      </c>
      <c r="F342" t="s">
        <v>1180</v>
      </c>
      <c r="G342" t="s">
        <v>180</v>
      </c>
      <c r="H342" s="1" t="s">
        <v>976</v>
      </c>
      <c r="I342" s="1">
        <v>390</v>
      </c>
      <c r="J342" s="20">
        <v>0</v>
      </c>
      <c r="K342" s="1">
        <v>60.83</v>
      </c>
      <c r="L342" s="1">
        <v>0</v>
      </c>
      <c r="M342" s="42" t="s">
        <v>2764</v>
      </c>
      <c r="O342" s="2" t="s">
        <v>2508</v>
      </c>
      <c r="P342" t="s">
        <v>22</v>
      </c>
      <c r="Q342" t="s">
        <v>735</v>
      </c>
    </row>
    <row r="343" spans="1:17" ht="15" customHeight="1" x14ac:dyDescent="0.25">
      <c r="A343" s="3" t="s">
        <v>1211</v>
      </c>
      <c r="B343" s="4" t="s">
        <v>2773</v>
      </c>
      <c r="C343" t="s">
        <v>1159</v>
      </c>
      <c r="D343">
        <v>1</v>
      </c>
      <c r="E343" t="s">
        <v>974</v>
      </c>
      <c r="F343" t="s">
        <v>975</v>
      </c>
      <c r="G343" t="s">
        <v>180</v>
      </c>
      <c r="H343" s="1" t="s">
        <v>976</v>
      </c>
      <c r="I343" s="1">
        <v>980</v>
      </c>
      <c r="J343" s="20">
        <v>0</v>
      </c>
      <c r="K343" s="1">
        <v>0</v>
      </c>
      <c r="L343" s="1">
        <v>0</v>
      </c>
      <c r="M343" s="42" t="s">
        <v>2764</v>
      </c>
      <c r="N343" s="1" t="s">
        <v>2616</v>
      </c>
      <c r="O343" s="2" t="s">
        <v>2447</v>
      </c>
      <c r="Q343" t="s">
        <v>736</v>
      </c>
    </row>
    <row r="344" spans="1:17" ht="15" customHeight="1" x14ac:dyDescent="0.25">
      <c r="A344" s="3" t="s">
        <v>1212</v>
      </c>
      <c r="B344" s="4" t="s">
        <v>737</v>
      </c>
      <c r="C344" t="s">
        <v>1159</v>
      </c>
      <c r="D344">
        <v>1</v>
      </c>
      <c r="E344" t="s">
        <v>974</v>
      </c>
      <c r="F344" t="s">
        <v>975</v>
      </c>
      <c r="G344" t="s">
        <v>180</v>
      </c>
      <c r="H344" s="1" t="s">
        <v>976</v>
      </c>
      <c r="I344" s="1">
        <v>980</v>
      </c>
      <c r="J344" s="20">
        <v>0</v>
      </c>
      <c r="K344" s="1">
        <v>0</v>
      </c>
      <c r="L344" s="1">
        <v>0</v>
      </c>
      <c r="M344" s="42" t="s">
        <v>2764</v>
      </c>
      <c r="N344" s="1" t="s">
        <v>2616</v>
      </c>
      <c r="Q344" t="s">
        <v>737</v>
      </c>
    </row>
    <row r="345" spans="1:17" ht="15" customHeight="1" x14ac:dyDescent="0.25">
      <c r="A345" s="3" t="s">
        <v>1213</v>
      </c>
      <c r="B345" s="4" t="s">
        <v>2773</v>
      </c>
      <c r="C345" t="s">
        <v>1159</v>
      </c>
      <c r="D345">
        <v>1</v>
      </c>
      <c r="E345" t="s">
        <v>974</v>
      </c>
      <c r="F345" t="s">
        <v>975</v>
      </c>
      <c r="G345" t="s">
        <v>180</v>
      </c>
      <c r="H345" s="1" t="s">
        <v>976</v>
      </c>
      <c r="I345" s="1">
        <v>980</v>
      </c>
      <c r="J345" s="20">
        <v>-1</v>
      </c>
      <c r="K345" s="1">
        <v>0</v>
      </c>
      <c r="L345" s="1">
        <v>0</v>
      </c>
      <c r="M345" s="42" t="s">
        <v>2764</v>
      </c>
      <c r="N345" s="1" t="s">
        <v>2616</v>
      </c>
      <c r="O345" s="2" t="s">
        <v>2482</v>
      </c>
      <c r="Q345" t="s">
        <v>738</v>
      </c>
    </row>
    <row r="346" spans="1:17" ht="15" customHeight="1" x14ac:dyDescent="0.25">
      <c r="A346" s="3" t="s">
        <v>1214</v>
      </c>
      <c r="B346" s="4" t="s">
        <v>1159</v>
      </c>
      <c r="C346" t="s">
        <v>1159</v>
      </c>
      <c r="D346">
        <v>1</v>
      </c>
      <c r="E346" t="s">
        <v>974</v>
      </c>
      <c r="F346" t="s">
        <v>975</v>
      </c>
      <c r="G346" t="s">
        <v>180</v>
      </c>
      <c r="H346" s="1" t="s">
        <v>976</v>
      </c>
      <c r="I346" s="1">
        <v>270</v>
      </c>
      <c r="J346" s="20">
        <v>8</v>
      </c>
      <c r="K346" s="1">
        <v>45.8</v>
      </c>
      <c r="L346" s="1">
        <v>366.4</v>
      </c>
      <c r="M346" s="42" t="s">
        <v>2764</v>
      </c>
      <c r="O346" s="2" t="s">
        <v>2482</v>
      </c>
      <c r="P346" t="s">
        <v>24</v>
      </c>
      <c r="Q346" t="s">
        <v>729</v>
      </c>
    </row>
    <row r="347" spans="1:17" ht="15" customHeight="1" x14ac:dyDescent="0.25">
      <c r="A347" s="3" t="s">
        <v>1215</v>
      </c>
      <c r="B347" s="4" t="s">
        <v>1159</v>
      </c>
      <c r="C347" t="s">
        <v>1159</v>
      </c>
      <c r="D347">
        <v>1</v>
      </c>
      <c r="E347" t="s">
        <v>974</v>
      </c>
      <c r="F347" t="s">
        <v>975</v>
      </c>
      <c r="G347" t="s">
        <v>180</v>
      </c>
      <c r="H347" s="1" t="s">
        <v>976</v>
      </c>
      <c r="I347" s="1">
        <v>270</v>
      </c>
      <c r="J347" s="20">
        <v>3</v>
      </c>
      <c r="K347" s="1">
        <v>45.8</v>
      </c>
      <c r="L347" s="1">
        <v>137.4</v>
      </c>
      <c r="M347" s="42" t="s">
        <v>2764</v>
      </c>
      <c r="O347" s="2" t="s">
        <v>2482</v>
      </c>
      <c r="P347" t="s">
        <v>25</v>
      </c>
      <c r="Q347" t="s">
        <v>729</v>
      </c>
    </row>
    <row r="348" spans="1:17" ht="15" customHeight="1" x14ac:dyDescent="0.25">
      <c r="A348" s="3" t="s">
        <v>1216</v>
      </c>
      <c r="B348" s="4" t="s">
        <v>1159</v>
      </c>
      <c r="C348" t="s">
        <v>1159</v>
      </c>
      <c r="D348">
        <v>1</v>
      </c>
      <c r="E348" t="s">
        <v>974</v>
      </c>
      <c r="F348" t="s">
        <v>975</v>
      </c>
      <c r="G348" t="s">
        <v>180</v>
      </c>
      <c r="H348" s="1" t="s">
        <v>976</v>
      </c>
      <c r="I348" s="1">
        <v>270</v>
      </c>
      <c r="J348" s="20">
        <v>14</v>
      </c>
      <c r="K348" s="1">
        <v>45.8</v>
      </c>
      <c r="L348" s="1">
        <v>641.20000000000005</v>
      </c>
      <c r="M348" s="42" t="s">
        <v>2764</v>
      </c>
      <c r="O348" s="2" t="s">
        <v>2482</v>
      </c>
      <c r="Q348" t="s">
        <v>729</v>
      </c>
    </row>
    <row r="349" spans="1:17" ht="15" customHeight="1" x14ac:dyDescent="0.25">
      <c r="A349" s="3" t="s">
        <v>1217</v>
      </c>
      <c r="B349" s="4" t="s">
        <v>1159</v>
      </c>
      <c r="C349" t="s">
        <v>1159</v>
      </c>
      <c r="D349">
        <v>1</v>
      </c>
      <c r="E349" t="s">
        <v>974</v>
      </c>
      <c r="F349" t="s">
        <v>975</v>
      </c>
      <c r="G349" t="s">
        <v>180</v>
      </c>
      <c r="H349" s="1" t="s">
        <v>976</v>
      </c>
      <c r="I349" s="1">
        <v>270</v>
      </c>
      <c r="J349" s="20">
        <v>5</v>
      </c>
      <c r="K349" s="1">
        <v>45.8</v>
      </c>
      <c r="L349" s="1">
        <v>229</v>
      </c>
      <c r="M349" s="42" t="s">
        <v>2764</v>
      </c>
      <c r="O349" s="2" t="s">
        <v>2482</v>
      </c>
      <c r="Q349" t="s">
        <v>729</v>
      </c>
    </row>
    <row r="350" spans="1:17" ht="15" customHeight="1" x14ac:dyDescent="0.25">
      <c r="A350" s="3" t="s">
        <v>1218</v>
      </c>
      <c r="B350" s="4" t="s">
        <v>2774</v>
      </c>
      <c r="C350" t="s">
        <v>1219</v>
      </c>
      <c r="D350">
        <v>1</v>
      </c>
      <c r="E350" t="s">
        <v>974</v>
      </c>
      <c r="F350" t="s">
        <v>975</v>
      </c>
      <c r="G350" t="s">
        <v>976</v>
      </c>
      <c r="H350" s="1" t="s">
        <v>976</v>
      </c>
      <c r="I350" s="1">
        <v>348</v>
      </c>
      <c r="J350" s="20">
        <v>0</v>
      </c>
      <c r="K350" s="1">
        <v>64.11</v>
      </c>
      <c r="L350" s="1">
        <v>0</v>
      </c>
      <c r="M350" s="42" t="s">
        <v>2764</v>
      </c>
      <c r="O350" s="2" t="s">
        <v>2447</v>
      </c>
      <c r="P350" t="s">
        <v>24</v>
      </c>
      <c r="Q350" t="s">
        <v>739</v>
      </c>
    </row>
    <row r="351" spans="1:17" ht="15" customHeight="1" x14ac:dyDescent="0.25">
      <c r="A351" s="3" t="s">
        <v>1220</v>
      </c>
      <c r="B351" s="4" t="s">
        <v>2774</v>
      </c>
      <c r="C351" t="s">
        <v>1219</v>
      </c>
      <c r="D351">
        <v>1</v>
      </c>
      <c r="E351" t="s">
        <v>974</v>
      </c>
      <c r="F351" t="s">
        <v>975</v>
      </c>
      <c r="G351" t="s">
        <v>976</v>
      </c>
      <c r="H351" s="1" t="s">
        <v>976</v>
      </c>
      <c r="I351" s="1">
        <v>348</v>
      </c>
      <c r="J351" s="20">
        <v>2</v>
      </c>
      <c r="K351" s="1">
        <v>64.11</v>
      </c>
      <c r="L351" s="1">
        <v>128.22</v>
      </c>
      <c r="M351" s="42" t="s">
        <v>2764</v>
      </c>
      <c r="O351" s="2" t="s">
        <v>2447</v>
      </c>
      <c r="P351" t="s">
        <v>23</v>
      </c>
      <c r="Q351" t="s">
        <v>739</v>
      </c>
    </row>
    <row r="352" spans="1:17" ht="15" customHeight="1" x14ac:dyDescent="0.25">
      <c r="A352" s="3" t="s">
        <v>1221</v>
      </c>
      <c r="B352" s="4" t="s">
        <v>2774</v>
      </c>
      <c r="C352" t="s">
        <v>1219</v>
      </c>
      <c r="D352">
        <v>1</v>
      </c>
      <c r="E352" t="s">
        <v>974</v>
      </c>
      <c r="F352" t="s">
        <v>975</v>
      </c>
      <c r="G352" t="s">
        <v>976</v>
      </c>
      <c r="H352" s="1" t="s">
        <v>976</v>
      </c>
      <c r="I352" s="1">
        <v>348</v>
      </c>
      <c r="J352" s="20">
        <v>6</v>
      </c>
      <c r="K352" s="1">
        <v>64.11</v>
      </c>
      <c r="L352" s="1">
        <v>384.66</v>
      </c>
      <c r="M352" s="42" t="s">
        <v>2764</v>
      </c>
      <c r="O352" s="2" t="s">
        <v>2447</v>
      </c>
      <c r="P352" t="s">
        <v>22</v>
      </c>
      <c r="Q352" t="s">
        <v>739</v>
      </c>
    </row>
    <row r="353" spans="1:17" ht="15" customHeight="1" x14ac:dyDescent="0.25">
      <c r="A353" s="3" t="s">
        <v>1222</v>
      </c>
      <c r="B353" s="4" t="s">
        <v>2774</v>
      </c>
      <c r="C353" t="s">
        <v>1219</v>
      </c>
      <c r="D353">
        <v>1</v>
      </c>
      <c r="E353" t="s">
        <v>974</v>
      </c>
      <c r="F353" t="s">
        <v>975</v>
      </c>
      <c r="G353" t="s">
        <v>976</v>
      </c>
      <c r="H353" s="1" t="s">
        <v>976</v>
      </c>
      <c r="I353" s="1">
        <v>348</v>
      </c>
      <c r="J353" s="20">
        <v>1</v>
      </c>
      <c r="K353" s="1">
        <v>64.11</v>
      </c>
      <c r="L353" s="1">
        <v>64.11</v>
      </c>
      <c r="M353" s="42" t="s">
        <v>2764</v>
      </c>
      <c r="O353" s="2" t="s">
        <v>2447</v>
      </c>
      <c r="P353" t="s">
        <v>21</v>
      </c>
      <c r="Q353" t="s">
        <v>739</v>
      </c>
    </row>
    <row r="354" spans="1:17" ht="15" customHeight="1" x14ac:dyDescent="0.25">
      <c r="A354" s="3" t="s">
        <v>1223</v>
      </c>
      <c r="B354" s="4" t="s">
        <v>2774</v>
      </c>
      <c r="C354" t="s">
        <v>1219</v>
      </c>
      <c r="D354">
        <v>1</v>
      </c>
      <c r="E354" t="s">
        <v>974</v>
      </c>
      <c r="F354" t="s">
        <v>975</v>
      </c>
      <c r="G354" t="s">
        <v>976</v>
      </c>
      <c r="H354" s="1" t="s">
        <v>976</v>
      </c>
      <c r="I354" s="1">
        <v>348</v>
      </c>
      <c r="J354" s="20">
        <v>0</v>
      </c>
      <c r="K354" s="1">
        <v>64.11</v>
      </c>
      <c r="L354" s="1">
        <v>0</v>
      </c>
      <c r="M354" s="42" t="s">
        <v>2764</v>
      </c>
      <c r="O354" s="2" t="s">
        <v>2482</v>
      </c>
      <c r="P354" t="s">
        <v>24</v>
      </c>
      <c r="Q354" t="s">
        <v>740</v>
      </c>
    </row>
    <row r="355" spans="1:17" ht="15" customHeight="1" x14ac:dyDescent="0.25">
      <c r="A355" s="3" t="s">
        <v>1224</v>
      </c>
      <c r="B355" s="4" t="s">
        <v>2774</v>
      </c>
      <c r="C355" t="s">
        <v>1219</v>
      </c>
      <c r="D355">
        <v>1</v>
      </c>
      <c r="E355" t="s">
        <v>974</v>
      </c>
      <c r="F355" t="s">
        <v>975</v>
      </c>
      <c r="G355" t="s">
        <v>976</v>
      </c>
      <c r="H355" s="1" t="s">
        <v>976</v>
      </c>
      <c r="I355" s="1">
        <v>348</v>
      </c>
      <c r="J355" s="20">
        <v>1</v>
      </c>
      <c r="K355" s="1">
        <v>64.11</v>
      </c>
      <c r="L355" s="1">
        <v>64.11</v>
      </c>
      <c r="M355" s="42" t="s">
        <v>2764</v>
      </c>
      <c r="O355" s="2" t="s">
        <v>2482</v>
      </c>
      <c r="P355" t="s">
        <v>23</v>
      </c>
      <c r="Q355" t="s">
        <v>740</v>
      </c>
    </row>
    <row r="356" spans="1:17" ht="15" customHeight="1" x14ac:dyDescent="0.25">
      <c r="A356" s="3" t="s">
        <v>1225</v>
      </c>
      <c r="B356" s="4" t="s">
        <v>2774</v>
      </c>
      <c r="C356" t="s">
        <v>1219</v>
      </c>
      <c r="D356">
        <v>1</v>
      </c>
      <c r="E356" t="s">
        <v>974</v>
      </c>
      <c r="F356" t="s">
        <v>975</v>
      </c>
      <c r="G356" t="s">
        <v>976</v>
      </c>
      <c r="H356" s="1" t="s">
        <v>976</v>
      </c>
      <c r="I356" s="1">
        <v>348</v>
      </c>
      <c r="J356" s="20">
        <v>2</v>
      </c>
      <c r="K356" s="1">
        <v>64.11</v>
      </c>
      <c r="L356" s="1">
        <v>128.22</v>
      </c>
      <c r="M356" s="42" t="s">
        <v>2764</v>
      </c>
      <c r="O356" s="2" t="s">
        <v>2482</v>
      </c>
      <c r="P356" t="s">
        <v>22</v>
      </c>
      <c r="Q356" t="s">
        <v>740</v>
      </c>
    </row>
    <row r="357" spans="1:17" ht="15" customHeight="1" x14ac:dyDescent="0.25">
      <c r="A357" s="3" t="s">
        <v>1226</v>
      </c>
      <c r="B357" s="4" t="s">
        <v>2774</v>
      </c>
      <c r="C357" t="s">
        <v>1219</v>
      </c>
      <c r="D357">
        <v>1</v>
      </c>
      <c r="E357" t="s">
        <v>974</v>
      </c>
      <c r="F357" t="s">
        <v>975</v>
      </c>
      <c r="G357" t="s">
        <v>976</v>
      </c>
      <c r="H357" s="1" t="s">
        <v>976</v>
      </c>
      <c r="I357" s="1">
        <v>348</v>
      </c>
      <c r="J357" s="20">
        <v>2</v>
      </c>
      <c r="K357" s="1">
        <v>64.11</v>
      </c>
      <c r="L357" s="1">
        <v>128.22</v>
      </c>
      <c r="M357" s="42" t="s">
        <v>2764</v>
      </c>
      <c r="O357" s="2" t="s">
        <v>2482</v>
      </c>
      <c r="P357" t="s">
        <v>21</v>
      </c>
      <c r="Q357" t="s">
        <v>740</v>
      </c>
    </row>
    <row r="358" spans="1:17" ht="15" customHeight="1" x14ac:dyDescent="0.25">
      <c r="A358" s="3" t="s">
        <v>1227</v>
      </c>
      <c r="B358" s="4" t="s">
        <v>1159</v>
      </c>
      <c r="C358" t="s">
        <v>1159</v>
      </c>
      <c r="D358">
        <v>1</v>
      </c>
      <c r="E358" t="s">
        <v>974</v>
      </c>
      <c r="F358" t="s">
        <v>975</v>
      </c>
      <c r="G358" t="s">
        <v>180</v>
      </c>
      <c r="H358" s="1" t="s">
        <v>976</v>
      </c>
      <c r="I358" s="1">
        <v>599</v>
      </c>
      <c r="J358" s="20">
        <v>0</v>
      </c>
      <c r="K358" s="1">
        <v>120</v>
      </c>
      <c r="L358" s="1">
        <v>0</v>
      </c>
      <c r="M358" s="42" t="s">
        <v>2764</v>
      </c>
      <c r="O358" s="2" t="s">
        <v>2447</v>
      </c>
      <c r="Q358" t="s">
        <v>741</v>
      </c>
    </row>
    <row r="359" spans="1:17" ht="15" customHeight="1" x14ac:dyDescent="0.25">
      <c r="A359" s="3" t="s">
        <v>1228</v>
      </c>
      <c r="B359" s="4" t="s">
        <v>1159</v>
      </c>
      <c r="C359" t="s">
        <v>1159</v>
      </c>
      <c r="D359">
        <v>1</v>
      </c>
      <c r="E359" t="s">
        <v>974</v>
      </c>
      <c r="F359" t="s">
        <v>975</v>
      </c>
      <c r="G359" t="s">
        <v>180</v>
      </c>
      <c r="H359" s="1" t="s">
        <v>976</v>
      </c>
      <c r="I359" s="1">
        <v>599</v>
      </c>
      <c r="J359" s="20">
        <v>0</v>
      </c>
      <c r="K359" s="1">
        <v>120</v>
      </c>
      <c r="L359" s="1">
        <v>0</v>
      </c>
      <c r="M359" s="42" t="s">
        <v>2764</v>
      </c>
      <c r="O359" s="2" t="s">
        <v>2482</v>
      </c>
      <c r="P359" t="s">
        <v>24</v>
      </c>
      <c r="Q359" t="s">
        <v>729</v>
      </c>
    </row>
    <row r="360" spans="1:17" ht="15" customHeight="1" x14ac:dyDescent="0.25">
      <c r="A360" s="3" t="s">
        <v>1229</v>
      </c>
      <c r="B360" s="4" t="s">
        <v>1159</v>
      </c>
      <c r="C360" t="s">
        <v>1159</v>
      </c>
      <c r="D360">
        <v>1</v>
      </c>
      <c r="E360" t="s">
        <v>974</v>
      </c>
      <c r="F360" t="s">
        <v>975</v>
      </c>
      <c r="G360" t="s">
        <v>180</v>
      </c>
      <c r="H360" s="1" t="s">
        <v>976</v>
      </c>
      <c r="I360" s="1">
        <v>599</v>
      </c>
      <c r="J360" s="20">
        <v>0</v>
      </c>
      <c r="K360" s="1">
        <v>120</v>
      </c>
      <c r="L360" s="1">
        <v>0</v>
      </c>
      <c r="M360" s="42" t="s">
        <v>2764</v>
      </c>
      <c r="O360" s="2" t="s">
        <v>2482</v>
      </c>
      <c r="P360" t="s">
        <v>23</v>
      </c>
      <c r="Q360" t="s">
        <v>729</v>
      </c>
    </row>
    <row r="361" spans="1:17" ht="15" customHeight="1" x14ac:dyDescent="0.25">
      <c r="A361" s="3" t="s">
        <v>1230</v>
      </c>
      <c r="B361" s="4" t="s">
        <v>1159</v>
      </c>
      <c r="C361" t="s">
        <v>1159</v>
      </c>
      <c r="D361">
        <v>1</v>
      </c>
      <c r="E361" t="s">
        <v>974</v>
      </c>
      <c r="F361" t="s">
        <v>975</v>
      </c>
      <c r="G361" t="s">
        <v>180</v>
      </c>
      <c r="H361" s="1" t="s">
        <v>976</v>
      </c>
      <c r="I361" s="1">
        <v>599</v>
      </c>
      <c r="J361" s="20">
        <v>0</v>
      </c>
      <c r="K361" s="1">
        <v>120</v>
      </c>
      <c r="L361" s="1">
        <v>0</v>
      </c>
      <c r="M361" s="42" t="s">
        <v>2764</v>
      </c>
      <c r="O361" s="2" t="s">
        <v>2482</v>
      </c>
      <c r="Q361" t="s">
        <v>729</v>
      </c>
    </row>
    <row r="362" spans="1:17" ht="15" customHeight="1" x14ac:dyDescent="0.25">
      <c r="A362" s="3" t="s">
        <v>1231</v>
      </c>
      <c r="B362" s="4" t="s">
        <v>2775</v>
      </c>
      <c r="C362" t="s">
        <v>1159</v>
      </c>
      <c r="D362">
        <v>1</v>
      </c>
      <c r="E362" t="s">
        <v>974</v>
      </c>
      <c r="F362" t="s">
        <v>975</v>
      </c>
      <c r="G362" t="s">
        <v>976</v>
      </c>
      <c r="H362" s="1" t="s">
        <v>976</v>
      </c>
      <c r="I362" s="1">
        <v>910</v>
      </c>
      <c r="J362" s="20">
        <v>0</v>
      </c>
      <c r="K362" s="1">
        <v>0</v>
      </c>
      <c r="L362" s="1">
        <v>0</v>
      </c>
      <c r="M362" s="42" t="s">
        <v>2764</v>
      </c>
      <c r="N362" s="1" t="s">
        <v>2616</v>
      </c>
      <c r="O362" s="2" t="s">
        <v>2447</v>
      </c>
      <c r="Q362" t="s">
        <v>742</v>
      </c>
    </row>
    <row r="363" spans="1:17" ht="15" customHeight="1" x14ac:dyDescent="0.25">
      <c r="A363" s="3" t="s">
        <v>1232</v>
      </c>
      <c r="B363" s="4" t="s">
        <v>2775</v>
      </c>
      <c r="C363" t="s">
        <v>1159</v>
      </c>
      <c r="D363">
        <v>4</v>
      </c>
      <c r="E363" t="s">
        <v>1018</v>
      </c>
      <c r="F363" t="s">
        <v>975</v>
      </c>
      <c r="G363" t="s">
        <v>976</v>
      </c>
      <c r="H363" s="1" t="s">
        <v>976</v>
      </c>
      <c r="I363" s="1">
        <v>910</v>
      </c>
      <c r="J363" s="20">
        <v>0</v>
      </c>
      <c r="K363" s="1">
        <v>0</v>
      </c>
      <c r="L363" s="1">
        <v>0</v>
      </c>
      <c r="M363" s="42" t="s">
        <v>2764</v>
      </c>
      <c r="N363" s="1" t="s">
        <v>2616</v>
      </c>
      <c r="O363" s="2" t="s">
        <v>2482</v>
      </c>
      <c r="Q363" t="s">
        <v>743</v>
      </c>
    </row>
    <row r="364" spans="1:17" ht="15" customHeight="1" x14ac:dyDescent="0.25">
      <c r="A364" s="3" t="s">
        <v>2091</v>
      </c>
      <c r="B364" s="4" t="s">
        <v>2776</v>
      </c>
      <c r="C364" t="s">
        <v>1159</v>
      </c>
      <c r="D364">
        <v>1</v>
      </c>
      <c r="E364" t="s">
        <v>974</v>
      </c>
      <c r="F364" t="s">
        <v>975</v>
      </c>
      <c r="G364" t="s">
        <v>180</v>
      </c>
      <c r="H364" s="1" t="s">
        <v>976</v>
      </c>
      <c r="I364" s="1">
        <v>490</v>
      </c>
      <c r="J364" s="20">
        <v>0</v>
      </c>
      <c r="K364" s="1">
        <v>74.59</v>
      </c>
      <c r="L364" s="1">
        <v>0</v>
      </c>
      <c r="M364" s="42" t="s">
        <v>2764</v>
      </c>
      <c r="O364" s="2" t="s">
        <v>2472</v>
      </c>
      <c r="P364" t="s">
        <v>24</v>
      </c>
      <c r="Q364" t="s">
        <v>744</v>
      </c>
    </row>
    <row r="365" spans="1:17" ht="15" customHeight="1" x14ac:dyDescent="0.25">
      <c r="A365" s="3" t="s">
        <v>2092</v>
      </c>
      <c r="B365" s="4" t="s">
        <v>2776</v>
      </c>
      <c r="C365" t="s">
        <v>1159</v>
      </c>
      <c r="D365">
        <v>1</v>
      </c>
      <c r="E365" t="s">
        <v>974</v>
      </c>
      <c r="F365" t="s">
        <v>975</v>
      </c>
      <c r="G365" t="s">
        <v>180</v>
      </c>
      <c r="H365" s="1" t="s">
        <v>976</v>
      </c>
      <c r="I365" s="1">
        <v>490</v>
      </c>
      <c r="J365" s="20">
        <v>0</v>
      </c>
      <c r="K365" s="1">
        <v>0</v>
      </c>
      <c r="L365" s="1">
        <v>0</v>
      </c>
      <c r="M365" s="42" t="s">
        <v>2764</v>
      </c>
      <c r="O365" s="2" t="s">
        <v>2472</v>
      </c>
      <c r="P365" t="s">
        <v>23</v>
      </c>
      <c r="Q365" t="s">
        <v>744</v>
      </c>
    </row>
    <row r="366" spans="1:17" ht="15" customHeight="1" x14ac:dyDescent="0.25">
      <c r="A366" s="3" t="s">
        <v>2093</v>
      </c>
      <c r="B366" s="4" t="s">
        <v>2776</v>
      </c>
      <c r="C366" t="s">
        <v>1159</v>
      </c>
      <c r="D366">
        <v>1</v>
      </c>
      <c r="E366" t="s">
        <v>974</v>
      </c>
      <c r="F366" t="s">
        <v>975</v>
      </c>
      <c r="G366" t="s">
        <v>180</v>
      </c>
      <c r="H366" s="1" t="s">
        <v>976</v>
      </c>
      <c r="I366" s="1">
        <v>490</v>
      </c>
      <c r="J366" s="20">
        <v>0</v>
      </c>
      <c r="K366" s="1">
        <v>89</v>
      </c>
      <c r="L366" s="1">
        <v>0</v>
      </c>
      <c r="M366" s="42" t="s">
        <v>2764</v>
      </c>
      <c r="O366" s="2" t="s">
        <v>2472</v>
      </c>
      <c r="P366" t="s">
        <v>22</v>
      </c>
      <c r="Q366" t="s">
        <v>744</v>
      </c>
    </row>
    <row r="367" spans="1:17" ht="15" customHeight="1" x14ac:dyDescent="0.25">
      <c r="A367" s="41" t="s">
        <v>2093</v>
      </c>
      <c r="B367" s="3" t="s">
        <v>2776</v>
      </c>
      <c r="C367" s="41" t="s">
        <v>1159</v>
      </c>
      <c r="D367">
        <v>3</v>
      </c>
      <c r="E367" t="s">
        <v>1179</v>
      </c>
      <c r="F367" t="s">
        <v>1180</v>
      </c>
      <c r="G367" t="s">
        <v>180</v>
      </c>
      <c r="H367" s="1" t="s">
        <v>976</v>
      </c>
      <c r="I367" s="1">
        <v>490</v>
      </c>
      <c r="J367" s="20">
        <v>0</v>
      </c>
      <c r="K367" s="1">
        <v>74.59</v>
      </c>
      <c r="L367" s="1">
        <v>0</v>
      </c>
      <c r="M367" s="42" t="s">
        <v>2764</v>
      </c>
      <c r="O367" s="2" t="s">
        <v>2472</v>
      </c>
      <c r="P367" t="s">
        <v>22</v>
      </c>
      <c r="Q367" t="s">
        <v>744</v>
      </c>
    </row>
    <row r="368" spans="1:17" ht="15" customHeight="1" x14ac:dyDescent="0.25">
      <c r="A368" s="3" t="s">
        <v>2094</v>
      </c>
      <c r="B368" s="4" t="s">
        <v>2769</v>
      </c>
      <c r="C368" t="s">
        <v>1159</v>
      </c>
      <c r="D368">
        <v>1</v>
      </c>
      <c r="E368" t="s">
        <v>974</v>
      </c>
      <c r="F368" t="s">
        <v>975</v>
      </c>
      <c r="G368" t="s">
        <v>180</v>
      </c>
      <c r="H368" s="1" t="s">
        <v>976</v>
      </c>
      <c r="I368" s="1">
        <v>385</v>
      </c>
      <c r="J368" s="20">
        <v>0</v>
      </c>
      <c r="K368" s="1">
        <v>0</v>
      </c>
      <c r="L368" s="1">
        <v>0</v>
      </c>
      <c r="M368" s="42" t="s">
        <v>2764</v>
      </c>
      <c r="O368" s="2" t="s">
        <v>2443</v>
      </c>
      <c r="Q368" t="s">
        <v>745</v>
      </c>
    </row>
    <row r="369" spans="1:17" ht="15" customHeight="1" x14ac:dyDescent="0.25">
      <c r="A369" s="3" t="s">
        <v>2095</v>
      </c>
      <c r="B369" s="4" t="s">
        <v>2769</v>
      </c>
      <c r="C369" t="s">
        <v>1159</v>
      </c>
      <c r="D369">
        <v>1</v>
      </c>
      <c r="E369" t="s">
        <v>974</v>
      </c>
      <c r="F369" t="s">
        <v>975</v>
      </c>
      <c r="G369" t="s">
        <v>180</v>
      </c>
      <c r="H369" s="1" t="s">
        <v>976</v>
      </c>
      <c r="I369" s="1">
        <v>385</v>
      </c>
      <c r="J369" s="20">
        <v>0</v>
      </c>
      <c r="K369" s="1">
        <v>80</v>
      </c>
      <c r="L369" s="1">
        <v>0</v>
      </c>
      <c r="M369" s="42" t="s">
        <v>2764</v>
      </c>
      <c r="O369" s="2" t="s">
        <v>2443</v>
      </c>
      <c r="Q369" t="s">
        <v>745</v>
      </c>
    </row>
    <row r="370" spans="1:17" ht="15" customHeight="1" x14ac:dyDescent="0.25">
      <c r="A370" s="3" t="s">
        <v>2096</v>
      </c>
      <c r="B370" s="4" t="s">
        <v>2769</v>
      </c>
      <c r="C370" t="s">
        <v>1159</v>
      </c>
      <c r="D370">
        <v>1</v>
      </c>
      <c r="E370" t="s">
        <v>974</v>
      </c>
      <c r="F370" t="s">
        <v>975</v>
      </c>
      <c r="G370" t="s">
        <v>180</v>
      </c>
      <c r="H370" s="1" t="s">
        <v>976</v>
      </c>
      <c r="I370" s="1">
        <v>385</v>
      </c>
      <c r="J370" s="20">
        <v>0</v>
      </c>
      <c r="K370" s="1">
        <v>80</v>
      </c>
      <c r="L370" s="1">
        <v>0</v>
      </c>
      <c r="M370" s="42" t="s">
        <v>2764</v>
      </c>
      <c r="O370" s="2" t="s">
        <v>2443</v>
      </c>
      <c r="Q370" t="s">
        <v>745</v>
      </c>
    </row>
    <row r="371" spans="1:17" ht="15" customHeight="1" x14ac:dyDescent="0.25">
      <c r="A371" s="3" t="s">
        <v>2097</v>
      </c>
      <c r="B371" s="4" t="s">
        <v>2777</v>
      </c>
      <c r="C371" t="s">
        <v>1159</v>
      </c>
      <c r="D371">
        <v>1</v>
      </c>
      <c r="E371" t="s">
        <v>974</v>
      </c>
      <c r="F371" t="s">
        <v>975</v>
      </c>
      <c r="G371" t="s">
        <v>180</v>
      </c>
      <c r="H371" s="1" t="s">
        <v>976</v>
      </c>
      <c r="I371" s="1">
        <v>360</v>
      </c>
      <c r="J371" s="20">
        <v>12</v>
      </c>
      <c r="K371" s="1">
        <v>53.1</v>
      </c>
      <c r="L371" s="1">
        <v>637.20000000000005</v>
      </c>
      <c r="M371" s="42" t="s">
        <v>2764</v>
      </c>
      <c r="O371" s="2" t="s">
        <v>2482</v>
      </c>
      <c r="Q371" t="s">
        <v>746</v>
      </c>
    </row>
    <row r="372" spans="1:17" ht="15" customHeight="1" x14ac:dyDescent="0.25">
      <c r="A372" s="3" t="s">
        <v>2098</v>
      </c>
      <c r="B372" s="4" t="s">
        <v>2777</v>
      </c>
      <c r="C372" t="s">
        <v>1159</v>
      </c>
      <c r="D372">
        <v>1</v>
      </c>
      <c r="E372" t="s">
        <v>974</v>
      </c>
      <c r="F372" t="s">
        <v>975</v>
      </c>
      <c r="G372" t="s">
        <v>180</v>
      </c>
      <c r="H372" s="1" t="s">
        <v>976</v>
      </c>
      <c r="I372" s="1">
        <v>360</v>
      </c>
      <c r="J372" s="20">
        <v>2</v>
      </c>
      <c r="K372" s="1">
        <v>53.1</v>
      </c>
      <c r="L372" s="1">
        <v>106.2</v>
      </c>
      <c r="M372" s="42" t="s">
        <v>2764</v>
      </c>
      <c r="O372" s="2" t="s">
        <v>2482</v>
      </c>
      <c r="Q372" t="s">
        <v>746</v>
      </c>
    </row>
    <row r="373" spans="1:17" ht="15" customHeight="1" x14ac:dyDescent="0.25">
      <c r="A373" s="3" t="s">
        <v>2099</v>
      </c>
      <c r="B373" s="4" t="s">
        <v>2777</v>
      </c>
      <c r="C373" t="s">
        <v>1159</v>
      </c>
      <c r="D373">
        <v>1</v>
      </c>
      <c r="E373" t="s">
        <v>974</v>
      </c>
      <c r="F373" t="s">
        <v>975</v>
      </c>
      <c r="G373" t="s">
        <v>180</v>
      </c>
      <c r="H373" s="1" t="s">
        <v>976</v>
      </c>
      <c r="I373" s="1">
        <v>360</v>
      </c>
      <c r="J373" s="20">
        <v>17</v>
      </c>
      <c r="K373" s="1">
        <v>53.1</v>
      </c>
      <c r="L373" s="1">
        <v>902.7</v>
      </c>
      <c r="M373" s="42" t="s">
        <v>2764</v>
      </c>
      <c r="O373" s="2" t="s">
        <v>2482</v>
      </c>
      <c r="Q373" t="s">
        <v>746</v>
      </c>
    </row>
    <row r="374" spans="1:17" ht="15" customHeight="1" x14ac:dyDescent="0.25">
      <c r="A374" s="3" t="s">
        <v>2100</v>
      </c>
      <c r="B374" s="4" t="s">
        <v>2777</v>
      </c>
      <c r="C374" t="s">
        <v>1159</v>
      </c>
      <c r="D374">
        <v>1</v>
      </c>
      <c r="E374" t="s">
        <v>974</v>
      </c>
      <c r="F374" t="s">
        <v>975</v>
      </c>
      <c r="G374" t="s">
        <v>180</v>
      </c>
      <c r="H374" s="1" t="s">
        <v>976</v>
      </c>
      <c r="I374" s="1">
        <v>360</v>
      </c>
      <c r="J374" s="20">
        <v>1</v>
      </c>
      <c r="K374" s="1">
        <v>53.51</v>
      </c>
      <c r="L374" s="1">
        <v>53.51</v>
      </c>
      <c r="M374" s="42" t="s">
        <v>2764</v>
      </c>
      <c r="O374" s="2" t="s">
        <v>2482</v>
      </c>
      <c r="Q374" t="s">
        <v>746</v>
      </c>
    </row>
    <row r="375" spans="1:17" ht="15" customHeight="1" x14ac:dyDescent="0.25">
      <c r="A375" s="3" t="s">
        <v>1233</v>
      </c>
      <c r="B375" s="4" t="s">
        <v>2769</v>
      </c>
      <c r="C375" t="s">
        <v>1159</v>
      </c>
      <c r="D375">
        <v>1</v>
      </c>
      <c r="E375" t="s">
        <v>974</v>
      </c>
      <c r="F375" t="s">
        <v>975</v>
      </c>
      <c r="G375" t="s">
        <v>180</v>
      </c>
      <c r="H375" s="1" t="s">
        <v>976</v>
      </c>
      <c r="I375" s="1">
        <v>490</v>
      </c>
      <c r="J375" s="20">
        <v>2</v>
      </c>
      <c r="K375" s="1">
        <v>90</v>
      </c>
      <c r="L375" s="1">
        <v>180</v>
      </c>
      <c r="M375" s="42" t="s">
        <v>2764</v>
      </c>
      <c r="O375" s="2" t="s">
        <v>2472</v>
      </c>
      <c r="Q375" t="s">
        <v>747</v>
      </c>
    </row>
    <row r="376" spans="1:17" ht="15" customHeight="1" x14ac:dyDescent="0.25">
      <c r="A376" s="41" t="s">
        <v>1233</v>
      </c>
      <c r="B376" s="3" t="s">
        <v>2769</v>
      </c>
      <c r="C376" s="41" t="s">
        <v>1159</v>
      </c>
      <c r="D376">
        <v>3</v>
      </c>
      <c r="E376" t="s">
        <v>1179</v>
      </c>
      <c r="F376" t="s">
        <v>1180</v>
      </c>
      <c r="G376" t="s">
        <v>180</v>
      </c>
      <c r="H376" s="1" t="s">
        <v>976</v>
      </c>
      <c r="I376" s="1">
        <v>490</v>
      </c>
      <c r="J376" s="20">
        <v>0</v>
      </c>
      <c r="K376" s="1">
        <v>90</v>
      </c>
      <c r="L376" s="1">
        <v>0</v>
      </c>
      <c r="M376" s="42" t="s">
        <v>2764</v>
      </c>
      <c r="O376" s="2" t="s">
        <v>2472</v>
      </c>
      <c r="Q376" t="s">
        <v>747</v>
      </c>
    </row>
    <row r="377" spans="1:17" ht="15" customHeight="1" x14ac:dyDescent="0.25">
      <c r="A377" s="3" t="s">
        <v>1234</v>
      </c>
      <c r="B377" s="4" t="s">
        <v>2769</v>
      </c>
      <c r="C377" t="s">
        <v>1159</v>
      </c>
      <c r="D377">
        <v>1</v>
      </c>
      <c r="E377" t="s">
        <v>974</v>
      </c>
      <c r="F377" t="s">
        <v>975</v>
      </c>
      <c r="G377" t="s">
        <v>180</v>
      </c>
      <c r="H377" s="1" t="s">
        <v>976</v>
      </c>
      <c r="I377" s="1">
        <v>490</v>
      </c>
      <c r="J377" s="20">
        <v>8</v>
      </c>
      <c r="K377" s="1">
        <v>90</v>
      </c>
      <c r="L377" s="1">
        <v>720</v>
      </c>
      <c r="M377" s="42" t="s">
        <v>2764</v>
      </c>
      <c r="O377" s="2" t="s">
        <v>2472</v>
      </c>
      <c r="Q377" t="s">
        <v>747</v>
      </c>
    </row>
    <row r="378" spans="1:17" ht="15" customHeight="1" x14ac:dyDescent="0.25">
      <c r="A378" s="41" t="s">
        <v>1234</v>
      </c>
      <c r="B378" s="3" t="s">
        <v>2769</v>
      </c>
      <c r="C378" s="41" t="s">
        <v>1159</v>
      </c>
      <c r="D378">
        <v>3</v>
      </c>
      <c r="E378" t="s">
        <v>1179</v>
      </c>
      <c r="F378" t="s">
        <v>1180</v>
      </c>
      <c r="G378" t="s">
        <v>180</v>
      </c>
      <c r="H378" s="1" t="s">
        <v>976</v>
      </c>
      <c r="I378" s="1">
        <v>490</v>
      </c>
      <c r="J378" s="20">
        <v>0</v>
      </c>
      <c r="K378" s="1">
        <v>90</v>
      </c>
      <c r="L378" s="1">
        <v>0</v>
      </c>
      <c r="M378" s="42" t="s">
        <v>2764</v>
      </c>
      <c r="O378" s="2" t="s">
        <v>2472</v>
      </c>
      <c r="Q378" t="s">
        <v>747</v>
      </c>
    </row>
    <row r="379" spans="1:17" ht="15" customHeight="1" x14ac:dyDescent="0.25">
      <c r="A379" s="3" t="s">
        <v>1235</v>
      </c>
      <c r="B379" s="4" t="s">
        <v>2769</v>
      </c>
      <c r="C379" t="s">
        <v>1159</v>
      </c>
      <c r="D379">
        <v>1</v>
      </c>
      <c r="E379" t="s">
        <v>974</v>
      </c>
      <c r="F379" t="s">
        <v>975</v>
      </c>
      <c r="G379" t="s">
        <v>180</v>
      </c>
      <c r="H379" s="1" t="s">
        <v>976</v>
      </c>
      <c r="I379" s="1">
        <v>490</v>
      </c>
      <c r="J379" s="20">
        <v>2</v>
      </c>
      <c r="K379" s="1">
        <v>90</v>
      </c>
      <c r="L379" s="1">
        <v>180</v>
      </c>
      <c r="M379" s="42" t="s">
        <v>2764</v>
      </c>
      <c r="O379" s="2" t="s">
        <v>2472</v>
      </c>
      <c r="Q379" t="s">
        <v>747</v>
      </c>
    </row>
    <row r="380" spans="1:17" ht="15" customHeight="1" x14ac:dyDescent="0.25">
      <c r="A380" s="41" t="s">
        <v>1235</v>
      </c>
      <c r="B380" s="3" t="s">
        <v>2769</v>
      </c>
      <c r="C380" s="41" t="s">
        <v>1159</v>
      </c>
      <c r="D380">
        <v>3</v>
      </c>
      <c r="E380" t="s">
        <v>1179</v>
      </c>
      <c r="F380" t="s">
        <v>1180</v>
      </c>
      <c r="G380" t="s">
        <v>180</v>
      </c>
      <c r="H380" s="1" t="s">
        <v>976</v>
      </c>
      <c r="I380" s="1">
        <v>490</v>
      </c>
      <c r="J380" s="20">
        <v>0</v>
      </c>
      <c r="K380" s="1">
        <v>90</v>
      </c>
      <c r="L380" s="1">
        <v>0</v>
      </c>
      <c r="M380" s="42" t="s">
        <v>2764</v>
      </c>
      <c r="O380" s="2" t="s">
        <v>2472</v>
      </c>
      <c r="Q380" t="s">
        <v>747</v>
      </c>
    </row>
    <row r="381" spans="1:17" ht="15" customHeight="1" x14ac:dyDescent="0.25">
      <c r="A381" s="3" t="s">
        <v>1236</v>
      </c>
      <c r="B381" s="4" t="s">
        <v>231</v>
      </c>
      <c r="C381" t="s">
        <v>1219</v>
      </c>
      <c r="D381">
        <v>1</v>
      </c>
      <c r="E381" t="s">
        <v>974</v>
      </c>
      <c r="F381" t="s">
        <v>975</v>
      </c>
      <c r="G381" t="s">
        <v>976</v>
      </c>
      <c r="H381" s="1" t="s">
        <v>976</v>
      </c>
      <c r="I381" s="1">
        <v>468</v>
      </c>
      <c r="J381" s="20">
        <v>4</v>
      </c>
      <c r="K381" s="1">
        <v>90.02</v>
      </c>
      <c r="L381" s="1">
        <v>360.08</v>
      </c>
      <c r="M381" s="42" t="s">
        <v>2778</v>
      </c>
      <c r="P381" t="s">
        <v>24</v>
      </c>
      <c r="Q381" t="s">
        <v>231</v>
      </c>
    </row>
    <row r="382" spans="1:17" ht="15" customHeight="1" x14ac:dyDescent="0.25">
      <c r="A382" s="3" t="s">
        <v>1237</v>
      </c>
      <c r="B382" s="4" t="s">
        <v>232</v>
      </c>
      <c r="C382" t="s">
        <v>1219</v>
      </c>
      <c r="D382">
        <v>1</v>
      </c>
      <c r="E382" t="s">
        <v>974</v>
      </c>
      <c r="F382" t="s">
        <v>975</v>
      </c>
      <c r="G382" t="s">
        <v>976</v>
      </c>
      <c r="H382" s="1" t="s">
        <v>976</v>
      </c>
      <c r="I382" s="1">
        <v>468</v>
      </c>
      <c r="J382" s="20">
        <v>8</v>
      </c>
      <c r="K382" s="1">
        <v>90.02</v>
      </c>
      <c r="L382" s="1">
        <v>720.16</v>
      </c>
      <c r="M382" s="42" t="s">
        <v>2778</v>
      </c>
      <c r="P382" t="s">
        <v>25</v>
      </c>
      <c r="Q382" t="s">
        <v>232</v>
      </c>
    </row>
    <row r="383" spans="1:17" ht="15" customHeight="1" x14ac:dyDescent="0.25">
      <c r="A383" s="3" t="s">
        <v>1238</v>
      </c>
      <c r="B383" s="4" t="s">
        <v>233</v>
      </c>
      <c r="C383" t="s">
        <v>1219</v>
      </c>
      <c r="D383">
        <v>1</v>
      </c>
      <c r="E383" t="s">
        <v>974</v>
      </c>
      <c r="F383" t="s">
        <v>975</v>
      </c>
      <c r="G383" t="s">
        <v>976</v>
      </c>
      <c r="H383" s="1" t="s">
        <v>976</v>
      </c>
      <c r="I383" s="1">
        <v>468</v>
      </c>
      <c r="J383" s="20">
        <v>2</v>
      </c>
      <c r="K383" s="1">
        <v>90.02</v>
      </c>
      <c r="L383" s="1">
        <v>180.04</v>
      </c>
      <c r="M383" s="42" t="s">
        <v>2778</v>
      </c>
      <c r="P383" t="s">
        <v>23</v>
      </c>
      <c r="Q383" t="s">
        <v>233</v>
      </c>
    </row>
    <row r="384" spans="1:17" ht="15" customHeight="1" x14ac:dyDescent="0.25">
      <c r="A384" s="3" t="s">
        <v>1239</v>
      </c>
      <c r="B384" s="4" t="s">
        <v>234</v>
      </c>
      <c r="C384" t="s">
        <v>1219</v>
      </c>
      <c r="D384">
        <v>1</v>
      </c>
      <c r="E384" t="s">
        <v>974</v>
      </c>
      <c r="F384" t="s">
        <v>975</v>
      </c>
      <c r="G384" t="s">
        <v>976</v>
      </c>
      <c r="H384" s="1" t="s">
        <v>976</v>
      </c>
      <c r="I384" s="1">
        <v>468</v>
      </c>
      <c r="J384" s="20">
        <v>6</v>
      </c>
      <c r="K384" s="1">
        <v>90.02</v>
      </c>
      <c r="L384" s="1">
        <v>540.12</v>
      </c>
      <c r="M384" s="42" t="s">
        <v>2778</v>
      </c>
      <c r="P384" t="s">
        <v>22</v>
      </c>
      <c r="Q384" t="s">
        <v>234</v>
      </c>
    </row>
    <row r="385" spans="1:17" ht="15" customHeight="1" x14ac:dyDescent="0.25">
      <c r="A385" s="3" t="s">
        <v>1240</v>
      </c>
      <c r="B385" s="4" t="s">
        <v>2780</v>
      </c>
      <c r="C385" t="s">
        <v>1241</v>
      </c>
      <c r="D385">
        <v>1</v>
      </c>
      <c r="E385" t="s">
        <v>974</v>
      </c>
      <c r="F385" t="s">
        <v>975</v>
      </c>
      <c r="G385" t="s">
        <v>180</v>
      </c>
      <c r="H385" s="1" t="s">
        <v>976</v>
      </c>
      <c r="I385" s="1">
        <v>0</v>
      </c>
      <c r="J385" s="20">
        <v>0</v>
      </c>
      <c r="K385" s="1">
        <v>0</v>
      </c>
      <c r="L385" s="1">
        <v>0</v>
      </c>
      <c r="M385" s="42" t="s">
        <v>2779</v>
      </c>
      <c r="O385" s="2" t="s">
        <v>2447</v>
      </c>
      <c r="P385">
        <v>36</v>
      </c>
      <c r="Q385" t="s">
        <v>748</v>
      </c>
    </row>
    <row r="386" spans="1:17" ht="15" customHeight="1" x14ac:dyDescent="0.25">
      <c r="A386" s="3" t="s">
        <v>1242</v>
      </c>
      <c r="B386" s="4" t="s">
        <v>2780</v>
      </c>
      <c r="C386" t="s">
        <v>1241</v>
      </c>
      <c r="D386">
        <v>1</v>
      </c>
      <c r="E386" t="s">
        <v>974</v>
      </c>
      <c r="F386" t="s">
        <v>975</v>
      </c>
      <c r="G386" t="s">
        <v>180</v>
      </c>
      <c r="H386" s="1" t="s">
        <v>976</v>
      </c>
      <c r="I386" s="1">
        <v>0</v>
      </c>
      <c r="J386" s="20">
        <v>0</v>
      </c>
      <c r="K386" s="1">
        <v>0</v>
      </c>
      <c r="L386" s="1">
        <v>0</v>
      </c>
      <c r="M386" s="42" t="s">
        <v>2779</v>
      </c>
      <c r="O386" s="2" t="s">
        <v>2447</v>
      </c>
      <c r="P386">
        <v>38</v>
      </c>
      <c r="Q386" t="s">
        <v>748</v>
      </c>
    </row>
    <row r="387" spans="1:17" ht="15" customHeight="1" x14ac:dyDescent="0.25">
      <c r="A387" s="3" t="s">
        <v>1243</v>
      </c>
      <c r="B387" s="4" t="s">
        <v>2780</v>
      </c>
      <c r="C387" t="s">
        <v>1241</v>
      </c>
      <c r="D387">
        <v>1</v>
      </c>
      <c r="E387" t="s">
        <v>974</v>
      </c>
      <c r="F387" t="s">
        <v>975</v>
      </c>
      <c r="G387" t="s">
        <v>180</v>
      </c>
      <c r="H387" s="1" t="s">
        <v>976</v>
      </c>
      <c r="I387" s="1">
        <v>0</v>
      </c>
      <c r="J387" s="20">
        <v>0</v>
      </c>
      <c r="K387" s="1">
        <v>0</v>
      </c>
      <c r="L387" s="1">
        <v>0</v>
      </c>
      <c r="M387" s="42" t="s">
        <v>2779</v>
      </c>
      <c r="O387" s="2" t="s">
        <v>2447</v>
      </c>
      <c r="P387">
        <v>40</v>
      </c>
      <c r="Q387" t="s">
        <v>748</v>
      </c>
    </row>
    <row r="388" spans="1:17" ht="15" customHeight="1" x14ac:dyDescent="0.25">
      <c r="A388" s="3" t="s">
        <v>1244</v>
      </c>
      <c r="B388" s="4" t="s">
        <v>2780</v>
      </c>
      <c r="C388" t="s">
        <v>1241</v>
      </c>
      <c r="D388">
        <v>1</v>
      </c>
      <c r="E388" t="s">
        <v>974</v>
      </c>
      <c r="F388" t="s">
        <v>975</v>
      </c>
      <c r="G388" t="s">
        <v>180</v>
      </c>
      <c r="H388" s="1" t="s">
        <v>976</v>
      </c>
      <c r="I388" s="1">
        <v>0</v>
      </c>
      <c r="J388" s="20">
        <v>0</v>
      </c>
      <c r="K388" s="1">
        <v>0</v>
      </c>
      <c r="L388" s="1">
        <v>0</v>
      </c>
      <c r="M388" s="42" t="s">
        <v>2779</v>
      </c>
      <c r="O388" s="2" t="s">
        <v>2447</v>
      </c>
      <c r="P388">
        <v>42</v>
      </c>
      <c r="Q388" t="s">
        <v>748</v>
      </c>
    </row>
    <row r="389" spans="1:17" ht="15" customHeight="1" x14ac:dyDescent="0.25">
      <c r="A389" s="3" t="s">
        <v>1245</v>
      </c>
      <c r="B389" s="4" t="s">
        <v>2780</v>
      </c>
      <c r="C389" t="s">
        <v>1241</v>
      </c>
      <c r="D389">
        <v>1</v>
      </c>
      <c r="E389" t="s">
        <v>974</v>
      </c>
      <c r="F389" t="s">
        <v>975</v>
      </c>
      <c r="G389" t="s">
        <v>180</v>
      </c>
      <c r="H389" s="1" t="s">
        <v>976</v>
      </c>
      <c r="I389" s="1">
        <v>0</v>
      </c>
      <c r="J389" s="20">
        <v>0</v>
      </c>
      <c r="K389" s="1">
        <v>0</v>
      </c>
      <c r="L389" s="1">
        <v>0</v>
      </c>
      <c r="M389" s="42" t="s">
        <v>2779</v>
      </c>
      <c r="O389" s="2" t="s">
        <v>2447</v>
      </c>
      <c r="P389">
        <v>44</v>
      </c>
      <c r="Q389" t="s">
        <v>748</v>
      </c>
    </row>
    <row r="390" spans="1:17" ht="15" customHeight="1" x14ac:dyDescent="0.25">
      <c r="A390" s="3" t="s">
        <v>1246</v>
      </c>
      <c r="B390" s="4" t="s">
        <v>2780</v>
      </c>
      <c r="C390" t="s">
        <v>1241</v>
      </c>
      <c r="D390">
        <v>1</v>
      </c>
      <c r="E390" t="s">
        <v>974</v>
      </c>
      <c r="F390" t="s">
        <v>975</v>
      </c>
      <c r="G390" t="s">
        <v>180</v>
      </c>
      <c r="H390" s="1" t="s">
        <v>976</v>
      </c>
      <c r="I390" s="1">
        <v>0</v>
      </c>
      <c r="J390" s="20">
        <v>0</v>
      </c>
      <c r="K390" s="1">
        <v>0</v>
      </c>
      <c r="L390" s="1">
        <v>0</v>
      </c>
      <c r="M390" s="42" t="s">
        <v>2779</v>
      </c>
      <c r="O390" s="2" t="s">
        <v>2447</v>
      </c>
      <c r="P390">
        <v>46</v>
      </c>
      <c r="Q390" t="s">
        <v>748</v>
      </c>
    </row>
    <row r="391" spans="1:17" ht="15" customHeight="1" x14ac:dyDescent="0.25">
      <c r="A391" s="3" t="s">
        <v>1247</v>
      </c>
      <c r="B391" s="4" t="s">
        <v>2780</v>
      </c>
      <c r="C391" t="s">
        <v>1241</v>
      </c>
      <c r="D391">
        <v>1</v>
      </c>
      <c r="E391" t="s">
        <v>974</v>
      </c>
      <c r="F391" t="s">
        <v>975</v>
      </c>
      <c r="G391" t="s">
        <v>976</v>
      </c>
      <c r="H391" s="1" t="s">
        <v>976</v>
      </c>
      <c r="I391" s="1">
        <v>0</v>
      </c>
      <c r="J391" s="20">
        <v>0</v>
      </c>
      <c r="K391" s="1">
        <v>0</v>
      </c>
      <c r="L391" s="1">
        <v>0</v>
      </c>
      <c r="M391" s="42" t="s">
        <v>2779</v>
      </c>
      <c r="O391" s="2" t="s">
        <v>2443</v>
      </c>
      <c r="P391">
        <v>36</v>
      </c>
      <c r="Q391" t="s">
        <v>749</v>
      </c>
    </row>
    <row r="392" spans="1:17" ht="15" customHeight="1" x14ac:dyDescent="0.25">
      <c r="A392" s="3" t="s">
        <v>1248</v>
      </c>
      <c r="B392" s="4" t="s">
        <v>2780</v>
      </c>
      <c r="C392" t="s">
        <v>1241</v>
      </c>
      <c r="D392">
        <v>1</v>
      </c>
      <c r="E392" t="s">
        <v>974</v>
      </c>
      <c r="F392" t="s">
        <v>975</v>
      </c>
      <c r="G392" t="s">
        <v>976</v>
      </c>
      <c r="H392" s="1" t="s">
        <v>976</v>
      </c>
      <c r="I392" s="1">
        <v>0</v>
      </c>
      <c r="J392" s="20">
        <v>0</v>
      </c>
      <c r="K392" s="1">
        <v>0</v>
      </c>
      <c r="L392" s="1">
        <v>0</v>
      </c>
      <c r="M392" s="42" t="s">
        <v>2779</v>
      </c>
      <c r="O392" s="2" t="s">
        <v>2443</v>
      </c>
      <c r="P392">
        <v>38</v>
      </c>
      <c r="Q392" t="s">
        <v>749</v>
      </c>
    </row>
    <row r="393" spans="1:17" ht="15" customHeight="1" x14ac:dyDescent="0.25">
      <c r="A393" s="3" t="s">
        <v>1249</v>
      </c>
      <c r="B393" s="4" t="s">
        <v>2780</v>
      </c>
      <c r="C393" t="s">
        <v>1241</v>
      </c>
      <c r="D393">
        <v>1</v>
      </c>
      <c r="E393" t="s">
        <v>974</v>
      </c>
      <c r="F393" t="s">
        <v>975</v>
      </c>
      <c r="G393" t="s">
        <v>976</v>
      </c>
      <c r="H393" s="1" t="s">
        <v>976</v>
      </c>
      <c r="I393" s="1">
        <v>0</v>
      </c>
      <c r="J393" s="20">
        <v>0</v>
      </c>
      <c r="K393" s="1">
        <v>0</v>
      </c>
      <c r="L393" s="1">
        <v>0</v>
      </c>
      <c r="M393" s="42" t="s">
        <v>2779</v>
      </c>
      <c r="O393" s="2" t="s">
        <v>2443</v>
      </c>
      <c r="P393">
        <v>40</v>
      </c>
      <c r="Q393" t="s">
        <v>749</v>
      </c>
    </row>
    <row r="394" spans="1:17" ht="15" customHeight="1" x14ac:dyDescent="0.25">
      <c r="A394" s="3" t="s">
        <v>1250</v>
      </c>
      <c r="B394" s="4" t="s">
        <v>2780</v>
      </c>
      <c r="C394" t="s">
        <v>1241</v>
      </c>
      <c r="D394">
        <v>1</v>
      </c>
      <c r="E394" t="s">
        <v>974</v>
      </c>
      <c r="F394" t="s">
        <v>975</v>
      </c>
      <c r="G394" t="s">
        <v>976</v>
      </c>
      <c r="H394" s="1" t="s">
        <v>976</v>
      </c>
      <c r="I394" s="1">
        <v>0</v>
      </c>
      <c r="J394" s="20">
        <v>0</v>
      </c>
      <c r="K394" s="1">
        <v>0</v>
      </c>
      <c r="L394" s="1">
        <v>0</v>
      </c>
      <c r="M394" s="42" t="s">
        <v>2779</v>
      </c>
      <c r="O394" s="2" t="s">
        <v>2443</v>
      </c>
      <c r="P394">
        <v>42</v>
      </c>
      <c r="Q394" t="s">
        <v>749</v>
      </c>
    </row>
    <row r="395" spans="1:17" ht="15" customHeight="1" x14ac:dyDescent="0.25">
      <c r="A395" s="3" t="s">
        <v>1251</v>
      </c>
      <c r="B395" s="4" t="s">
        <v>2780</v>
      </c>
      <c r="C395" t="s">
        <v>1241</v>
      </c>
      <c r="D395">
        <v>1</v>
      </c>
      <c r="E395" t="s">
        <v>974</v>
      </c>
      <c r="F395" t="s">
        <v>975</v>
      </c>
      <c r="G395" t="s">
        <v>976</v>
      </c>
      <c r="H395" s="1" t="s">
        <v>976</v>
      </c>
      <c r="I395" s="1">
        <v>0</v>
      </c>
      <c r="J395" s="20">
        <v>0</v>
      </c>
      <c r="K395" s="1">
        <v>0</v>
      </c>
      <c r="L395" s="1">
        <v>0</v>
      </c>
      <c r="M395" s="42" t="s">
        <v>2779</v>
      </c>
      <c r="O395" s="2" t="s">
        <v>2443</v>
      </c>
      <c r="P395">
        <v>44</v>
      </c>
      <c r="Q395" t="s">
        <v>749</v>
      </c>
    </row>
    <row r="396" spans="1:17" ht="15" customHeight="1" x14ac:dyDescent="0.25">
      <c r="A396" s="3" t="s">
        <v>1252</v>
      </c>
      <c r="B396" s="4" t="s">
        <v>2780</v>
      </c>
      <c r="C396" t="s">
        <v>1241</v>
      </c>
      <c r="D396">
        <v>1</v>
      </c>
      <c r="E396" t="s">
        <v>974</v>
      </c>
      <c r="F396" t="s">
        <v>975</v>
      </c>
      <c r="G396" t="s">
        <v>976</v>
      </c>
      <c r="H396" s="1" t="s">
        <v>976</v>
      </c>
      <c r="I396" s="1">
        <v>0</v>
      </c>
      <c r="J396" s="20">
        <v>0</v>
      </c>
      <c r="K396" s="1">
        <v>0</v>
      </c>
      <c r="L396" s="1">
        <v>0</v>
      </c>
      <c r="M396" s="42" t="s">
        <v>2779</v>
      </c>
      <c r="O396" s="2" t="s">
        <v>2443</v>
      </c>
      <c r="P396">
        <v>46</v>
      </c>
      <c r="Q396" t="s">
        <v>749</v>
      </c>
    </row>
    <row r="397" spans="1:17" ht="15" customHeight="1" x14ac:dyDescent="0.25">
      <c r="A397" s="3" t="s">
        <v>1253</v>
      </c>
      <c r="B397" s="4" t="s">
        <v>2782</v>
      </c>
      <c r="C397" t="s">
        <v>1254</v>
      </c>
      <c r="D397">
        <v>1</v>
      </c>
      <c r="E397" t="s">
        <v>974</v>
      </c>
      <c r="F397" t="s">
        <v>975</v>
      </c>
      <c r="G397" t="s">
        <v>976</v>
      </c>
      <c r="H397" s="1" t="s">
        <v>976</v>
      </c>
      <c r="I397" s="1">
        <v>460</v>
      </c>
      <c r="J397" s="20">
        <v>8</v>
      </c>
      <c r="K397" s="1">
        <v>85</v>
      </c>
      <c r="L397" s="1">
        <v>680</v>
      </c>
      <c r="M397" s="42" t="s">
        <v>2781</v>
      </c>
      <c r="O397" s="2" t="s">
        <v>2443</v>
      </c>
      <c r="P397" t="s">
        <v>24</v>
      </c>
      <c r="Q397" t="s">
        <v>750</v>
      </c>
    </row>
    <row r="398" spans="1:17" ht="15" customHeight="1" x14ac:dyDescent="0.25">
      <c r="A398" s="3" t="s">
        <v>1255</v>
      </c>
      <c r="B398" s="4" t="s">
        <v>2782</v>
      </c>
      <c r="C398" t="s">
        <v>1254</v>
      </c>
      <c r="D398">
        <v>1</v>
      </c>
      <c r="E398" t="s">
        <v>974</v>
      </c>
      <c r="F398" t="s">
        <v>975</v>
      </c>
      <c r="G398" t="s">
        <v>976</v>
      </c>
      <c r="H398" s="1" t="s">
        <v>976</v>
      </c>
      <c r="I398" s="1">
        <v>460</v>
      </c>
      <c r="J398" s="20">
        <v>2</v>
      </c>
      <c r="K398" s="1">
        <v>85</v>
      </c>
      <c r="L398" s="1">
        <v>170</v>
      </c>
      <c r="M398" s="42" t="s">
        <v>2781</v>
      </c>
      <c r="O398" s="2" t="s">
        <v>2443</v>
      </c>
      <c r="P398" t="s">
        <v>25</v>
      </c>
      <c r="Q398" t="s">
        <v>750</v>
      </c>
    </row>
    <row r="399" spans="1:17" ht="15" customHeight="1" x14ac:dyDescent="0.25">
      <c r="A399" s="3" t="s">
        <v>1256</v>
      </c>
      <c r="B399" s="4" t="s">
        <v>2782</v>
      </c>
      <c r="C399" t="s">
        <v>1254</v>
      </c>
      <c r="D399">
        <v>1</v>
      </c>
      <c r="E399" t="s">
        <v>974</v>
      </c>
      <c r="F399" t="s">
        <v>975</v>
      </c>
      <c r="G399" t="s">
        <v>976</v>
      </c>
      <c r="H399" s="1" t="s">
        <v>976</v>
      </c>
      <c r="I399" s="1">
        <v>460</v>
      </c>
      <c r="J399" s="20">
        <v>19</v>
      </c>
      <c r="K399" s="1">
        <v>85</v>
      </c>
      <c r="L399" s="1">
        <v>1615</v>
      </c>
      <c r="M399" s="42" t="s">
        <v>2781</v>
      </c>
      <c r="O399" s="2" t="s">
        <v>2443</v>
      </c>
      <c r="P399" t="s">
        <v>23</v>
      </c>
      <c r="Q399" t="s">
        <v>750</v>
      </c>
    </row>
    <row r="400" spans="1:17" ht="15" customHeight="1" x14ac:dyDescent="0.25">
      <c r="A400" s="3" t="s">
        <v>1257</v>
      </c>
      <c r="B400" s="4" t="s">
        <v>2782</v>
      </c>
      <c r="C400" t="s">
        <v>1254</v>
      </c>
      <c r="D400">
        <v>1</v>
      </c>
      <c r="E400" t="s">
        <v>974</v>
      </c>
      <c r="F400" t="s">
        <v>975</v>
      </c>
      <c r="G400" t="s">
        <v>976</v>
      </c>
      <c r="H400" s="1" t="s">
        <v>976</v>
      </c>
      <c r="I400" s="1">
        <v>460</v>
      </c>
      <c r="J400" s="20">
        <v>8</v>
      </c>
      <c r="K400" s="1">
        <v>85</v>
      </c>
      <c r="L400" s="1">
        <v>680</v>
      </c>
      <c r="M400" s="42" t="s">
        <v>2781</v>
      </c>
      <c r="O400" s="2" t="s">
        <v>2443</v>
      </c>
      <c r="P400" t="s">
        <v>22</v>
      </c>
      <c r="Q400" t="s">
        <v>750</v>
      </c>
    </row>
    <row r="401" spans="1:17" ht="15" customHeight="1" x14ac:dyDescent="0.25">
      <c r="A401" s="3" t="s">
        <v>1258</v>
      </c>
      <c r="B401" s="4" t="s">
        <v>2782</v>
      </c>
      <c r="C401" t="s">
        <v>1254</v>
      </c>
      <c r="D401">
        <v>1</v>
      </c>
      <c r="E401" t="s">
        <v>974</v>
      </c>
      <c r="F401" t="s">
        <v>975</v>
      </c>
      <c r="G401" t="s">
        <v>976</v>
      </c>
      <c r="H401" s="1" t="s">
        <v>976</v>
      </c>
      <c r="I401" s="1">
        <v>460</v>
      </c>
      <c r="J401" s="20">
        <v>7</v>
      </c>
      <c r="K401" s="1">
        <v>85</v>
      </c>
      <c r="L401" s="1">
        <v>595</v>
      </c>
      <c r="M401" s="42" t="s">
        <v>2781</v>
      </c>
      <c r="O401" s="2" t="s">
        <v>2443</v>
      </c>
      <c r="P401" t="s">
        <v>21</v>
      </c>
      <c r="Q401" t="s">
        <v>750</v>
      </c>
    </row>
    <row r="402" spans="1:17" ht="15" customHeight="1" x14ac:dyDescent="0.25">
      <c r="A402" s="3" t="s">
        <v>1259</v>
      </c>
      <c r="B402" s="4" t="s">
        <v>2782</v>
      </c>
      <c r="C402" t="s">
        <v>1254</v>
      </c>
      <c r="D402">
        <v>1</v>
      </c>
      <c r="E402" t="s">
        <v>974</v>
      </c>
      <c r="F402" t="s">
        <v>975</v>
      </c>
      <c r="G402" t="s">
        <v>976</v>
      </c>
      <c r="H402" s="1" t="s">
        <v>976</v>
      </c>
      <c r="I402" s="1">
        <v>460</v>
      </c>
      <c r="J402" s="20">
        <v>4</v>
      </c>
      <c r="K402" s="1">
        <v>85</v>
      </c>
      <c r="L402" s="1">
        <v>340</v>
      </c>
      <c r="M402" s="42" t="s">
        <v>2781</v>
      </c>
      <c r="O402" s="2" t="s">
        <v>2443</v>
      </c>
      <c r="Q402" t="s">
        <v>750</v>
      </c>
    </row>
    <row r="403" spans="1:17" ht="15" customHeight="1" x14ac:dyDescent="0.25">
      <c r="A403" s="3" t="s">
        <v>1260</v>
      </c>
      <c r="B403" s="4" t="s">
        <v>235</v>
      </c>
      <c r="C403" t="s">
        <v>1254</v>
      </c>
      <c r="D403">
        <v>1</v>
      </c>
      <c r="E403" t="s">
        <v>974</v>
      </c>
      <c r="F403" t="s">
        <v>975</v>
      </c>
      <c r="G403" t="s">
        <v>976</v>
      </c>
      <c r="H403" s="1" t="s">
        <v>976</v>
      </c>
      <c r="I403" s="1">
        <v>460</v>
      </c>
      <c r="J403" s="20">
        <v>1</v>
      </c>
      <c r="K403" s="1">
        <v>83.3</v>
      </c>
      <c r="L403" s="1">
        <v>83.3</v>
      </c>
      <c r="M403" s="42" t="s">
        <v>2781</v>
      </c>
      <c r="P403" t="s">
        <v>24</v>
      </c>
      <c r="Q403" t="s">
        <v>235</v>
      </c>
    </row>
    <row r="404" spans="1:17" ht="15" customHeight="1" x14ac:dyDescent="0.25">
      <c r="A404" s="3" t="s">
        <v>1261</v>
      </c>
      <c r="B404" s="4" t="s">
        <v>236</v>
      </c>
      <c r="C404" t="s">
        <v>1254</v>
      </c>
      <c r="D404">
        <v>1</v>
      </c>
      <c r="E404" t="s">
        <v>974</v>
      </c>
      <c r="F404" t="s">
        <v>975</v>
      </c>
      <c r="G404" t="s">
        <v>976</v>
      </c>
      <c r="H404" s="1" t="s">
        <v>976</v>
      </c>
      <c r="I404" s="1">
        <v>460</v>
      </c>
      <c r="J404" s="20">
        <v>1</v>
      </c>
      <c r="K404" s="1">
        <v>83.8</v>
      </c>
      <c r="L404" s="1">
        <v>83.8</v>
      </c>
      <c r="M404" s="42" t="s">
        <v>2781</v>
      </c>
      <c r="P404" t="s">
        <v>25</v>
      </c>
      <c r="Q404" t="s">
        <v>236</v>
      </c>
    </row>
    <row r="405" spans="1:17" ht="15" customHeight="1" x14ac:dyDescent="0.25">
      <c r="A405" s="3" t="s">
        <v>1262</v>
      </c>
      <c r="B405" s="4" t="s">
        <v>237</v>
      </c>
      <c r="C405" t="s">
        <v>1254</v>
      </c>
      <c r="D405">
        <v>1</v>
      </c>
      <c r="E405" t="s">
        <v>974</v>
      </c>
      <c r="F405" t="s">
        <v>975</v>
      </c>
      <c r="G405" t="s">
        <v>976</v>
      </c>
      <c r="H405" s="1" t="s">
        <v>976</v>
      </c>
      <c r="I405" s="1">
        <v>460</v>
      </c>
      <c r="J405" s="20">
        <v>0</v>
      </c>
      <c r="K405" s="1">
        <v>83.8</v>
      </c>
      <c r="L405" s="1">
        <v>0</v>
      </c>
      <c r="M405" s="42" t="s">
        <v>2781</v>
      </c>
      <c r="P405" t="s">
        <v>22</v>
      </c>
      <c r="Q405" t="s">
        <v>237</v>
      </c>
    </row>
    <row r="406" spans="1:17" ht="15" customHeight="1" x14ac:dyDescent="0.25">
      <c r="A406" s="3" t="s">
        <v>1263</v>
      </c>
      <c r="B406" s="4" t="s">
        <v>238</v>
      </c>
      <c r="C406" t="s">
        <v>1254</v>
      </c>
      <c r="D406">
        <v>1</v>
      </c>
      <c r="E406" t="s">
        <v>974</v>
      </c>
      <c r="F406" t="s">
        <v>975</v>
      </c>
      <c r="G406" t="s">
        <v>976</v>
      </c>
      <c r="H406" s="1" t="s">
        <v>976</v>
      </c>
      <c r="I406" s="1">
        <v>460</v>
      </c>
      <c r="J406" s="20">
        <v>0</v>
      </c>
      <c r="K406" s="1">
        <v>83.8</v>
      </c>
      <c r="L406" s="1">
        <v>0</v>
      </c>
      <c r="M406" s="42" t="s">
        <v>2781</v>
      </c>
      <c r="P406" t="s">
        <v>21</v>
      </c>
      <c r="Q406" t="s">
        <v>238</v>
      </c>
    </row>
    <row r="407" spans="1:17" ht="15" customHeight="1" x14ac:dyDescent="0.25">
      <c r="A407" s="3" t="s">
        <v>1264</v>
      </c>
      <c r="B407" s="4" t="s">
        <v>239</v>
      </c>
      <c r="C407" t="s">
        <v>1254</v>
      </c>
      <c r="D407">
        <v>1</v>
      </c>
      <c r="E407" t="s">
        <v>974</v>
      </c>
      <c r="F407" t="s">
        <v>975</v>
      </c>
      <c r="G407" t="s">
        <v>976</v>
      </c>
      <c r="H407" s="1" t="s">
        <v>976</v>
      </c>
      <c r="I407" s="1">
        <v>460</v>
      </c>
      <c r="J407" s="20">
        <v>6</v>
      </c>
      <c r="K407" s="1">
        <v>83.8</v>
      </c>
      <c r="L407" s="1">
        <v>502.8</v>
      </c>
      <c r="M407" s="42" t="s">
        <v>2781</v>
      </c>
      <c r="P407" t="s">
        <v>23</v>
      </c>
      <c r="Q407" t="s">
        <v>239</v>
      </c>
    </row>
    <row r="408" spans="1:17" ht="15" customHeight="1" x14ac:dyDescent="0.25">
      <c r="A408" s="3" t="s">
        <v>1265</v>
      </c>
      <c r="B408" s="4" t="s">
        <v>2783</v>
      </c>
      <c r="C408" t="s">
        <v>1266</v>
      </c>
      <c r="D408">
        <v>1</v>
      </c>
      <c r="E408" t="s">
        <v>974</v>
      </c>
      <c r="F408" t="s">
        <v>975</v>
      </c>
      <c r="G408" t="s">
        <v>180</v>
      </c>
      <c r="H408" s="1" t="s">
        <v>976</v>
      </c>
      <c r="I408" s="1">
        <v>710</v>
      </c>
      <c r="J408" s="20">
        <v>0</v>
      </c>
      <c r="K408" s="1">
        <v>0</v>
      </c>
      <c r="L408" s="1">
        <v>0</v>
      </c>
      <c r="M408" s="42" t="s">
        <v>2781</v>
      </c>
      <c r="O408" s="2" t="s">
        <v>2443</v>
      </c>
      <c r="Q408" t="s">
        <v>751</v>
      </c>
    </row>
    <row r="409" spans="1:17" ht="15" customHeight="1" x14ac:dyDescent="0.25">
      <c r="A409" s="3" t="s">
        <v>1267</v>
      </c>
      <c r="B409" s="4" t="s">
        <v>2784</v>
      </c>
      <c r="C409" t="s">
        <v>1254</v>
      </c>
      <c r="D409">
        <v>1</v>
      </c>
      <c r="E409" t="s">
        <v>974</v>
      </c>
      <c r="F409" t="s">
        <v>975</v>
      </c>
      <c r="G409" t="s">
        <v>976</v>
      </c>
      <c r="H409" s="1" t="s">
        <v>976</v>
      </c>
      <c r="I409" s="1">
        <v>0</v>
      </c>
      <c r="J409" s="20">
        <v>2</v>
      </c>
      <c r="K409" s="1">
        <v>0</v>
      </c>
      <c r="L409" s="1">
        <v>0</v>
      </c>
      <c r="M409" s="42" t="s">
        <v>2781</v>
      </c>
      <c r="O409" s="2" t="s">
        <v>2467</v>
      </c>
      <c r="P409" t="s">
        <v>24</v>
      </c>
      <c r="Q409" t="s">
        <v>752</v>
      </c>
    </row>
    <row r="410" spans="1:17" ht="15" customHeight="1" x14ac:dyDescent="0.25">
      <c r="A410" s="3" t="s">
        <v>1268</v>
      </c>
      <c r="B410" s="4" t="s">
        <v>2784</v>
      </c>
      <c r="C410" t="s">
        <v>1254</v>
      </c>
      <c r="D410">
        <v>1</v>
      </c>
      <c r="E410" t="s">
        <v>974</v>
      </c>
      <c r="F410" t="s">
        <v>975</v>
      </c>
      <c r="G410" t="s">
        <v>976</v>
      </c>
      <c r="H410" s="1" t="s">
        <v>976</v>
      </c>
      <c r="I410" s="1">
        <v>0</v>
      </c>
      <c r="J410" s="20">
        <v>2</v>
      </c>
      <c r="K410" s="1">
        <v>0</v>
      </c>
      <c r="L410" s="1">
        <v>0</v>
      </c>
      <c r="M410" s="42" t="s">
        <v>2781</v>
      </c>
      <c r="O410" s="2" t="s">
        <v>2467</v>
      </c>
      <c r="P410" t="s">
        <v>23</v>
      </c>
      <c r="Q410" t="s">
        <v>752</v>
      </c>
    </row>
    <row r="411" spans="1:17" ht="15" customHeight="1" x14ac:dyDescent="0.25">
      <c r="A411" s="3" t="s">
        <v>1269</v>
      </c>
      <c r="B411" s="4" t="s">
        <v>753</v>
      </c>
      <c r="C411" t="s">
        <v>1241</v>
      </c>
      <c r="D411">
        <v>1</v>
      </c>
      <c r="E411" t="s">
        <v>974</v>
      </c>
      <c r="F411" t="s">
        <v>975</v>
      </c>
      <c r="G411" t="s">
        <v>976</v>
      </c>
      <c r="H411" s="1" t="s">
        <v>976</v>
      </c>
      <c r="I411" s="1">
        <v>2300</v>
      </c>
      <c r="J411" s="20">
        <v>-1</v>
      </c>
      <c r="K411" s="1">
        <v>0</v>
      </c>
      <c r="L411" s="1">
        <v>0</v>
      </c>
      <c r="M411" s="42" t="s">
        <v>2785</v>
      </c>
      <c r="N411" s="1" t="s">
        <v>2616</v>
      </c>
      <c r="Q411" t="s">
        <v>753</v>
      </c>
    </row>
    <row r="412" spans="1:17" ht="15" customHeight="1" x14ac:dyDescent="0.25">
      <c r="A412" s="41" t="s">
        <v>1269</v>
      </c>
      <c r="B412" s="3" t="s">
        <v>753</v>
      </c>
      <c r="C412" s="41" t="s">
        <v>1241</v>
      </c>
      <c r="D412">
        <v>4</v>
      </c>
      <c r="E412" t="s">
        <v>1018</v>
      </c>
      <c r="F412" t="s">
        <v>975</v>
      </c>
      <c r="G412" t="s">
        <v>976</v>
      </c>
      <c r="H412" s="1" t="s">
        <v>976</v>
      </c>
      <c r="I412" s="1">
        <v>2300</v>
      </c>
      <c r="J412" s="20">
        <v>1</v>
      </c>
      <c r="K412" s="1">
        <v>0.1</v>
      </c>
      <c r="L412" s="1">
        <v>0.1</v>
      </c>
      <c r="M412" s="42" t="s">
        <v>2785</v>
      </c>
      <c r="N412" s="1" t="s">
        <v>2616</v>
      </c>
      <c r="Q412" t="s">
        <v>753</v>
      </c>
    </row>
    <row r="413" spans="1:17" ht="15" customHeight="1" x14ac:dyDescent="0.25">
      <c r="A413" s="3" t="s">
        <v>1270</v>
      </c>
      <c r="B413" s="4" t="s">
        <v>240</v>
      </c>
      <c r="C413" t="s">
        <v>1241</v>
      </c>
      <c r="D413">
        <v>1</v>
      </c>
      <c r="E413" t="s">
        <v>974</v>
      </c>
      <c r="F413" t="s">
        <v>975</v>
      </c>
      <c r="G413" t="s">
        <v>976</v>
      </c>
      <c r="H413" s="1" t="s">
        <v>976</v>
      </c>
      <c r="I413" s="1">
        <v>2300</v>
      </c>
      <c r="J413" s="20">
        <v>1</v>
      </c>
      <c r="K413" s="1">
        <v>399</v>
      </c>
      <c r="L413" s="1">
        <v>399</v>
      </c>
      <c r="M413" s="42" t="s">
        <v>2785</v>
      </c>
      <c r="P413" t="s">
        <v>24</v>
      </c>
      <c r="Q413" t="s">
        <v>240</v>
      </c>
    </row>
    <row r="414" spans="1:17" ht="15" customHeight="1" x14ac:dyDescent="0.25">
      <c r="A414" s="3" t="s">
        <v>1271</v>
      </c>
      <c r="B414" s="4" t="s">
        <v>241</v>
      </c>
      <c r="C414" t="s">
        <v>1241</v>
      </c>
      <c r="D414">
        <v>1</v>
      </c>
      <c r="E414" t="s">
        <v>974</v>
      </c>
      <c r="F414" t="s">
        <v>975</v>
      </c>
      <c r="G414" t="s">
        <v>976</v>
      </c>
      <c r="H414" s="1" t="s">
        <v>976</v>
      </c>
      <c r="I414" s="1">
        <v>2300</v>
      </c>
      <c r="J414" s="20">
        <v>4</v>
      </c>
      <c r="K414" s="1">
        <v>319.2</v>
      </c>
      <c r="L414" s="1">
        <v>1276.8</v>
      </c>
      <c r="M414" s="42" t="s">
        <v>2785</v>
      </c>
      <c r="P414" t="s">
        <v>23</v>
      </c>
      <c r="Q414" t="s">
        <v>241</v>
      </c>
    </row>
    <row r="415" spans="1:17" ht="15" customHeight="1" x14ac:dyDescent="0.25">
      <c r="A415" s="3" t="s">
        <v>1272</v>
      </c>
      <c r="B415" s="4" t="s">
        <v>242</v>
      </c>
      <c r="C415" t="s">
        <v>1241</v>
      </c>
      <c r="D415">
        <v>1</v>
      </c>
      <c r="E415" t="s">
        <v>974</v>
      </c>
      <c r="F415" t="s">
        <v>975</v>
      </c>
      <c r="G415" t="s">
        <v>976</v>
      </c>
      <c r="H415" s="1" t="s">
        <v>976</v>
      </c>
      <c r="I415" s="1">
        <v>2300</v>
      </c>
      <c r="J415" s="20">
        <v>6</v>
      </c>
      <c r="K415" s="1">
        <v>399</v>
      </c>
      <c r="L415" s="1">
        <v>2394</v>
      </c>
      <c r="M415" s="42" t="s">
        <v>2785</v>
      </c>
      <c r="P415" t="s">
        <v>22</v>
      </c>
      <c r="Q415" t="s">
        <v>242</v>
      </c>
    </row>
    <row r="416" spans="1:17" ht="15" customHeight="1" x14ac:dyDescent="0.25">
      <c r="A416" s="3" t="s">
        <v>1273</v>
      </c>
      <c r="B416" s="4" t="s">
        <v>243</v>
      </c>
      <c r="C416" t="s">
        <v>1241</v>
      </c>
      <c r="D416">
        <v>1</v>
      </c>
      <c r="E416" t="s">
        <v>974</v>
      </c>
      <c r="F416" t="s">
        <v>975</v>
      </c>
      <c r="G416" t="s">
        <v>976</v>
      </c>
      <c r="H416" s="1" t="s">
        <v>976</v>
      </c>
      <c r="I416" s="1">
        <v>2300</v>
      </c>
      <c r="J416" s="20">
        <v>2</v>
      </c>
      <c r="K416" s="1">
        <v>399</v>
      </c>
      <c r="L416" s="1">
        <v>798</v>
      </c>
      <c r="M416" s="42" t="s">
        <v>2785</v>
      </c>
      <c r="P416" t="s">
        <v>21</v>
      </c>
      <c r="Q416" t="s">
        <v>243</v>
      </c>
    </row>
    <row r="417" spans="1:17" ht="15" customHeight="1" x14ac:dyDescent="0.25">
      <c r="A417" s="3" t="s">
        <v>1274</v>
      </c>
      <c r="B417" s="4" t="s">
        <v>2786</v>
      </c>
      <c r="C417" t="s">
        <v>1241</v>
      </c>
      <c r="D417">
        <v>1</v>
      </c>
      <c r="E417" t="s">
        <v>974</v>
      </c>
      <c r="F417" t="s">
        <v>975</v>
      </c>
      <c r="G417" t="s">
        <v>976</v>
      </c>
      <c r="H417" s="1" t="s">
        <v>976</v>
      </c>
      <c r="I417" s="1">
        <v>2300</v>
      </c>
      <c r="J417" s="20">
        <v>1</v>
      </c>
      <c r="K417" s="1">
        <v>391</v>
      </c>
      <c r="L417" s="1">
        <v>391</v>
      </c>
      <c r="M417" s="42" t="s">
        <v>2785</v>
      </c>
      <c r="O417" s="2" t="s">
        <v>2472</v>
      </c>
      <c r="P417" t="s">
        <v>24</v>
      </c>
      <c r="Q417" t="s">
        <v>754</v>
      </c>
    </row>
    <row r="418" spans="1:17" ht="15" customHeight="1" x14ac:dyDescent="0.25">
      <c r="A418" s="3" t="s">
        <v>1275</v>
      </c>
      <c r="B418" s="4" t="s">
        <v>2786</v>
      </c>
      <c r="C418" t="s">
        <v>1241</v>
      </c>
      <c r="D418">
        <v>1</v>
      </c>
      <c r="E418" t="s">
        <v>974</v>
      </c>
      <c r="F418" t="s">
        <v>975</v>
      </c>
      <c r="G418" t="s">
        <v>976</v>
      </c>
      <c r="H418" s="1" t="s">
        <v>976</v>
      </c>
      <c r="I418" s="1">
        <v>2300</v>
      </c>
      <c r="J418" s="20">
        <v>3</v>
      </c>
      <c r="K418" s="1">
        <v>312.8</v>
      </c>
      <c r="L418" s="1">
        <v>938.4</v>
      </c>
      <c r="M418" s="42" t="s">
        <v>2785</v>
      </c>
      <c r="O418" s="2" t="s">
        <v>2472</v>
      </c>
      <c r="P418" t="s">
        <v>23</v>
      </c>
      <c r="Q418" t="s">
        <v>754</v>
      </c>
    </row>
    <row r="419" spans="1:17" ht="15" customHeight="1" x14ac:dyDescent="0.25">
      <c r="A419" s="3" t="s">
        <v>1276</v>
      </c>
      <c r="B419" s="4" t="s">
        <v>2786</v>
      </c>
      <c r="C419" t="s">
        <v>1241</v>
      </c>
      <c r="D419">
        <v>1</v>
      </c>
      <c r="E419" t="s">
        <v>974</v>
      </c>
      <c r="F419" t="s">
        <v>975</v>
      </c>
      <c r="G419" t="s">
        <v>976</v>
      </c>
      <c r="H419" s="1" t="s">
        <v>976</v>
      </c>
      <c r="I419" s="1">
        <v>2300</v>
      </c>
      <c r="J419" s="20">
        <v>5</v>
      </c>
      <c r="K419" s="1">
        <v>391</v>
      </c>
      <c r="L419" s="1">
        <v>1955</v>
      </c>
      <c r="M419" s="42" t="s">
        <v>2785</v>
      </c>
      <c r="O419" s="2" t="s">
        <v>2472</v>
      </c>
      <c r="P419" t="s">
        <v>22</v>
      </c>
      <c r="Q419" t="s">
        <v>754</v>
      </c>
    </row>
    <row r="420" spans="1:17" ht="15" customHeight="1" x14ac:dyDescent="0.25">
      <c r="A420" s="3" t="s">
        <v>1277</v>
      </c>
      <c r="B420" s="4" t="s">
        <v>2786</v>
      </c>
      <c r="C420" t="s">
        <v>1241</v>
      </c>
      <c r="D420">
        <v>1</v>
      </c>
      <c r="E420" t="s">
        <v>974</v>
      </c>
      <c r="F420" t="s">
        <v>975</v>
      </c>
      <c r="G420" t="s">
        <v>976</v>
      </c>
      <c r="H420" s="1" t="s">
        <v>976</v>
      </c>
      <c r="I420" s="1">
        <v>2300</v>
      </c>
      <c r="J420" s="20">
        <v>2</v>
      </c>
      <c r="K420" s="1">
        <v>391</v>
      </c>
      <c r="L420" s="1">
        <v>782</v>
      </c>
      <c r="M420" s="42" t="s">
        <v>2785</v>
      </c>
      <c r="O420" s="2" t="s">
        <v>2472</v>
      </c>
      <c r="P420" t="s">
        <v>21</v>
      </c>
      <c r="Q420" t="s">
        <v>754</v>
      </c>
    </row>
    <row r="421" spans="1:17" ht="15" customHeight="1" x14ac:dyDescent="0.25">
      <c r="A421" s="3" t="s">
        <v>1278</v>
      </c>
      <c r="B421" s="4" t="s">
        <v>2787</v>
      </c>
      <c r="C421" t="s">
        <v>1241</v>
      </c>
      <c r="D421">
        <v>1</v>
      </c>
      <c r="E421" t="s">
        <v>974</v>
      </c>
      <c r="F421" t="s">
        <v>975</v>
      </c>
      <c r="G421" t="s">
        <v>976</v>
      </c>
      <c r="H421" s="1" t="s">
        <v>976</v>
      </c>
      <c r="I421" s="1">
        <v>1840</v>
      </c>
      <c r="J421" s="20">
        <v>1</v>
      </c>
      <c r="K421" s="1">
        <v>330</v>
      </c>
      <c r="L421" s="1">
        <v>330</v>
      </c>
      <c r="M421" s="42" t="s">
        <v>2785</v>
      </c>
      <c r="O421" s="2" t="s">
        <v>2447</v>
      </c>
      <c r="Q421" t="s">
        <v>755</v>
      </c>
    </row>
    <row r="422" spans="1:17" ht="15" customHeight="1" x14ac:dyDescent="0.25">
      <c r="A422" s="3" t="s">
        <v>1279</v>
      </c>
      <c r="B422" s="4" t="s">
        <v>2787</v>
      </c>
      <c r="C422" t="s">
        <v>1241</v>
      </c>
      <c r="D422">
        <v>1</v>
      </c>
      <c r="E422" t="s">
        <v>974</v>
      </c>
      <c r="F422" t="s">
        <v>975</v>
      </c>
      <c r="G422" t="s">
        <v>976</v>
      </c>
      <c r="H422" s="1" t="s">
        <v>976</v>
      </c>
      <c r="I422" s="1">
        <v>1840</v>
      </c>
      <c r="J422" s="20">
        <v>2</v>
      </c>
      <c r="K422" s="1">
        <v>198</v>
      </c>
      <c r="L422" s="1">
        <v>396</v>
      </c>
      <c r="M422" s="42" t="s">
        <v>2785</v>
      </c>
      <c r="O422" s="2" t="s">
        <v>2447</v>
      </c>
      <c r="Q422" t="s">
        <v>755</v>
      </c>
    </row>
    <row r="423" spans="1:17" ht="15" customHeight="1" x14ac:dyDescent="0.25">
      <c r="A423" s="3" t="s">
        <v>1280</v>
      </c>
      <c r="B423" s="4" t="s">
        <v>2787</v>
      </c>
      <c r="C423" t="s">
        <v>1241</v>
      </c>
      <c r="D423">
        <v>1</v>
      </c>
      <c r="E423" t="s">
        <v>974</v>
      </c>
      <c r="F423" t="s">
        <v>975</v>
      </c>
      <c r="G423" t="s">
        <v>976</v>
      </c>
      <c r="H423" s="1" t="s">
        <v>976</v>
      </c>
      <c r="I423" s="1">
        <v>1840</v>
      </c>
      <c r="J423" s="20">
        <v>7</v>
      </c>
      <c r="K423" s="1">
        <v>330</v>
      </c>
      <c r="L423" s="1">
        <v>2310</v>
      </c>
      <c r="M423" s="42" t="s">
        <v>2785</v>
      </c>
      <c r="O423" s="2" t="s">
        <v>2447</v>
      </c>
      <c r="Q423" t="s">
        <v>755</v>
      </c>
    </row>
    <row r="424" spans="1:17" ht="15" customHeight="1" x14ac:dyDescent="0.25">
      <c r="A424" s="3" t="s">
        <v>1281</v>
      </c>
      <c r="B424" s="4" t="s">
        <v>2787</v>
      </c>
      <c r="C424" t="s">
        <v>1241</v>
      </c>
      <c r="D424">
        <v>1</v>
      </c>
      <c r="E424" t="s">
        <v>974</v>
      </c>
      <c r="F424" t="s">
        <v>975</v>
      </c>
      <c r="G424" t="s">
        <v>976</v>
      </c>
      <c r="H424" s="1" t="s">
        <v>976</v>
      </c>
      <c r="I424" s="1">
        <v>1840</v>
      </c>
      <c r="J424" s="20">
        <v>0</v>
      </c>
      <c r="K424" s="1">
        <v>330</v>
      </c>
      <c r="L424" s="1">
        <v>0</v>
      </c>
      <c r="M424" s="42" t="s">
        <v>2785</v>
      </c>
      <c r="O424" s="2" t="s">
        <v>2447</v>
      </c>
      <c r="Q424" t="s">
        <v>755</v>
      </c>
    </row>
    <row r="425" spans="1:17" ht="15" customHeight="1" x14ac:dyDescent="0.25">
      <c r="A425" s="3" t="s">
        <v>1282</v>
      </c>
      <c r="B425" s="4" t="s">
        <v>2787</v>
      </c>
      <c r="C425" t="s">
        <v>1241</v>
      </c>
      <c r="D425">
        <v>1</v>
      </c>
      <c r="E425" t="s">
        <v>974</v>
      </c>
      <c r="F425" t="s">
        <v>975</v>
      </c>
      <c r="G425" t="s">
        <v>976</v>
      </c>
      <c r="H425" s="1" t="s">
        <v>976</v>
      </c>
      <c r="I425" s="1">
        <v>1840</v>
      </c>
      <c r="J425" s="20">
        <v>1</v>
      </c>
      <c r="K425" s="1">
        <v>330</v>
      </c>
      <c r="L425" s="1">
        <v>330</v>
      </c>
      <c r="M425" s="42" t="s">
        <v>2785</v>
      </c>
      <c r="O425" s="2" t="s">
        <v>2482</v>
      </c>
      <c r="Q425" t="s">
        <v>756</v>
      </c>
    </row>
    <row r="426" spans="1:17" ht="15" customHeight="1" x14ac:dyDescent="0.25">
      <c r="A426" s="3" t="s">
        <v>1283</v>
      </c>
      <c r="B426" s="4" t="s">
        <v>2787</v>
      </c>
      <c r="C426" t="s">
        <v>1241</v>
      </c>
      <c r="D426">
        <v>1</v>
      </c>
      <c r="E426" t="s">
        <v>974</v>
      </c>
      <c r="F426" t="s">
        <v>975</v>
      </c>
      <c r="G426" t="s">
        <v>976</v>
      </c>
      <c r="H426" s="1" t="s">
        <v>976</v>
      </c>
      <c r="I426" s="1">
        <v>1840</v>
      </c>
      <c r="J426" s="20">
        <v>2</v>
      </c>
      <c r="K426" s="1">
        <v>247.5</v>
      </c>
      <c r="L426" s="1">
        <v>495</v>
      </c>
      <c r="M426" s="42" t="s">
        <v>2785</v>
      </c>
      <c r="O426" s="2" t="s">
        <v>2482</v>
      </c>
      <c r="Q426" t="s">
        <v>756</v>
      </c>
    </row>
    <row r="427" spans="1:17" ht="15" customHeight="1" x14ac:dyDescent="0.25">
      <c r="A427" s="41" t="s">
        <v>1283</v>
      </c>
      <c r="B427" s="3" t="s">
        <v>2787</v>
      </c>
      <c r="C427" s="41" t="s">
        <v>1241</v>
      </c>
      <c r="D427">
        <v>3</v>
      </c>
      <c r="E427" t="s">
        <v>1179</v>
      </c>
      <c r="F427" t="s">
        <v>1180</v>
      </c>
      <c r="G427" t="s">
        <v>976</v>
      </c>
      <c r="H427" s="1" t="s">
        <v>976</v>
      </c>
      <c r="I427" s="1">
        <v>1840</v>
      </c>
      <c r="J427" s="20">
        <v>1</v>
      </c>
      <c r="K427" s="1">
        <v>1840</v>
      </c>
      <c r="L427" s="1">
        <v>1840</v>
      </c>
      <c r="M427" s="42" t="s">
        <v>2785</v>
      </c>
      <c r="O427" s="2" t="s">
        <v>2482</v>
      </c>
      <c r="Q427" t="s">
        <v>756</v>
      </c>
    </row>
    <row r="428" spans="1:17" ht="15" customHeight="1" x14ac:dyDescent="0.25">
      <c r="A428" s="3" t="s">
        <v>1284</v>
      </c>
      <c r="B428" s="4" t="s">
        <v>2787</v>
      </c>
      <c r="C428" t="s">
        <v>1241</v>
      </c>
      <c r="D428">
        <v>1</v>
      </c>
      <c r="E428" t="s">
        <v>974</v>
      </c>
      <c r="F428" t="s">
        <v>975</v>
      </c>
      <c r="G428" t="s">
        <v>976</v>
      </c>
      <c r="H428" s="1" t="s">
        <v>976</v>
      </c>
      <c r="I428" s="1">
        <v>1840</v>
      </c>
      <c r="J428" s="20">
        <v>5</v>
      </c>
      <c r="K428" s="1">
        <v>330</v>
      </c>
      <c r="L428" s="1">
        <v>1650</v>
      </c>
      <c r="M428" s="42" t="s">
        <v>2785</v>
      </c>
      <c r="O428" s="2" t="s">
        <v>2482</v>
      </c>
      <c r="Q428" t="s">
        <v>756</v>
      </c>
    </row>
    <row r="429" spans="1:17" ht="15" customHeight="1" x14ac:dyDescent="0.25">
      <c r="A429" s="3" t="s">
        <v>1285</v>
      </c>
      <c r="B429" s="4" t="s">
        <v>2787</v>
      </c>
      <c r="C429" t="s">
        <v>1241</v>
      </c>
      <c r="D429">
        <v>1</v>
      </c>
      <c r="E429" t="s">
        <v>974</v>
      </c>
      <c r="F429" t="s">
        <v>975</v>
      </c>
      <c r="G429" t="s">
        <v>976</v>
      </c>
      <c r="H429" s="1" t="s">
        <v>976</v>
      </c>
      <c r="I429" s="1">
        <v>1840</v>
      </c>
      <c r="J429" s="20">
        <v>0</v>
      </c>
      <c r="K429" s="1">
        <v>330</v>
      </c>
      <c r="L429" s="1">
        <v>0</v>
      </c>
      <c r="M429" s="42" t="s">
        <v>2785</v>
      </c>
      <c r="O429" s="2" t="s">
        <v>2482</v>
      </c>
      <c r="Q429" t="s">
        <v>756</v>
      </c>
    </row>
    <row r="430" spans="1:17" ht="15" customHeight="1" x14ac:dyDescent="0.25">
      <c r="A430" s="3" t="s">
        <v>2252</v>
      </c>
      <c r="B430" s="4" t="s">
        <v>2787</v>
      </c>
      <c r="C430" t="s">
        <v>1241</v>
      </c>
      <c r="D430">
        <v>4</v>
      </c>
      <c r="E430" t="s">
        <v>1018</v>
      </c>
      <c r="F430" t="s">
        <v>975</v>
      </c>
      <c r="G430" t="s">
        <v>976</v>
      </c>
      <c r="H430" s="1" t="s">
        <v>976</v>
      </c>
      <c r="I430" s="1">
        <v>2650</v>
      </c>
      <c r="J430" s="20">
        <v>0</v>
      </c>
      <c r="K430" s="1">
        <v>0</v>
      </c>
      <c r="L430" s="1">
        <v>0</v>
      </c>
      <c r="M430" s="42" t="s">
        <v>2785</v>
      </c>
      <c r="O430" s="2" t="s">
        <v>2482</v>
      </c>
      <c r="Q430" t="s">
        <v>756</v>
      </c>
    </row>
    <row r="431" spans="1:17" ht="15" customHeight="1" x14ac:dyDescent="0.25">
      <c r="A431" s="3" t="s">
        <v>2224</v>
      </c>
      <c r="B431" s="4" t="s">
        <v>2788</v>
      </c>
      <c r="C431" t="s">
        <v>1241</v>
      </c>
      <c r="D431">
        <v>4</v>
      </c>
      <c r="E431" t="s">
        <v>1018</v>
      </c>
      <c r="F431" t="s">
        <v>975</v>
      </c>
      <c r="G431" t="s">
        <v>180</v>
      </c>
      <c r="H431" s="1" t="s">
        <v>976</v>
      </c>
      <c r="I431" s="1">
        <v>2340</v>
      </c>
      <c r="J431" s="20">
        <v>1</v>
      </c>
      <c r="K431" s="1">
        <v>0</v>
      </c>
      <c r="L431" s="1">
        <v>0</v>
      </c>
      <c r="M431" s="42" t="s">
        <v>2785</v>
      </c>
      <c r="O431" s="2" t="s">
        <v>2447</v>
      </c>
      <c r="P431" t="s">
        <v>23</v>
      </c>
      <c r="Q431" t="s">
        <v>757</v>
      </c>
    </row>
    <row r="432" spans="1:17" ht="15" customHeight="1" x14ac:dyDescent="0.25">
      <c r="A432" s="3" t="s">
        <v>2225</v>
      </c>
      <c r="B432" s="4" t="s">
        <v>2788</v>
      </c>
      <c r="C432" t="s">
        <v>1241</v>
      </c>
      <c r="D432">
        <v>1</v>
      </c>
      <c r="E432" t="s">
        <v>974</v>
      </c>
      <c r="F432" t="s">
        <v>975</v>
      </c>
      <c r="G432" t="s">
        <v>180</v>
      </c>
      <c r="H432" s="1" t="s">
        <v>976</v>
      </c>
      <c r="I432" s="1">
        <v>2340</v>
      </c>
      <c r="J432" s="20">
        <v>0</v>
      </c>
      <c r="K432" s="1">
        <v>2340</v>
      </c>
      <c r="L432" s="1">
        <v>0</v>
      </c>
      <c r="M432" s="42" t="s">
        <v>2785</v>
      </c>
      <c r="O432" s="2" t="s">
        <v>2472</v>
      </c>
      <c r="P432" t="s">
        <v>23</v>
      </c>
      <c r="Q432" t="s">
        <v>758</v>
      </c>
    </row>
    <row r="433" spans="1:17" ht="15" customHeight="1" x14ac:dyDescent="0.25">
      <c r="A433" s="41" t="s">
        <v>2225</v>
      </c>
      <c r="B433" s="3" t="s">
        <v>2788</v>
      </c>
      <c r="C433" s="41" t="s">
        <v>1241</v>
      </c>
      <c r="D433">
        <v>4</v>
      </c>
      <c r="E433" t="s">
        <v>1018</v>
      </c>
      <c r="F433" t="s">
        <v>975</v>
      </c>
      <c r="G433" t="s">
        <v>180</v>
      </c>
      <c r="H433" s="1" t="s">
        <v>976</v>
      </c>
      <c r="I433" s="1">
        <v>2340</v>
      </c>
      <c r="J433" s="20">
        <v>0</v>
      </c>
      <c r="K433" s="1">
        <v>2340</v>
      </c>
      <c r="L433" s="1">
        <v>0</v>
      </c>
      <c r="M433" s="42" t="s">
        <v>2785</v>
      </c>
      <c r="O433" s="2" t="s">
        <v>2472</v>
      </c>
      <c r="P433" t="s">
        <v>23</v>
      </c>
      <c r="Q433" t="s">
        <v>758</v>
      </c>
    </row>
    <row r="434" spans="1:17" ht="15" customHeight="1" x14ac:dyDescent="0.25">
      <c r="A434" s="3" t="s">
        <v>2226</v>
      </c>
      <c r="B434" s="4" t="s">
        <v>2788</v>
      </c>
      <c r="C434" t="s">
        <v>1241</v>
      </c>
      <c r="D434">
        <v>1</v>
      </c>
      <c r="E434" t="s">
        <v>974</v>
      </c>
      <c r="F434" t="s">
        <v>975</v>
      </c>
      <c r="G434" t="s">
        <v>180</v>
      </c>
      <c r="H434" s="1" t="s">
        <v>976</v>
      </c>
      <c r="I434" s="1">
        <v>2340</v>
      </c>
      <c r="J434" s="20">
        <v>-1</v>
      </c>
      <c r="K434" s="1">
        <v>2340</v>
      </c>
      <c r="L434" s="1">
        <v>-2340</v>
      </c>
      <c r="M434" s="42" t="s">
        <v>2785</v>
      </c>
      <c r="O434" s="2" t="s">
        <v>2443</v>
      </c>
      <c r="P434" t="s">
        <v>23</v>
      </c>
      <c r="Q434" t="s">
        <v>759</v>
      </c>
    </row>
    <row r="435" spans="1:17" ht="15" customHeight="1" x14ac:dyDescent="0.25">
      <c r="A435" s="41" t="s">
        <v>2226</v>
      </c>
      <c r="B435" s="3" t="s">
        <v>2788</v>
      </c>
      <c r="C435" s="41" t="s">
        <v>1241</v>
      </c>
      <c r="D435">
        <v>4</v>
      </c>
      <c r="E435" t="s">
        <v>1018</v>
      </c>
      <c r="F435" t="s">
        <v>975</v>
      </c>
      <c r="G435" t="s">
        <v>180</v>
      </c>
      <c r="H435" s="1" t="s">
        <v>976</v>
      </c>
      <c r="I435" s="1">
        <v>2340</v>
      </c>
      <c r="J435" s="20">
        <v>1</v>
      </c>
      <c r="K435" s="1">
        <v>2340</v>
      </c>
      <c r="L435" s="1">
        <v>2340</v>
      </c>
      <c r="M435" s="42" t="s">
        <v>2785</v>
      </c>
      <c r="O435" s="2" t="s">
        <v>2443</v>
      </c>
      <c r="P435" t="s">
        <v>23</v>
      </c>
      <c r="Q435" t="s">
        <v>759</v>
      </c>
    </row>
    <row r="436" spans="1:17" ht="15" customHeight="1" x14ac:dyDescent="0.25">
      <c r="A436" s="3" t="s">
        <v>1286</v>
      </c>
      <c r="B436" s="4" t="s">
        <v>2780</v>
      </c>
      <c r="C436" t="s">
        <v>1241</v>
      </c>
      <c r="D436">
        <v>1</v>
      </c>
      <c r="E436" t="s">
        <v>974</v>
      </c>
      <c r="F436" t="s">
        <v>975</v>
      </c>
      <c r="G436" t="s">
        <v>180</v>
      </c>
      <c r="H436" s="1" t="s">
        <v>976</v>
      </c>
      <c r="I436" s="1">
        <v>0</v>
      </c>
      <c r="J436" s="20">
        <v>0</v>
      </c>
      <c r="K436" s="1">
        <v>0</v>
      </c>
      <c r="L436" s="1">
        <v>0</v>
      </c>
      <c r="M436" s="42" t="s">
        <v>2785</v>
      </c>
      <c r="O436" s="2" t="s">
        <v>2528</v>
      </c>
      <c r="P436">
        <v>36</v>
      </c>
      <c r="Q436" t="s">
        <v>760</v>
      </c>
    </row>
    <row r="437" spans="1:17" ht="15" customHeight="1" x14ac:dyDescent="0.25">
      <c r="A437" s="3" t="s">
        <v>1287</v>
      </c>
      <c r="B437" s="4" t="s">
        <v>2780</v>
      </c>
      <c r="C437" t="s">
        <v>1241</v>
      </c>
      <c r="D437">
        <v>1</v>
      </c>
      <c r="E437" t="s">
        <v>974</v>
      </c>
      <c r="F437" t="s">
        <v>975</v>
      </c>
      <c r="G437" t="s">
        <v>180</v>
      </c>
      <c r="H437" s="1" t="s">
        <v>976</v>
      </c>
      <c r="I437" s="1">
        <v>0</v>
      </c>
      <c r="J437" s="20">
        <v>0</v>
      </c>
      <c r="K437" s="1">
        <v>0</v>
      </c>
      <c r="L437" s="1">
        <v>0</v>
      </c>
      <c r="M437" s="42" t="s">
        <v>2785</v>
      </c>
      <c r="O437" s="2" t="s">
        <v>2528</v>
      </c>
      <c r="P437">
        <v>38</v>
      </c>
      <c r="Q437" t="s">
        <v>760</v>
      </c>
    </row>
    <row r="438" spans="1:17" ht="15" customHeight="1" x14ac:dyDescent="0.25">
      <c r="A438" s="3" t="s">
        <v>1288</v>
      </c>
      <c r="B438" s="4" t="s">
        <v>2780</v>
      </c>
      <c r="C438" t="s">
        <v>1241</v>
      </c>
      <c r="D438">
        <v>1</v>
      </c>
      <c r="E438" t="s">
        <v>974</v>
      </c>
      <c r="F438" t="s">
        <v>975</v>
      </c>
      <c r="G438" t="s">
        <v>180</v>
      </c>
      <c r="H438" s="1" t="s">
        <v>976</v>
      </c>
      <c r="I438" s="1">
        <v>0</v>
      </c>
      <c r="J438" s="20">
        <v>0</v>
      </c>
      <c r="K438" s="1">
        <v>0</v>
      </c>
      <c r="L438" s="1">
        <v>0</v>
      </c>
      <c r="M438" s="42" t="s">
        <v>2785</v>
      </c>
      <c r="O438" s="2" t="s">
        <v>2528</v>
      </c>
      <c r="P438">
        <v>40</v>
      </c>
      <c r="Q438" t="s">
        <v>760</v>
      </c>
    </row>
    <row r="439" spans="1:17" ht="15" customHeight="1" x14ac:dyDescent="0.25">
      <c r="A439" s="3" t="s">
        <v>1289</v>
      </c>
      <c r="B439" s="4" t="s">
        <v>2780</v>
      </c>
      <c r="C439" t="s">
        <v>1241</v>
      </c>
      <c r="D439">
        <v>1</v>
      </c>
      <c r="E439" t="s">
        <v>974</v>
      </c>
      <c r="F439" t="s">
        <v>975</v>
      </c>
      <c r="G439" t="s">
        <v>180</v>
      </c>
      <c r="H439" s="1" t="s">
        <v>976</v>
      </c>
      <c r="I439" s="1">
        <v>0</v>
      </c>
      <c r="J439" s="20">
        <v>0</v>
      </c>
      <c r="K439" s="1">
        <v>0</v>
      </c>
      <c r="L439" s="1">
        <v>0</v>
      </c>
      <c r="M439" s="42" t="s">
        <v>2785</v>
      </c>
      <c r="O439" s="2" t="s">
        <v>2528</v>
      </c>
      <c r="P439">
        <v>42</v>
      </c>
      <c r="Q439" t="s">
        <v>760</v>
      </c>
    </row>
    <row r="440" spans="1:17" ht="15" customHeight="1" x14ac:dyDescent="0.25">
      <c r="A440" s="3" t="s">
        <v>1290</v>
      </c>
      <c r="B440" s="4" t="s">
        <v>2780</v>
      </c>
      <c r="C440" t="s">
        <v>1241</v>
      </c>
      <c r="D440">
        <v>1</v>
      </c>
      <c r="E440" t="s">
        <v>974</v>
      </c>
      <c r="F440" t="s">
        <v>975</v>
      </c>
      <c r="G440" t="s">
        <v>180</v>
      </c>
      <c r="H440" s="1" t="s">
        <v>976</v>
      </c>
      <c r="I440" s="1">
        <v>0</v>
      </c>
      <c r="J440" s="20">
        <v>0</v>
      </c>
      <c r="K440" s="1">
        <v>0</v>
      </c>
      <c r="L440" s="1">
        <v>0</v>
      </c>
      <c r="M440" s="42" t="s">
        <v>2785</v>
      </c>
      <c r="O440" s="2" t="s">
        <v>2528</v>
      </c>
      <c r="P440">
        <v>44</v>
      </c>
      <c r="Q440" t="s">
        <v>760</v>
      </c>
    </row>
    <row r="441" spans="1:17" ht="15" customHeight="1" x14ac:dyDescent="0.25">
      <c r="A441" s="3" t="s">
        <v>1291</v>
      </c>
      <c r="B441" s="4" t="s">
        <v>2780</v>
      </c>
      <c r="C441" t="s">
        <v>1241</v>
      </c>
      <c r="D441">
        <v>1</v>
      </c>
      <c r="E441" t="s">
        <v>974</v>
      </c>
      <c r="F441" t="s">
        <v>975</v>
      </c>
      <c r="G441" t="s">
        <v>180</v>
      </c>
      <c r="H441" s="1" t="s">
        <v>976</v>
      </c>
      <c r="I441" s="1">
        <v>0</v>
      </c>
      <c r="J441" s="20">
        <v>0</v>
      </c>
      <c r="K441" s="1">
        <v>0</v>
      </c>
      <c r="L441" s="1">
        <v>0</v>
      </c>
      <c r="M441" s="42" t="s">
        <v>2785</v>
      </c>
      <c r="O441" s="2" t="s">
        <v>2528</v>
      </c>
      <c r="P441">
        <v>46</v>
      </c>
      <c r="Q441" t="s">
        <v>760</v>
      </c>
    </row>
    <row r="442" spans="1:17" ht="15" customHeight="1" x14ac:dyDescent="0.25">
      <c r="A442" s="3" t="s">
        <v>1292</v>
      </c>
      <c r="B442" s="4" t="s">
        <v>2790</v>
      </c>
      <c r="C442" t="s">
        <v>1148</v>
      </c>
      <c r="D442">
        <v>1</v>
      </c>
      <c r="E442" t="s">
        <v>974</v>
      </c>
      <c r="F442" t="s">
        <v>975</v>
      </c>
      <c r="G442" t="s">
        <v>180</v>
      </c>
      <c r="H442" s="1" t="s">
        <v>976</v>
      </c>
      <c r="I442" s="1">
        <v>1750</v>
      </c>
      <c r="J442" s="20">
        <v>25</v>
      </c>
      <c r="K442" s="1">
        <v>260</v>
      </c>
      <c r="L442" s="1">
        <v>6500</v>
      </c>
      <c r="M442" s="42" t="s">
        <v>2789</v>
      </c>
      <c r="O442" s="2" t="s">
        <v>2447</v>
      </c>
      <c r="Q442" t="s">
        <v>244</v>
      </c>
    </row>
    <row r="443" spans="1:17" ht="15" customHeight="1" x14ac:dyDescent="0.25">
      <c r="A443" s="41" t="s">
        <v>1292</v>
      </c>
      <c r="B443" s="3" t="s">
        <v>2790</v>
      </c>
      <c r="C443" s="41" t="s">
        <v>1148</v>
      </c>
      <c r="D443">
        <v>3</v>
      </c>
      <c r="E443" t="s">
        <v>1179</v>
      </c>
      <c r="F443" t="s">
        <v>1180</v>
      </c>
      <c r="G443" t="s">
        <v>180</v>
      </c>
      <c r="H443" s="1" t="s">
        <v>976</v>
      </c>
      <c r="I443" s="1">
        <v>1750</v>
      </c>
      <c r="J443" s="20">
        <v>1</v>
      </c>
      <c r="K443" s="1">
        <v>1750</v>
      </c>
      <c r="L443" s="1">
        <v>1750</v>
      </c>
      <c r="M443" s="42" t="s">
        <v>2789</v>
      </c>
      <c r="O443" s="2" t="s">
        <v>2447</v>
      </c>
      <c r="Q443" t="s">
        <v>244</v>
      </c>
    </row>
    <row r="444" spans="1:17" ht="15" customHeight="1" x14ac:dyDescent="0.25">
      <c r="A444" s="41" t="s">
        <v>1292</v>
      </c>
      <c r="B444" s="3" t="s">
        <v>2790</v>
      </c>
      <c r="C444" s="41" t="s">
        <v>1148</v>
      </c>
      <c r="D444">
        <v>4</v>
      </c>
      <c r="E444" t="s">
        <v>1018</v>
      </c>
      <c r="F444" t="s">
        <v>975</v>
      </c>
      <c r="G444" t="s">
        <v>180</v>
      </c>
      <c r="H444" s="1" t="s">
        <v>976</v>
      </c>
      <c r="I444" s="1">
        <v>1750</v>
      </c>
      <c r="J444" s="20">
        <v>1</v>
      </c>
      <c r="K444" s="1">
        <v>1750</v>
      </c>
      <c r="L444" s="1">
        <v>1750</v>
      </c>
      <c r="M444" s="42" t="s">
        <v>2789</v>
      </c>
      <c r="O444" s="2" t="s">
        <v>2447</v>
      </c>
      <c r="Q444" t="s">
        <v>244</v>
      </c>
    </row>
    <row r="445" spans="1:17" ht="15" customHeight="1" x14ac:dyDescent="0.25">
      <c r="A445" s="3" t="s">
        <v>1293</v>
      </c>
      <c r="B445" s="4" t="s">
        <v>2790</v>
      </c>
      <c r="C445" t="s">
        <v>1148</v>
      </c>
      <c r="D445">
        <v>1</v>
      </c>
      <c r="E445" t="s">
        <v>974</v>
      </c>
      <c r="F445" t="s">
        <v>975</v>
      </c>
      <c r="G445" t="s">
        <v>180</v>
      </c>
      <c r="H445" s="1" t="s">
        <v>976</v>
      </c>
      <c r="I445" s="1">
        <v>1750</v>
      </c>
      <c r="J445" s="20">
        <v>10</v>
      </c>
      <c r="K445" s="1">
        <v>0</v>
      </c>
      <c r="L445" s="1">
        <v>0</v>
      </c>
      <c r="M445" s="42" t="s">
        <v>2789</v>
      </c>
      <c r="O445" s="2" t="s">
        <v>2443</v>
      </c>
      <c r="Q445" t="s">
        <v>245</v>
      </c>
    </row>
    <row r="446" spans="1:17" ht="15" customHeight="1" x14ac:dyDescent="0.25">
      <c r="A446" s="3" t="s">
        <v>1294</v>
      </c>
      <c r="B446" s="4" t="s">
        <v>2790</v>
      </c>
      <c r="C446" t="s">
        <v>1148</v>
      </c>
      <c r="D446">
        <v>1</v>
      </c>
      <c r="E446" t="s">
        <v>974</v>
      </c>
      <c r="F446" t="s">
        <v>975</v>
      </c>
      <c r="G446" t="s">
        <v>180</v>
      </c>
      <c r="H446" s="1" t="s">
        <v>976</v>
      </c>
      <c r="I446" s="1">
        <v>1750</v>
      </c>
      <c r="J446" s="20">
        <v>24</v>
      </c>
      <c r="K446" s="1">
        <v>260</v>
      </c>
      <c r="L446" s="1">
        <v>6240</v>
      </c>
      <c r="M446" s="42" t="s">
        <v>2789</v>
      </c>
      <c r="O446" s="2" t="s">
        <v>2482</v>
      </c>
      <c r="Q446" t="s">
        <v>246</v>
      </c>
    </row>
    <row r="447" spans="1:17" ht="15" customHeight="1" x14ac:dyDescent="0.25">
      <c r="A447" s="41" t="s">
        <v>1294</v>
      </c>
      <c r="B447" s="3" t="s">
        <v>2790</v>
      </c>
      <c r="C447" s="41" t="s">
        <v>1148</v>
      </c>
      <c r="D447">
        <v>3</v>
      </c>
      <c r="E447" t="s">
        <v>1179</v>
      </c>
      <c r="F447" t="s">
        <v>1180</v>
      </c>
      <c r="G447" t="s">
        <v>180</v>
      </c>
      <c r="H447" s="1" t="s">
        <v>976</v>
      </c>
      <c r="I447" s="1">
        <v>1750</v>
      </c>
      <c r="J447" s="20">
        <v>1</v>
      </c>
      <c r="K447" s="1">
        <v>1750</v>
      </c>
      <c r="L447" s="1">
        <v>1750</v>
      </c>
      <c r="M447" s="42" t="s">
        <v>2789</v>
      </c>
      <c r="O447" s="2" t="s">
        <v>2482</v>
      </c>
      <c r="Q447" t="s">
        <v>246</v>
      </c>
    </row>
    <row r="448" spans="1:17" ht="15" customHeight="1" x14ac:dyDescent="0.25">
      <c r="A448" s="41" t="s">
        <v>1294</v>
      </c>
      <c r="B448" s="3" t="s">
        <v>2790</v>
      </c>
      <c r="C448" s="41" t="s">
        <v>1148</v>
      </c>
      <c r="D448">
        <v>4</v>
      </c>
      <c r="E448" t="s">
        <v>1018</v>
      </c>
      <c r="F448" t="s">
        <v>975</v>
      </c>
      <c r="G448" t="s">
        <v>180</v>
      </c>
      <c r="H448" s="1" t="s">
        <v>976</v>
      </c>
      <c r="I448" s="1">
        <v>1750</v>
      </c>
      <c r="J448" s="20">
        <v>1</v>
      </c>
      <c r="K448" s="1">
        <v>1750</v>
      </c>
      <c r="L448" s="1">
        <v>1750</v>
      </c>
      <c r="M448" s="42" t="s">
        <v>2789</v>
      </c>
      <c r="O448" s="2" t="s">
        <v>2482</v>
      </c>
      <c r="Q448" t="s">
        <v>246</v>
      </c>
    </row>
    <row r="449" spans="1:17" ht="15" customHeight="1" x14ac:dyDescent="0.25">
      <c r="A449" s="3" t="s">
        <v>1295</v>
      </c>
      <c r="B449" s="4" t="s">
        <v>2790</v>
      </c>
      <c r="C449" t="s">
        <v>1148</v>
      </c>
      <c r="D449">
        <v>1</v>
      </c>
      <c r="E449" t="s">
        <v>974</v>
      </c>
      <c r="F449" t="s">
        <v>975</v>
      </c>
      <c r="G449" t="s">
        <v>180</v>
      </c>
      <c r="H449" s="1" t="s">
        <v>976</v>
      </c>
      <c r="I449" s="1">
        <v>1750</v>
      </c>
      <c r="J449" s="20">
        <v>0</v>
      </c>
      <c r="K449" s="1">
        <v>0</v>
      </c>
      <c r="L449" s="1">
        <v>0</v>
      </c>
      <c r="M449" s="42" t="s">
        <v>2789</v>
      </c>
      <c r="N449" s="1" t="s">
        <v>2616</v>
      </c>
      <c r="O449" s="2" t="s">
        <v>2727</v>
      </c>
      <c r="Q449" t="s">
        <v>761</v>
      </c>
    </row>
    <row r="450" spans="1:17" ht="15" customHeight="1" x14ac:dyDescent="0.25">
      <c r="A450" s="3" t="s">
        <v>1296</v>
      </c>
      <c r="B450" s="4" t="s">
        <v>247</v>
      </c>
      <c r="C450" t="s">
        <v>1148</v>
      </c>
      <c r="D450">
        <v>1</v>
      </c>
      <c r="E450" t="s">
        <v>974</v>
      </c>
      <c r="F450" t="s">
        <v>975</v>
      </c>
      <c r="G450" t="s">
        <v>180</v>
      </c>
      <c r="H450" s="1" t="s">
        <v>976</v>
      </c>
      <c r="I450" s="1">
        <v>1750</v>
      </c>
      <c r="J450" s="20">
        <v>0</v>
      </c>
      <c r="K450" s="1">
        <v>0</v>
      </c>
      <c r="L450" s="1">
        <v>0</v>
      </c>
      <c r="M450" s="42" t="s">
        <v>2789</v>
      </c>
      <c r="Q450" t="s">
        <v>247</v>
      </c>
    </row>
    <row r="451" spans="1:17" ht="15" customHeight="1" x14ac:dyDescent="0.25">
      <c r="A451" s="3" t="s">
        <v>1297</v>
      </c>
      <c r="B451" s="4" t="s">
        <v>248</v>
      </c>
      <c r="C451" t="s">
        <v>1148</v>
      </c>
      <c r="D451">
        <v>1</v>
      </c>
      <c r="E451" t="s">
        <v>974</v>
      </c>
      <c r="F451" t="s">
        <v>975</v>
      </c>
      <c r="G451" t="s">
        <v>180</v>
      </c>
      <c r="H451" s="1" t="s">
        <v>976</v>
      </c>
      <c r="I451" s="1">
        <v>1670</v>
      </c>
      <c r="J451" s="20">
        <v>19</v>
      </c>
      <c r="K451" s="1">
        <v>297.30769199999997</v>
      </c>
      <c r="L451" s="1">
        <v>5648.85</v>
      </c>
      <c r="M451" s="42" t="s">
        <v>2789</v>
      </c>
      <c r="Q451" t="s">
        <v>248</v>
      </c>
    </row>
    <row r="452" spans="1:17" ht="15" customHeight="1" x14ac:dyDescent="0.25">
      <c r="A452" s="41" t="s">
        <v>1297</v>
      </c>
      <c r="B452" s="3" t="s">
        <v>248</v>
      </c>
      <c r="C452" s="41" t="s">
        <v>1148</v>
      </c>
      <c r="D452">
        <v>3</v>
      </c>
      <c r="E452" t="s">
        <v>1179</v>
      </c>
      <c r="F452" t="s">
        <v>1180</v>
      </c>
      <c r="G452" t="s">
        <v>180</v>
      </c>
      <c r="H452" s="1" t="s">
        <v>976</v>
      </c>
      <c r="I452" s="1">
        <v>1670</v>
      </c>
      <c r="J452" s="20">
        <v>2</v>
      </c>
      <c r="K452" s="1">
        <v>1670</v>
      </c>
      <c r="L452" s="1">
        <v>3340</v>
      </c>
      <c r="M452" s="42" t="s">
        <v>2789</v>
      </c>
      <c r="Q452" t="s">
        <v>248</v>
      </c>
    </row>
    <row r="453" spans="1:17" ht="15" customHeight="1" x14ac:dyDescent="0.25">
      <c r="A453" s="3" t="s">
        <v>1298</v>
      </c>
      <c r="B453" s="4" t="s">
        <v>249</v>
      </c>
      <c r="C453" t="s">
        <v>1148</v>
      </c>
      <c r="D453">
        <v>1</v>
      </c>
      <c r="E453" t="s">
        <v>974</v>
      </c>
      <c r="F453" t="s">
        <v>975</v>
      </c>
      <c r="G453" t="s">
        <v>180</v>
      </c>
      <c r="H453" s="1" t="s">
        <v>976</v>
      </c>
      <c r="I453" s="1">
        <v>3400</v>
      </c>
      <c r="J453" s="20">
        <v>0</v>
      </c>
      <c r="K453" s="1">
        <v>620</v>
      </c>
      <c r="L453" s="1">
        <v>0</v>
      </c>
      <c r="M453" s="42" t="s">
        <v>2789</v>
      </c>
      <c r="Q453" t="s">
        <v>249</v>
      </c>
    </row>
    <row r="454" spans="1:17" ht="15" customHeight="1" x14ac:dyDescent="0.25">
      <c r="A454" s="3" t="s">
        <v>1299</v>
      </c>
      <c r="B454" s="4" t="s">
        <v>2791</v>
      </c>
      <c r="C454" t="s">
        <v>1148</v>
      </c>
      <c r="D454">
        <v>1</v>
      </c>
      <c r="E454" t="s">
        <v>974</v>
      </c>
      <c r="F454" t="s">
        <v>975</v>
      </c>
      <c r="G454" t="s">
        <v>976</v>
      </c>
      <c r="H454" s="1" t="s">
        <v>976</v>
      </c>
      <c r="I454" s="1">
        <v>1665</v>
      </c>
      <c r="J454" s="20">
        <v>10</v>
      </c>
      <c r="K454" s="1">
        <v>247.384614</v>
      </c>
      <c r="L454" s="1">
        <v>2473.85</v>
      </c>
      <c r="M454" s="42" t="s">
        <v>2789</v>
      </c>
      <c r="O454" s="2" t="s">
        <v>2447</v>
      </c>
      <c r="P454" t="s">
        <v>22</v>
      </c>
      <c r="Q454" t="s">
        <v>762</v>
      </c>
    </row>
    <row r="455" spans="1:17" ht="15" customHeight="1" x14ac:dyDescent="0.25">
      <c r="A455" s="3" t="s">
        <v>1300</v>
      </c>
      <c r="B455" s="4" t="s">
        <v>250</v>
      </c>
      <c r="C455" t="s">
        <v>1148</v>
      </c>
      <c r="D455">
        <v>1</v>
      </c>
      <c r="E455" t="s">
        <v>974</v>
      </c>
      <c r="F455" t="s">
        <v>975</v>
      </c>
      <c r="G455" t="s">
        <v>180</v>
      </c>
      <c r="H455" s="1" t="s">
        <v>976</v>
      </c>
      <c r="I455" s="1">
        <v>2400</v>
      </c>
      <c r="J455" s="20">
        <v>0</v>
      </c>
      <c r="K455" s="1">
        <v>289</v>
      </c>
      <c r="L455" s="1">
        <v>0</v>
      </c>
      <c r="M455" s="42" t="s">
        <v>2789</v>
      </c>
      <c r="Q455" t="s">
        <v>250</v>
      </c>
    </row>
    <row r="456" spans="1:17" ht="15" customHeight="1" x14ac:dyDescent="0.25">
      <c r="A456" s="3" t="s">
        <v>1301</v>
      </c>
      <c r="B456" s="4" t="s">
        <v>2791</v>
      </c>
      <c r="C456" t="s">
        <v>1148</v>
      </c>
      <c r="D456">
        <v>1</v>
      </c>
      <c r="E456" t="s">
        <v>974</v>
      </c>
      <c r="F456" t="s">
        <v>975</v>
      </c>
      <c r="G456" t="s">
        <v>180</v>
      </c>
      <c r="H456" s="1" t="s">
        <v>976</v>
      </c>
      <c r="I456" s="1">
        <v>1665</v>
      </c>
      <c r="J456" s="20">
        <v>30</v>
      </c>
      <c r="K456" s="1">
        <v>264.974358</v>
      </c>
      <c r="L456" s="1">
        <v>7949.23</v>
      </c>
      <c r="M456" s="42" t="s">
        <v>2789</v>
      </c>
      <c r="O456" s="2" t="s">
        <v>2443</v>
      </c>
      <c r="P456" t="s">
        <v>22</v>
      </c>
      <c r="Q456" t="s">
        <v>763</v>
      </c>
    </row>
    <row r="457" spans="1:17" ht="15" customHeight="1" x14ac:dyDescent="0.25">
      <c r="A457" s="41" t="s">
        <v>1301</v>
      </c>
      <c r="B457" s="3" t="s">
        <v>2791</v>
      </c>
      <c r="C457" s="41" t="s">
        <v>1148</v>
      </c>
      <c r="D457">
        <v>2</v>
      </c>
      <c r="E457" t="s">
        <v>1017</v>
      </c>
      <c r="F457" t="s">
        <v>975</v>
      </c>
      <c r="G457" t="s">
        <v>180</v>
      </c>
      <c r="H457" s="1" t="s">
        <v>976</v>
      </c>
      <c r="I457" s="1">
        <v>1665</v>
      </c>
      <c r="J457" s="20">
        <v>0</v>
      </c>
      <c r="K457" s="1">
        <v>210</v>
      </c>
      <c r="L457" s="1">
        <v>0</v>
      </c>
      <c r="M457" s="42" t="s">
        <v>2789</v>
      </c>
      <c r="O457" s="2" t="s">
        <v>2443</v>
      </c>
      <c r="P457" t="s">
        <v>22</v>
      </c>
      <c r="Q457" t="s">
        <v>763</v>
      </c>
    </row>
    <row r="458" spans="1:17" ht="15" customHeight="1" x14ac:dyDescent="0.25">
      <c r="A458" s="3" t="s">
        <v>1302</v>
      </c>
      <c r="B458" s="4" t="s">
        <v>2791</v>
      </c>
      <c r="C458" t="s">
        <v>1148</v>
      </c>
      <c r="D458">
        <v>1</v>
      </c>
      <c r="E458" t="s">
        <v>974</v>
      </c>
      <c r="F458" t="s">
        <v>975</v>
      </c>
      <c r="G458" t="s">
        <v>180</v>
      </c>
      <c r="H458" s="1" t="s">
        <v>976</v>
      </c>
      <c r="I458" s="1">
        <v>1330</v>
      </c>
      <c r="J458" s="20">
        <v>-1</v>
      </c>
      <c r="K458" s="1">
        <v>0</v>
      </c>
      <c r="L458" s="1">
        <v>0</v>
      </c>
      <c r="M458" s="42" t="s">
        <v>2789</v>
      </c>
      <c r="N458" s="1" t="s">
        <v>2616</v>
      </c>
      <c r="O458" s="2" t="s">
        <v>2443</v>
      </c>
      <c r="Q458" t="s">
        <v>763</v>
      </c>
    </row>
    <row r="459" spans="1:17" ht="15" customHeight="1" x14ac:dyDescent="0.25">
      <c r="A459" s="41" t="s">
        <v>1302</v>
      </c>
      <c r="B459" s="3" t="s">
        <v>2791</v>
      </c>
      <c r="C459" s="41" t="s">
        <v>1148</v>
      </c>
      <c r="D459">
        <v>4</v>
      </c>
      <c r="E459" t="s">
        <v>1018</v>
      </c>
      <c r="F459" t="s">
        <v>975</v>
      </c>
      <c r="G459" t="s">
        <v>180</v>
      </c>
      <c r="H459" s="1" t="s">
        <v>976</v>
      </c>
      <c r="I459" s="1">
        <v>1330</v>
      </c>
      <c r="J459" s="20">
        <v>1</v>
      </c>
      <c r="K459" s="1">
        <v>1330</v>
      </c>
      <c r="L459" s="1">
        <v>1330</v>
      </c>
      <c r="M459" s="42" t="s">
        <v>2789</v>
      </c>
      <c r="N459" s="1" t="s">
        <v>2616</v>
      </c>
      <c r="O459" s="2" t="s">
        <v>2443</v>
      </c>
      <c r="Q459" t="s">
        <v>763</v>
      </c>
    </row>
    <row r="460" spans="1:17" ht="15" customHeight="1" x14ac:dyDescent="0.25">
      <c r="A460" s="3" t="s">
        <v>1303</v>
      </c>
      <c r="B460" s="4" t="s">
        <v>251</v>
      </c>
      <c r="C460" t="s">
        <v>1148</v>
      </c>
      <c r="D460">
        <v>1</v>
      </c>
      <c r="E460" t="s">
        <v>974</v>
      </c>
      <c r="F460" t="s">
        <v>975</v>
      </c>
      <c r="G460" t="s">
        <v>180</v>
      </c>
      <c r="H460" s="1" t="s">
        <v>976</v>
      </c>
      <c r="I460" s="1">
        <v>2400</v>
      </c>
      <c r="J460" s="20">
        <v>4</v>
      </c>
      <c r="K460" s="1">
        <v>290</v>
      </c>
      <c r="L460" s="1">
        <v>1160</v>
      </c>
      <c r="M460" s="42" t="s">
        <v>2789</v>
      </c>
      <c r="Q460" t="s">
        <v>251</v>
      </c>
    </row>
    <row r="461" spans="1:17" ht="15" customHeight="1" x14ac:dyDescent="0.25">
      <c r="A461" s="41" t="s">
        <v>1303</v>
      </c>
      <c r="B461" s="3" t="s">
        <v>251</v>
      </c>
      <c r="C461" s="41" t="s">
        <v>1148</v>
      </c>
      <c r="D461">
        <v>2</v>
      </c>
      <c r="E461" t="s">
        <v>1017</v>
      </c>
      <c r="F461" t="s">
        <v>975</v>
      </c>
      <c r="G461" t="s">
        <v>180</v>
      </c>
      <c r="H461" s="1" t="s">
        <v>976</v>
      </c>
      <c r="I461" s="1">
        <v>2400</v>
      </c>
      <c r="J461" s="20">
        <v>0</v>
      </c>
      <c r="K461" s="1">
        <v>0</v>
      </c>
      <c r="L461" s="1">
        <v>0</v>
      </c>
      <c r="M461" s="42" t="s">
        <v>2789</v>
      </c>
      <c r="Q461" t="s">
        <v>251</v>
      </c>
    </row>
    <row r="462" spans="1:17" ht="15" customHeight="1" x14ac:dyDescent="0.25">
      <c r="A462" s="3" t="s">
        <v>1304</v>
      </c>
      <c r="B462" s="4" t="s">
        <v>252</v>
      </c>
      <c r="C462" t="s">
        <v>1148</v>
      </c>
      <c r="D462">
        <v>1</v>
      </c>
      <c r="E462" t="s">
        <v>974</v>
      </c>
      <c r="F462" t="s">
        <v>975</v>
      </c>
      <c r="G462" t="s">
        <v>180</v>
      </c>
      <c r="H462" s="1" t="s">
        <v>976</v>
      </c>
      <c r="I462" s="1">
        <v>1665</v>
      </c>
      <c r="J462" s="20">
        <v>12</v>
      </c>
      <c r="K462" s="1">
        <v>282.90849600000001</v>
      </c>
      <c r="L462" s="1">
        <v>3394.9</v>
      </c>
      <c r="M462" s="42" t="s">
        <v>2789</v>
      </c>
      <c r="Q462" t="s">
        <v>252</v>
      </c>
    </row>
    <row r="463" spans="1:17" ht="15" customHeight="1" x14ac:dyDescent="0.25">
      <c r="A463" s="41" t="s">
        <v>1304</v>
      </c>
      <c r="B463" s="3" t="s">
        <v>252</v>
      </c>
      <c r="C463" s="41" t="s">
        <v>1148</v>
      </c>
      <c r="D463">
        <v>2</v>
      </c>
      <c r="E463" t="s">
        <v>1017</v>
      </c>
      <c r="F463" t="s">
        <v>975</v>
      </c>
      <c r="G463" t="s">
        <v>180</v>
      </c>
      <c r="H463" s="1" t="s">
        <v>976</v>
      </c>
      <c r="I463" s="1">
        <v>1665</v>
      </c>
      <c r="J463" s="20">
        <v>0</v>
      </c>
      <c r="K463" s="1">
        <v>219</v>
      </c>
      <c r="L463" s="1">
        <v>0</v>
      </c>
      <c r="M463" s="42" t="s">
        <v>2789</v>
      </c>
      <c r="Q463" t="s">
        <v>252</v>
      </c>
    </row>
    <row r="464" spans="1:17" ht="15" customHeight="1" x14ac:dyDescent="0.25">
      <c r="A464" s="41" t="s">
        <v>1304</v>
      </c>
      <c r="B464" s="3" t="s">
        <v>252</v>
      </c>
      <c r="C464" s="41" t="s">
        <v>1148</v>
      </c>
      <c r="D464">
        <v>3</v>
      </c>
      <c r="E464" t="s">
        <v>1179</v>
      </c>
      <c r="F464" t="s">
        <v>1180</v>
      </c>
      <c r="G464" t="s">
        <v>180</v>
      </c>
      <c r="H464" s="1" t="s">
        <v>976</v>
      </c>
      <c r="I464" s="1">
        <v>1665</v>
      </c>
      <c r="J464" s="20">
        <v>0</v>
      </c>
      <c r="K464" s="1">
        <v>219</v>
      </c>
      <c r="L464" s="1">
        <v>0</v>
      </c>
      <c r="M464" s="42" t="s">
        <v>2789</v>
      </c>
      <c r="Q464" t="s">
        <v>252</v>
      </c>
    </row>
    <row r="465" spans="1:17" ht="15" customHeight="1" x14ac:dyDescent="0.25">
      <c r="A465" s="3" t="s">
        <v>1305</v>
      </c>
      <c r="B465" s="4" t="s">
        <v>2792</v>
      </c>
      <c r="C465" t="s">
        <v>1148</v>
      </c>
      <c r="D465">
        <v>1</v>
      </c>
      <c r="E465" t="s">
        <v>974</v>
      </c>
      <c r="F465" t="s">
        <v>975</v>
      </c>
      <c r="G465" t="s">
        <v>180</v>
      </c>
      <c r="H465" s="1" t="s">
        <v>976</v>
      </c>
      <c r="I465" s="1">
        <v>1665</v>
      </c>
      <c r="J465" s="20">
        <v>9</v>
      </c>
      <c r="K465" s="1">
        <v>275</v>
      </c>
      <c r="L465" s="1">
        <v>2475</v>
      </c>
      <c r="M465" s="42" t="s">
        <v>2789</v>
      </c>
      <c r="O465" s="2" t="s">
        <v>2727</v>
      </c>
      <c r="P465" t="s">
        <v>22</v>
      </c>
      <c r="Q465" t="s">
        <v>764</v>
      </c>
    </row>
    <row r="466" spans="1:17" ht="15" customHeight="1" x14ac:dyDescent="0.25">
      <c r="A466" s="41" t="s">
        <v>1305</v>
      </c>
      <c r="B466" s="3" t="s">
        <v>2792</v>
      </c>
      <c r="C466" s="41" t="s">
        <v>1148</v>
      </c>
      <c r="D466">
        <v>2</v>
      </c>
      <c r="E466" t="s">
        <v>1017</v>
      </c>
      <c r="F466" t="s">
        <v>975</v>
      </c>
      <c r="G466" t="s">
        <v>180</v>
      </c>
      <c r="H466" s="1" t="s">
        <v>976</v>
      </c>
      <c r="I466" s="1">
        <v>1665</v>
      </c>
      <c r="J466" s="20">
        <v>1</v>
      </c>
      <c r="K466" s="1">
        <v>275</v>
      </c>
      <c r="L466" s="1">
        <v>275</v>
      </c>
      <c r="M466" s="42" t="s">
        <v>2789</v>
      </c>
      <c r="O466" s="2" t="s">
        <v>2727</v>
      </c>
      <c r="P466" t="s">
        <v>22</v>
      </c>
      <c r="Q466" t="s">
        <v>764</v>
      </c>
    </row>
    <row r="467" spans="1:17" ht="15" customHeight="1" x14ac:dyDescent="0.25">
      <c r="A467" s="41" t="s">
        <v>1305</v>
      </c>
      <c r="B467" s="3" t="s">
        <v>2792</v>
      </c>
      <c r="C467" s="41" t="s">
        <v>1148</v>
      </c>
      <c r="D467">
        <v>3</v>
      </c>
      <c r="E467" t="s">
        <v>1179</v>
      </c>
      <c r="F467" t="s">
        <v>1180</v>
      </c>
      <c r="G467" t="s">
        <v>180</v>
      </c>
      <c r="H467" s="1" t="s">
        <v>976</v>
      </c>
      <c r="I467" s="1">
        <v>1665</v>
      </c>
      <c r="J467" s="20">
        <v>1</v>
      </c>
      <c r="K467" s="1">
        <v>1330</v>
      </c>
      <c r="L467" s="1">
        <v>1330</v>
      </c>
      <c r="M467" s="42" t="s">
        <v>2789</v>
      </c>
      <c r="O467" s="2" t="s">
        <v>2727</v>
      </c>
      <c r="P467" t="s">
        <v>22</v>
      </c>
      <c r="Q467" t="s">
        <v>764</v>
      </c>
    </row>
    <row r="468" spans="1:17" ht="15" customHeight="1" x14ac:dyDescent="0.25">
      <c r="A468" s="3" t="s">
        <v>1306</v>
      </c>
      <c r="B468" s="4" t="s">
        <v>253</v>
      </c>
      <c r="C468" t="s">
        <v>1148</v>
      </c>
      <c r="D468">
        <v>1</v>
      </c>
      <c r="E468" t="s">
        <v>974</v>
      </c>
      <c r="F468" t="s">
        <v>975</v>
      </c>
      <c r="G468" t="s">
        <v>180</v>
      </c>
      <c r="H468" s="1" t="s">
        <v>976</v>
      </c>
      <c r="I468" s="1">
        <v>2400</v>
      </c>
      <c r="J468" s="20">
        <v>1</v>
      </c>
      <c r="K468" s="1">
        <v>290</v>
      </c>
      <c r="L468" s="1">
        <v>290</v>
      </c>
      <c r="M468" s="42" t="s">
        <v>2789</v>
      </c>
      <c r="Q468" t="s">
        <v>253</v>
      </c>
    </row>
    <row r="469" spans="1:17" ht="15" customHeight="1" x14ac:dyDescent="0.25">
      <c r="A469" s="3" t="s">
        <v>1307</v>
      </c>
      <c r="B469" s="4" t="s">
        <v>254</v>
      </c>
      <c r="C469" t="s">
        <v>1148</v>
      </c>
      <c r="D469">
        <v>1</v>
      </c>
      <c r="E469" t="s">
        <v>974</v>
      </c>
      <c r="F469" t="s">
        <v>975</v>
      </c>
      <c r="G469" t="s">
        <v>180</v>
      </c>
      <c r="H469" s="1" t="s">
        <v>976</v>
      </c>
      <c r="I469" s="1">
        <v>1665</v>
      </c>
      <c r="J469" s="20">
        <v>11</v>
      </c>
      <c r="K469" s="1">
        <v>285</v>
      </c>
      <c r="L469" s="1">
        <v>3135</v>
      </c>
      <c r="M469" s="42" t="s">
        <v>2789</v>
      </c>
      <c r="Q469" t="s">
        <v>254</v>
      </c>
    </row>
    <row r="470" spans="1:17" ht="15" customHeight="1" x14ac:dyDescent="0.25">
      <c r="A470" s="41" t="s">
        <v>1307</v>
      </c>
      <c r="B470" s="3" t="s">
        <v>254</v>
      </c>
      <c r="C470" s="41" t="s">
        <v>1148</v>
      </c>
      <c r="D470">
        <v>2</v>
      </c>
      <c r="E470" t="s">
        <v>1017</v>
      </c>
      <c r="F470" t="s">
        <v>975</v>
      </c>
      <c r="G470" t="s">
        <v>180</v>
      </c>
      <c r="H470" s="1" t="s">
        <v>976</v>
      </c>
      <c r="I470" s="1">
        <v>1665</v>
      </c>
      <c r="J470" s="20">
        <v>0</v>
      </c>
      <c r="K470" s="1">
        <v>132.91666599999999</v>
      </c>
      <c r="L470" s="1">
        <v>0</v>
      </c>
      <c r="M470" s="42" t="s">
        <v>2789</v>
      </c>
      <c r="Q470" t="s">
        <v>254</v>
      </c>
    </row>
    <row r="471" spans="1:17" ht="15" customHeight="1" x14ac:dyDescent="0.25">
      <c r="A471" s="41" t="s">
        <v>1307</v>
      </c>
      <c r="B471" s="3" t="s">
        <v>254</v>
      </c>
      <c r="C471" s="41" t="s">
        <v>1148</v>
      </c>
      <c r="D471">
        <v>3</v>
      </c>
      <c r="E471" t="s">
        <v>1179</v>
      </c>
      <c r="F471" t="s">
        <v>1180</v>
      </c>
      <c r="G471" t="s">
        <v>180</v>
      </c>
      <c r="H471" s="1" t="s">
        <v>976</v>
      </c>
      <c r="I471" s="1">
        <v>1665</v>
      </c>
      <c r="J471" s="20">
        <v>0</v>
      </c>
      <c r="K471" s="1">
        <v>109.5</v>
      </c>
      <c r="L471" s="1">
        <v>0</v>
      </c>
      <c r="M471" s="42" t="s">
        <v>2789</v>
      </c>
      <c r="Q471" t="s">
        <v>254</v>
      </c>
    </row>
    <row r="472" spans="1:17" ht="15" customHeight="1" x14ac:dyDescent="0.25">
      <c r="A472" s="3" t="s">
        <v>1308</v>
      </c>
      <c r="B472" s="4" t="s">
        <v>255</v>
      </c>
      <c r="C472" t="s">
        <v>1148</v>
      </c>
      <c r="D472">
        <v>1</v>
      </c>
      <c r="E472" t="s">
        <v>974</v>
      </c>
      <c r="F472" t="s">
        <v>975</v>
      </c>
      <c r="G472" t="s">
        <v>180</v>
      </c>
      <c r="H472" s="1" t="s">
        <v>976</v>
      </c>
      <c r="I472" s="1">
        <v>910</v>
      </c>
      <c r="J472" s="20">
        <v>1</v>
      </c>
      <c r="K472" s="1">
        <v>302.52</v>
      </c>
      <c r="L472" s="1">
        <v>302.52</v>
      </c>
      <c r="M472" s="42" t="s">
        <v>2793</v>
      </c>
      <c r="Q472" t="s">
        <v>255</v>
      </c>
    </row>
    <row r="473" spans="1:17" ht="15" customHeight="1" x14ac:dyDescent="0.25">
      <c r="A473" s="3" t="s">
        <v>2253</v>
      </c>
      <c r="B473" s="4" t="s">
        <v>557</v>
      </c>
      <c r="C473" t="s">
        <v>1309</v>
      </c>
      <c r="D473">
        <v>1</v>
      </c>
      <c r="E473" t="s">
        <v>974</v>
      </c>
      <c r="F473" t="s">
        <v>975</v>
      </c>
      <c r="G473" t="s">
        <v>976</v>
      </c>
      <c r="H473" s="1" t="s">
        <v>976</v>
      </c>
      <c r="I473" s="1">
        <v>180</v>
      </c>
      <c r="J473" s="20">
        <v>152</v>
      </c>
      <c r="K473" s="1">
        <v>80</v>
      </c>
      <c r="L473" s="1">
        <v>12160</v>
      </c>
      <c r="M473" s="42" t="s">
        <v>2794</v>
      </c>
      <c r="Q473" t="s">
        <v>557</v>
      </c>
    </row>
    <row r="474" spans="1:17" ht="15" customHeight="1" x14ac:dyDescent="0.25">
      <c r="A474" s="3" t="s">
        <v>2254</v>
      </c>
      <c r="B474" s="4" t="s">
        <v>558</v>
      </c>
      <c r="C474" t="s">
        <v>1309</v>
      </c>
      <c r="D474">
        <v>1</v>
      </c>
      <c r="E474" t="s">
        <v>974</v>
      </c>
      <c r="F474" t="s">
        <v>975</v>
      </c>
      <c r="G474" t="s">
        <v>976</v>
      </c>
      <c r="H474" s="1" t="s">
        <v>976</v>
      </c>
      <c r="I474" s="1">
        <v>110</v>
      </c>
      <c r="J474" s="20">
        <v>172</v>
      </c>
      <c r="K474" s="1">
        <v>0</v>
      </c>
      <c r="L474" s="1">
        <v>0</v>
      </c>
      <c r="M474" s="42" t="s">
        <v>2794</v>
      </c>
      <c r="Q474" t="s">
        <v>558</v>
      </c>
    </row>
    <row r="475" spans="1:17" ht="15" customHeight="1" x14ac:dyDescent="0.25">
      <c r="A475" s="3" t="s">
        <v>1310</v>
      </c>
      <c r="B475" s="4" t="s">
        <v>2796</v>
      </c>
      <c r="C475" t="s">
        <v>1152</v>
      </c>
      <c r="D475">
        <v>1</v>
      </c>
      <c r="E475" t="s">
        <v>974</v>
      </c>
      <c r="F475" t="s">
        <v>975</v>
      </c>
      <c r="G475" t="s">
        <v>180</v>
      </c>
      <c r="H475" s="1" t="s">
        <v>976</v>
      </c>
      <c r="I475" s="1">
        <v>4200</v>
      </c>
      <c r="J475" s="20">
        <v>-2</v>
      </c>
      <c r="K475" s="1">
        <v>0</v>
      </c>
      <c r="L475" s="1">
        <v>0</v>
      </c>
      <c r="M475" s="42" t="s">
        <v>2795</v>
      </c>
      <c r="O475" s="2" t="s">
        <v>2433</v>
      </c>
      <c r="Q475" t="s">
        <v>765</v>
      </c>
    </row>
    <row r="476" spans="1:17" ht="15" customHeight="1" x14ac:dyDescent="0.25">
      <c r="A476" s="41" t="s">
        <v>1310</v>
      </c>
      <c r="B476" s="3" t="s">
        <v>2796</v>
      </c>
      <c r="C476" s="41" t="s">
        <v>1152</v>
      </c>
      <c r="D476">
        <v>4</v>
      </c>
      <c r="E476" t="s">
        <v>1018</v>
      </c>
      <c r="F476" t="s">
        <v>975</v>
      </c>
      <c r="G476" t="s">
        <v>180</v>
      </c>
      <c r="H476" s="1" t="s">
        <v>976</v>
      </c>
      <c r="I476" s="1">
        <v>4200</v>
      </c>
      <c r="J476" s="20">
        <v>0</v>
      </c>
      <c r="K476" s="1">
        <v>0</v>
      </c>
      <c r="L476" s="1">
        <v>0</v>
      </c>
      <c r="M476" s="42" t="s">
        <v>2795</v>
      </c>
      <c r="O476" s="2" t="s">
        <v>2433</v>
      </c>
      <c r="Q476" t="s">
        <v>765</v>
      </c>
    </row>
    <row r="477" spans="1:17" ht="15" customHeight="1" x14ac:dyDescent="0.25">
      <c r="A477" s="3" t="s">
        <v>1311</v>
      </c>
      <c r="B477" s="4" t="s">
        <v>256</v>
      </c>
      <c r="C477" t="s">
        <v>1312</v>
      </c>
      <c r="D477">
        <v>1</v>
      </c>
      <c r="E477" t="s">
        <v>974</v>
      </c>
      <c r="F477" t="s">
        <v>975</v>
      </c>
      <c r="G477" t="s">
        <v>180</v>
      </c>
      <c r="H477" s="1" t="s">
        <v>976</v>
      </c>
      <c r="I477" s="1">
        <v>4200</v>
      </c>
      <c r="J477" s="20">
        <v>5</v>
      </c>
      <c r="K477" s="1">
        <v>1</v>
      </c>
      <c r="L477" s="1">
        <v>5</v>
      </c>
      <c r="M477" s="42" t="s">
        <v>2795</v>
      </c>
      <c r="Q477" t="s">
        <v>256</v>
      </c>
    </row>
    <row r="478" spans="1:17" ht="15" customHeight="1" x14ac:dyDescent="0.25">
      <c r="A478" s="3" t="s">
        <v>1313</v>
      </c>
      <c r="B478" s="4" t="s">
        <v>2797</v>
      </c>
      <c r="C478" t="s">
        <v>1152</v>
      </c>
      <c r="D478">
        <v>1</v>
      </c>
      <c r="E478" t="s">
        <v>974</v>
      </c>
      <c r="F478" t="s">
        <v>975</v>
      </c>
      <c r="G478" t="s">
        <v>180</v>
      </c>
      <c r="H478" s="1" t="s">
        <v>976</v>
      </c>
      <c r="I478" s="1">
        <v>4800</v>
      </c>
      <c r="J478" s="20">
        <v>5</v>
      </c>
      <c r="K478" s="1">
        <v>1</v>
      </c>
      <c r="L478" s="1">
        <v>5</v>
      </c>
      <c r="M478" s="42" t="s">
        <v>2795</v>
      </c>
      <c r="O478" s="2" t="s">
        <v>2495</v>
      </c>
      <c r="Q478" t="s">
        <v>766</v>
      </c>
    </row>
    <row r="479" spans="1:17" ht="15" customHeight="1" x14ac:dyDescent="0.25">
      <c r="A479" s="3" t="s">
        <v>2255</v>
      </c>
      <c r="B479" s="4" t="s">
        <v>2799</v>
      </c>
      <c r="C479" t="s">
        <v>1196</v>
      </c>
      <c r="D479">
        <v>1</v>
      </c>
      <c r="E479" t="s">
        <v>974</v>
      </c>
      <c r="F479" t="s">
        <v>975</v>
      </c>
      <c r="G479" t="s">
        <v>180</v>
      </c>
      <c r="H479" s="1" t="s">
        <v>976</v>
      </c>
      <c r="I479" s="1">
        <v>1200</v>
      </c>
      <c r="J479" s="20">
        <v>-1</v>
      </c>
      <c r="K479" s="1">
        <v>0</v>
      </c>
      <c r="L479" s="1">
        <v>0</v>
      </c>
      <c r="M479" s="42" t="s">
        <v>2798</v>
      </c>
      <c r="N479" s="1" t="s">
        <v>2616</v>
      </c>
      <c r="O479" s="2" t="s">
        <v>2472</v>
      </c>
      <c r="Q479" t="s">
        <v>767</v>
      </c>
    </row>
    <row r="480" spans="1:17" ht="15" customHeight="1" x14ac:dyDescent="0.25">
      <c r="A480" s="41" t="s">
        <v>2255</v>
      </c>
      <c r="B480" s="3" t="s">
        <v>2799</v>
      </c>
      <c r="C480" s="41" t="s">
        <v>1196</v>
      </c>
      <c r="D480">
        <v>4</v>
      </c>
      <c r="E480" t="s">
        <v>1018</v>
      </c>
      <c r="F480" t="s">
        <v>975</v>
      </c>
      <c r="G480" t="s">
        <v>180</v>
      </c>
      <c r="H480" s="1" t="s">
        <v>976</v>
      </c>
      <c r="I480" s="1">
        <v>1200</v>
      </c>
      <c r="J480" s="20">
        <v>1</v>
      </c>
      <c r="K480" s="1">
        <v>1200</v>
      </c>
      <c r="L480" s="1">
        <v>1200</v>
      </c>
      <c r="M480" s="42" t="s">
        <v>2798</v>
      </c>
      <c r="N480" s="1" t="s">
        <v>2616</v>
      </c>
      <c r="O480" s="2" t="s">
        <v>2472</v>
      </c>
      <c r="Q480" t="s">
        <v>767</v>
      </c>
    </row>
    <row r="481" spans="1:17" ht="15" customHeight="1" x14ac:dyDescent="0.25">
      <c r="A481" s="3" t="s">
        <v>2256</v>
      </c>
      <c r="B481" s="4" t="s">
        <v>2800</v>
      </c>
      <c r="C481" t="s">
        <v>1196</v>
      </c>
      <c r="D481">
        <v>1</v>
      </c>
      <c r="E481" t="s">
        <v>974</v>
      </c>
      <c r="F481" t="s">
        <v>975</v>
      </c>
      <c r="G481" t="s">
        <v>976</v>
      </c>
      <c r="H481" s="1" t="s">
        <v>976</v>
      </c>
      <c r="I481" s="1">
        <v>1140</v>
      </c>
      <c r="J481" s="20">
        <v>0</v>
      </c>
      <c r="K481" s="1">
        <v>0</v>
      </c>
      <c r="L481" s="1">
        <v>0</v>
      </c>
      <c r="M481" s="42" t="s">
        <v>2798</v>
      </c>
      <c r="N481" s="1" t="s">
        <v>2616</v>
      </c>
      <c r="O481" s="2" t="s">
        <v>2443</v>
      </c>
      <c r="Q481" t="s">
        <v>768</v>
      </c>
    </row>
    <row r="482" spans="1:17" ht="15" customHeight="1" x14ac:dyDescent="0.25">
      <c r="A482" s="41" t="s">
        <v>2256</v>
      </c>
      <c r="B482" s="3" t="s">
        <v>2800</v>
      </c>
      <c r="C482" s="41" t="s">
        <v>1196</v>
      </c>
      <c r="D482">
        <v>4</v>
      </c>
      <c r="E482" t="s">
        <v>1018</v>
      </c>
      <c r="F482" t="s">
        <v>975</v>
      </c>
      <c r="G482" t="s">
        <v>976</v>
      </c>
      <c r="H482" s="1" t="s">
        <v>976</v>
      </c>
      <c r="I482" s="1">
        <v>1140</v>
      </c>
      <c r="J482" s="20">
        <v>1</v>
      </c>
      <c r="K482" s="1">
        <v>1140</v>
      </c>
      <c r="L482" s="1">
        <v>1140</v>
      </c>
      <c r="M482" s="42" t="s">
        <v>2798</v>
      </c>
      <c r="N482" s="1" t="s">
        <v>2616</v>
      </c>
      <c r="O482" s="2" t="s">
        <v>2443</v>
      </c>
      <c r="Q482" t="s">
        <v>768</v>
      </c>
    </row>
    <row r="483" spans="1:17" ht="15" customHeight="1" x14ac:dyDescent="0.25">
      <c r="A483" s="3" t="s">
        <v>2257</v>
      </c>
      <c r="B483" s="4" t="s">
        <v>2801</v>
      </c>
      <c r="C483" t="s">
        <v>1196</v>
      </c>
      <c r="D483">
        <v>1</v>
      </c>
      <c r="E483" t="s">
        <v>974</v>
      </c>
      <c r="F483" t="s">
        <v>975</v>
      </c>
      <c r="G483" t="s">
        <v>180</v>
      </c>
      <c r="H483" s="1" t="s">
        <v>976</v>
      </c>
      <c r="I483" s="1">
        <v>580</v>
      </c>
      <c r="J483" s="20">
        <v>1</v>
      </c>
      <c r="K483" s="1">
        <v>60</v>
      </c>
      <c r="L483" s="1">
        <v>60</v>
      </c>
      <c r="M483" s="42" t="s">
        <v>2798</v>
      </c>
      <c r="O483" s="2" t="s">
        <v>2472</v>
      </c>
      <c r="P483" t="s">
        <v>23</v>
      </c>
      <c r="Q483" t="s">
        <v>769</v>
      </c>
    </row>
    <row r="484" spans="1:17" ht="15" customHeight="1" x14ac:dyDescent="0.25">
      <c r="A484" s="41" t="s">
        <v>2257</v>
      </c>
      <c r="B484" s="3" t="s">
        <v>2801</v>
      </c>
      <c r="C484" s="41" t="s">
        <v>1196</v>
      </c>
      <c r="D484">
        <v>3</v>
      </c>
      <c r="E484" t="s">
        <v>1179</v>
      </c>
      <c r="F484" t="s">
        <v>1180</v>
      </c>
      <c r="G484" t="s">
        <v>180</v>
      </c>
      <c r="H484" s="1" t="s">
        <v>976</v>
      </c>
      <c r="I484" s="1">
        <v>580</v>
      </c>
      <c r="J484" s="20">
        <v>0</v>
      </c>
      <c r="K484" s="1">
        <v>60</v>
      </c>
      <c r="L484" s="1">
        <v>0</v>
      </c>
      <c r="M484" s="42" t="s">
        <v>2798</v>
      </c>
      <c r="O484" s="2" t="s">
        <v>2472</v>
      </c>
      <c r="P484" t="s">
        <v>23</v>
      </c>
      <c r="Q484" t="s">
        <v>769</v>
      </c>
    </row>
    <row r="485" spans="1:17" ht="15" customHeight="1" x14ac:dyDescent="0.25">
      <c r="A485" s="3" t="s">
        <v>2258</v>
      </c>
      <c r="B485" s="4" t="s">
        <v>2802</v>
      </c>
      <c r="C485" t="s">
        <v>1196</v>
      </c>
      <c r="D485">
        <v>1</v>
      </c>
      <c r="E485" t="s">
        <v>974</v>
      </c>
      <c r="F485" t="s">
        <v>975</v>
      </c>
      <c r="G485" t="s">
        <v>180</v>
      </c>
      <c r="H485" s="1" t="s">
        <v>976</v>
      </c>
      <c r="I485" s="1">
        <v>1220</v>
      </c>
      <c r="J485" s="20">
        <v>-2</v>
      </c>
      <c r="K485" s="1">
        <v>0</v>
      </c>
      <c r="L485" s="1">
        <v>0</v>
      </c>
      <c r="M485" s="42" t="s">
        <v>2798</v>
      </c>
      <c r="N485" s="1" t="s">
        <v>2616</v>
      </c>
      <c r="O485" s="2" t="s">
        <v>2463</v>
      </c>
      <c r="Q485" t="s">
        <v>770</v>
      </c>
    </row>
    <row r="486" spans="1:17" ht="15" customHeight="1" x14ac:dyDescent="0.25">
      <c r="A486" s="3" t="s">
        <v>2259</v>
      </c>
      <c r="B486" s="4" t="s">
        <v>2803</v>
      </c>
      <c r="C486" t="s">
        <v>1196</v>
      </c>
      <c r="D486">
        <v>1</v>
      </c>
      <c r="E486" t="s">
        <v>974</v>
      </c>
      <c r="F486" t="s">
        <v>975</v>
      </c>
      <c r="G486" t="s">
        <v>180</v>
      </c>
      <c r="H486" s="1" t="s">
        <v>976</v>
      </c>
      <c r="I486" s="1">
        <v>770</v>
      </c>
      <c r="J486" s="20">
        <v>0</v>
      </c>
      <c r="K486" s="1">
        <v>131.13</v>
      </c>
      <c r="L486" s="1">
        <v>0</v>
      </c>
      <c r="M486" s="42" t="s">
        <v>2798</v>
      </c>
      <c r="O486" s="2" t="s">
        <v>2463</v>
      </c>
      <c r="Q486" t="s">
        <v>771</v>
      </c>
    </row>
    <row r="487" spans="1:17" ht="15" customHeight="1" x14ac:dyDescent="0.25">
      <c r="A487" s="3" t="s">
        <v>2260</v>
      </c>
      <c r="B487" s="4" t="s">
        <v>2803</v>
      </c>
      <c r="C487" t="s">
        <v>1196</v>
      </c>
      <c r="D487">
        <v>1</v>
      </c>
      <c r="E487" t="s">
        <v>974</v>
      </c>
      <c r="F487" t="s">
        <v>975</v>
      </c>
      <c r="G487" t="s">
        <v>180</v>
      </c>
      <c r="H487" s="1" t="s">
        <v>976</v>
      </c>
      <c r="I487" s="1">
        <v>770</v>
      </c>
      <c r="J487" s="20">
        <v>0</v>
      </c>
      <c r="K487" s="1">
        <v>131.13</v>
      </c>
      <c r="L487" s="1">
        <v>0</v>
      </c>
      <c r="M487" s="42" t="s">
        <v>2798</v>
      </c>
      <c r="O487" s="2" t="s">
        <v>2463</v>
      </c>
      <c r="Q487" t="s">
        <v>771</v>
      </c>
    </row>
    <row r="488" spans="1:17" ht="15" customHeight="1" x14ac:dyDescent="0.25">
      <c r="A488" s="3" t="s">
        <v>2261</v>
      </c>
      <c r="B488" s="4" t="s">
        <v>2803</v>
      </c>
      <c r="C488" t="s">
        <v>1196</v>
      </c>
      <c r="D488">
        <v>1</v>
      </c>
      <c r="E488" t="s">
        <v>974</v>
      </c>
      <c r="F488" t="s">
        <v>975</v>
      </c>
      <c r="G488" t="s">
        <v>180</v>
      </c>
      <c r="H488" s="1" t="s">
        <v>976</v>
      </c>
      <c r="I488" s="1">
        <v>770</v>
      </c>
      <c r="J488" s="20">
        <v>0</v>
      </c>
      <c r="K488" s="1">
        <v>131.13</v>
      </c>
      <c r="L488" s="1">
        <v>0</v>
      </c>
      <c r="M488" s="42" t="s">
        <v>2798</v>
      </c>
      <c r="O488" s="2" t="s">
        <v>2463</v>
      </c>
      <c r="Q488" t="s">
        <v>771</v>
      </c>
    </row>
    <row r="489" spans="1:17" ht="15" customHeight="1" x14ac:dyDescent="0.25">
      <c r="A489" s="41" t="s">
        <v>2261</v>
      </c>
      <c r="B489" s="3" t="s">
        <v>2803</v>
      </c>
      <c r="C489" s="41" t="s">
        <v>1196</v>
      </c>
      <c r="D489">
        <v>2</v>
      </c>
      <c r="E489" t="s">
        <v>1017</v>
      </c>
      <c r="F489" t="s">
        <v>975</v>
      </c>
      <c r="G489" t="s">
        <v>180</v>
      </c>
      <c r="H489" s="1" t="s">
        <v>976</v>
      </c>
      <c r="I489" s="1">
        <v>770</v>
      </c>
      <c r="J489" s="20">
        <v>0</v>
      </c>
      <c r="K489" s="1">
        <v>131.13</v>
      </c>
      <c r="L489" s="1">
        <v>0</v>
      </c>
      <c r="M489" s="42" t="s">
        <v>2798</v>
      </c>
      <c r="O489" s="2" t="s">
        <v>2463</v>
      </c>
      <c r="Q489" t="s">
        <v>771</v>
      </c>
    </row>
    <row r="490" spans="1:17" ht="15" customHeight="1" x14ac:dyDescent="0.25">
      <c r="A490" s="41" t="s">
        <v>2261</v>
      </c>
      <c r="B490" s="3" t="s">
        <v>2803</v>
      </c>
      <c r="C490" s="41" t="s">
        <v>1196</v>
      </c>
      <c r="D490">
        <v>3</v>
      </c>
      <c r="E490" t="s">
        <v>1179</v>
      </c>
      <c r="F490" t="s">
        <v>1180</v>
      </c>
      <c r="G490" t="s">
        <v>180</v>
      </c>
      <c r="H490" s="1" t="s">
        <v>976</v>
      </c>
      <c r="I490" s="1">
        <v>770</v>
      </c>
      <c r="J490" s="20">
        <v>0</v>
      </c>
      <c r="K490" s="1">
        <v>131.13</v>
      </c>
      <c r="L490" s="1">
        <v>0</v>
      </c>
      <c r="M490" s="42" t="s">
        <v>2798</v>
      </c>
      <c r="O490" s="2" t="s">
        <v>2463</v>
      </c>
      <c r="Q490" t="s">
        <v>771</v>
      </c>
    </row>
    <row r="491" spans="1:17" ht="15" customHeight="1" x14ac:dyDescent="0.25">
      <c r="A491" s="41" t="s">
        <v>2261</v>
      </c>
      <c r="B491" s="3" t="s">
        <v>2803</v>
      </c>
      <c r="C491" s="41" t="s">
        <v>1196</v>
      </c>
      <c r="D491">
        <v>4</v>
      </c>
      <c r="E491" t="s">
        <v>1018</v>
      </c>
      <c r="F491" t="s">
        <v>975</v>
      </c>
      <c r="G491" t="s">
        <v>180</v>
      </c>
      <c r="H491" s="1" t="s">
        <v>976</v>
      </c>
      <c r="I491" s="1">
        <v>770</v>
      </c>
      <c r="J491" s="20">
        <v>1</v>
      </c>
      <c r="K491" s="1">
        <v>770</v>
      </c>
      <c r="L491" s="1">
        <v>770</v>
      </c>
      <c r="M491" s="42" t="s">
        <v>2798</v>
      </c>
      <c r="O491" s="2" t="s">
        <v>2463</v>
      </c>
      <c r="Q491" t="s">
        <v>771</v>
      </c>
    </row>
    <row r="492" spans="1:17" ht="15" customHeight="1" x14ac:dyDescent="0.25">
      <c r="A492" s="3" t="s">
        <v>2262</v>
      </c>
      <c r="B492" s="4" t="s">
        <v>2803</v>
      </c>
      <c r="C492" t="s">
        <v>1196</v>
      </c>
      <c r="D492">
        <v>1</v>
      </c>
      <c r="E492" t="s">
        <v>974</v>
      </c>
      <c r="F492" t="s">
        <v>975</v>
      </c>
      <c r="G492" t="s">
        <v>180</v>
      </c>
      <c r="H492" s="1" t="s">
        <v>976</v>
      </c>
      <c r="I492" s="1">
        <v>770</v>
      </c>
      <c r="J492" s="20">
        <v>0</v>
      </c>
      <c r="K492" s="1">
        <v>131.13</v>
      </c>
      <c r="L492" s="1">
        <v>0</v>
      </c>
      <c r="M492" s="42" t="s">
        <v>2798</v>
      </c>
      <c r="O492" s="2" t="s">
        <v>2463</v>
      </c>
      <c r="Q492" t="s">
        <v>771</v>
      </c>
    </row>
    <row r="493" spans="1:17" ht="15" customHeight="1" x14ac:dyDescent="0.25">
      <c r="A493" s="3" t="s">
        <v>2263</v>
      </c>
      <c r="B493" s="4" t="s">
        <v>559</v>
      </c>
      <c r="C493" t="s">
        <v>1196</v>
      </c>
      <c r="D493">
        <v>1</v>
      </c>
      <c r="E493" t="s">
        <v>974</v>
      </c>
      <c r="F493" t="s">
        <v>975</v>
      </c>
      <c r="G493" t="s">
        <v>180</v>
      </c>
      <c r="H493" s="1" t="s">
        <v>976</v>
      </c>
      <c r="I493" s="1">
        <v>770</v>
      </c>
      <c r="J493" s="20">
        <v>3</v>
      </c>
      <c r="K493" s="1">
        <v>126.03</v>
      </c>
      <c r="L493" s="1">
        <v>378.09</v>
      </c>
      <c r="M493" s="42" t="s">
        <v>2798</v>
      </c>
      <c r="P493" t="s">
        <v>24</v>
      </c>
      <c r="Q493" t="s">
        <v>559</v>
      </c>
    </row>
    <row r="494" spans="1:17" ht="15" customHeight="1" x14ac:dyDescent="0.25">
      <c r="A494" s="3" t="s">
        <v>2264</v>
      </c>
      <c r="B494" s="4" t="s">
        <v>560</v>
      </c>
      <c r="C494" t="s">
        <v>1196</v>
      </c>
      <c r="D494">
        <v>1</v>
      </c>
      <c r="E494" t="s">
        <v>974</v>
      </c>
      <c r="F494" t="s">
        <v>975</v>
      </c>
      <c r="G494" t="s">
        <v>180</v>
      </c>
      <c r="H494" s="1" t="s">
        <v>976</v>
      </c>
      <c r="I494" s="1">
        <v>770</v>
      </c>
      <c r="J494" s="20">
        <v>1</v>
      </c>
      <c r="K494" s="1">
        <v>126.03</v>
      </c>
      <c r="L494" s="1">
        <v>126.03</v>
      </c>
      <c r="M494" s="42" t="s">
        <v>2798</v>
      </c>
      <c r="Q494" t="s">
        <v>560</v>
      </c>
    </row>
    <row r="495" spans="1:17" ht="15" customHeight="1" x14ac:dyDescent="0.25">
      <c r="A495" s="3" t="s">
        <v>2265</v>
      </c>
      <c r="B495" s="4" t="s">
        <v>561</v>
      </c>
      <c r="C495" t="s">
        <v>1196</v>
      </c>
      <c r="D495">
        <v>1</v>
      </c>
      <c r="E495" t="s">
        <v>974</v>
      </c>
      <c r="F495" t="s">
        <v>975</v>
      </c>
      <c r="G495" t="s">
        <v>180</v>
      </c>
      <c r="H495" s="1" t="s">
        <v>976</v>
      </c>
      <c r="I495" s="1">
        <v>770</v>
      </c>
      <c r="J495" s="20">
        <v>2</v>
      </c>
      <c r="K495" s="1">
        <v>126.03</v>
      </c>
      <c r="L495" s="1">
        <v>252.06</v>
      </c>
      <c r="M495" s="42" t="s">
        <v>2798</v>
      </c>
      <c r="Q495" t="s">
        <v>561</v>
      </c>
    </row>
    <row r="496" spans="1:17" ht="15" customHeight="1" x14ac:dyDescent="0.25">
      <c r="A496" s="3" t="s">
        <v>2266</v>
      </c>
      <c r="B496" s="4" t="s">
        <v>562</v>
      </c>
      <c r="C496" t="s">
        <v>1196</v>
      </c>
      <c r="D496">
        <v>1</v>
      </c>
      <c r="E496" t="s">
        <v>974</v>
      </c>
      <c r="F496" t="s">
        <v>975</v>
      </c>
      <c r="G496" t="s">
        <v>180</v>
      </c>
      <c r="H496" s="1" t="s">
        <v>976</v>
      </c>
      <c r="I496" s="1">
        <v>770</v>
      </c>
      <c r="J496" s="20">
        <v>0</v>
      </c>
      <c r="K496" s="1">
        <v>126.03</v>
      </c>
      <c r="L496" s="1">
        <v>0</v>
      </c>
      <c r="M496" s="42" t="s">
        <v>2798</v>
      </c>
      <c r="Q496" t="s">
        <v>562</v>
      </c>
    </row>
    <row r="497" spans="1:17" ht="15" customHeight="1" x14ac:dyDescent="0.25">
      <c r="A497" s="3" t="s">
        <v>2267</v>
      </c>
      <c r="B497" s="4" t="s">
        <v>2804</v>
      </c>
      <c r="C497" t="s">
        <v>1196</v>
      </c>
      <c r="D497">
        <v>1</v>
      </c>
      <c r="E497" t="s">
        <v>974</v>
      </c>
      <c r="F497" t="s">
        <v>975</v>
      </c>
      <c r="G497" t="s">
        <v>976</v>
      </c>
      <c r="H497" s="1" t="s">
        <v>976</v>
      </c>
      <c r="I497" s="1">
        <v>1090</v>
      </c>
      <c r="J497" s="20">
        <v>3</v>
      </c>
      <c r="K497" s="1">
        <v>169</v>
      </c>
      <c r="L497" s="1">
        <v>507</v>
      </c>
      <c r="M497" s="42" t="s">
        <v>2798</v>
      </c>
      <c r="O497" s="2" t="s">
        <v>2443</v>
      </c>
      <c r="P497">
        <v>40</v>
      </c>
      <c r="Q497" t="s">
        <v>772</v>
      </c>
    </row>
    <row r="498" spans="1:17" ht="15" customHeight="1" x14ac:dyDescent="0.25">
      <c r="A498" s="3" t="s">
        <v>2268</v>
      </c>
      <c r="B498" s="4" t="s">
        <v>2805</v>
      </c>
      <c r="C498" t="s">
        <v>1196</v>
      </c>
      <c r="D498">
        <v>1</v>
      </c>
      <c r="E498" t="s">
        <v>974</v>
      </c>
      <c r="F498" t="s">
        <v>975</v>
      </c>
      <c r="G498" t="s">
        <v>180</v>
      </c>
      <c r="H498" s="1" t="s">
        <v>976</v>
      </c>
      <c r="I498" s="1">
        <v>580</v>
      </c>
      <c r="J498" s="20">
        <v>1</v>
      </c>
      <c r="K498" s="1">
        <v>98.4</v>
      </c>
      <c r="L498" s="1">
        <v>98.4</v>
      </c>
      <c r="M498" s="42" t="s">
        <v>2798</v>
      </c>
      <c r="O498" s="2" t="s">
        <v>2447</v>
      </c>
      <c r="Q498" t="s">
        <v>773</v>
      </c>
    </row>
    <row r="499" spans="1:17" ht="15" customHeight="1" x14ac:dyDescent="0.25">
      <c r="A499" s="3" t="s">
        <v>2269</v>
      </c>
      <c r="B499" s="4" t="s">
        <v>2805</v>
      </c>
      <c r="C499" t="s">
        <v>1196</v>
      </c>
      <c r="D499">
        <v>1</v>
      </c>
      <c r="E499" t="s">
        <v>974</v>
      </c>
      <c r="F499" t="s">
        <v>975</v>
      </c>
      <c r="G499" t="s">
        <v>180</v>
      </c>
      <c r="H499" s="1" t="s">
        <v>976</v>
      </c>
      <c r="I499" s="1">
        <v>580</v>
      </c>
      <c r="J499" s="20">
        <v>11</v>
      </c>
      <c r="K499" s="1">
        <v>100.131</v>
      </c>
      <c r="L499" s="1">
        <v>1101.44</v>
      </c>
      <c r="M499" s="42" t="s">
        <v>2798</v>
      </c>
      <c r="O499" s="2" t="s">
        <v>2447</v>
      </c>
      <c r="Q499" t="s">
        <v>773</v>
      </c>
    </row>
    <row r="500" spans="1:17" ht="15" customHeight="1" x14ac:dyDescent="0.25">
      <c r="A500" s="3" t="s">
        <v>2270</v>
      </c>
      <c r="B500" s="4" t="s">
        <v>2805</v>
      </c>
      <c r="C500" t="s">
        <v>1196</v>
      </c>
      <c r="D500">
        <v>1</v>
      </c>
      <c r="E500" t="s">
        <v>974</v>
      </c>
      <c r="F500" t="s">
        <v>975</v>
      </c>
      <c r="G500" t="s">
        <v>180</v>
      </c>
      <c r="H500" s="1" t="s">
        <v>976</v>
      </c>
      <c r="I500" s="1">
        <v>580</v>
      </c>
      <c r="J500" s="20">
        <v>11</v>
      </c>
      <c r="K500" s="1">
        <v>97.245999999999995</v>
      </c>
      <c r="L500" s="1">
        <v>1069.71</v>
      </c>
      <c r="M500" s="42" t="s">
        <v>2798</v>
      </c>
      <c r="O500" s="2" t="s">
        <v>2447</v>
      </c>
      <c r="Q500" t="s">
        <v>773</v>
      </c>
    </row>
    <row r="501" spans="1:17" ht="15" customHeight="1" x14ac:dyDescent="0.25">
      <c r="A501" s="3" t="s">
        <v>2271</v>
      </c>
      <c r="B501" s="4" t="s">
        <v>2805</v>
      </c>
      <c r="C501" t="s">
        <v>1196</v>
      </c>
      <c r="D501">
        <v>1</v>
      </c>
      <c r="E501" t="s">
        <v>974</v>
      </c>
      <c r="F501" t="s">
        <v>975</v>
      </c>
      <c r="G501" t="s">
        <v>180</v>
      </c>
      <c r="H501" s="1" t="s">
        <v>976</v>
      </c>
      <c r="I501" s="1">
        <v>580</v>
      </c>
      <c r="J501" s="20">
        <v>2</v>
      </c>
      <c r="K501" s="1">
        <v>91.475999999999999</v>
      </c>
      <c r="L501" s="1">
        <v>182.95</v>
      </c>
      <c r="M501" s="42" t="s">
        <v>2798</v>
      </c>
      <c r="O501" s="2" t="s">
        <v>2447</v>
      </c>
      <c r="Q501" t="s">
        <v>773</v>
      </c>
    </row>
    <row r="502" spans="1:17" ht="15" customHeight="1" x14ac:dyDescent="0.25">
      <c r="A502" s="3" t="s">
        <v>2272</v>
      </c>
      <c r="B502" s="4" t="s">
        <v>2805</v>
      </c>
      <c r="C502" t="s">
        <v>1196</v>
      </c>
      <c r="D502">
        <v>1</v>
      </c>
      <c r="E502" t="s">
        <v>974</v>
      </c>
      <c r="F502" t="s">
        <v>975</v>
      </c>
      <c r="G502" t="s">
        <v>180</v>
      </c>
      <c r="H502" s="1" t="s">
        <v>976</v>
      </c>
      <c r="I502" s="1">
        <v>580</v>
      </c>
      <c r="J502" s="20">
        <v>0</v>
      </c>
      <c r="K502" s="1">
        <v>470</v>
      </c>
      <c r="L502" s="1">
        <v>0</v>
      </c>
      <c r="M502" s="42" t="s">
        <v>2798</v>
      </c>
      <c r="O502" s="2" t="s">
        <v>2447</v>
      </c>
      <c r="Q502" t="s">
        <v>773</v>
      </c>
    </row>
    <row r="503" spans="1:17" ht="15" customHeight="1" x14ac:dyDescent="0.25">
      <c r="A503" s="41" t="s">
        <v>2272</v>
      </c>
      <c r="B503" s="3" t="s">
        <v>2805</v>
      </c>
      <c r="C503" s="41" t="s">
        <v>1196</v>
      </c>
      <c r="D503">
        <v>4</v>
      </c>
      <c r="E503" t="s">
        <v>1018</v>
      </c>
      <c r="F503" t="s">
        <v>975</v>
      </c>
      <c r="G503" t="s">
        <v>180</v>
      </c>
      <c r="H503" s="1" t="s">
        <v>976</v>
      </c>
      <c r="I503" s="1">
        <v>580</v>
      </c>
      <c r="J503" s="20">
        <v>0</v>
      </c>
      <c r="K503" s="1">
        <v>470</v>
      </c>
      <c r="L503" s="1">
        <v>0</v>
      </c>
      <c r="M503" s="42" t="s">
        <v>2798</v>
      </c>
      <c r="O503" s="2" t="s">
        <v>2447</v>
      </c>
      <c r="Q503" t="s">
        <v>773</v>
      </c>
    </row>
    <row r="504" spans="1:17" ht="15" customHeight="1" x14ac:dyDescent="0.25">
      <c r="A504" s="3" t="s">
        <v>2273</v>
      </c>
      <c r="B504" s="4" t="s">
        <v>2805</v>
      </c>
      <c r="C504" t="s">
        <v>1196</v>
      </c>
      <c r="D504">
        <v>1</v>
      </c>
      <c r="E504" t="s">
        <v>974</v>
      </c>
      <c r="F504" t="s">
        <v>975</v>
      </c>
      <c r="G504" t="s">
        <v>180</v>
      </c>
      <c r="H504" s="1" t="s">
        <v>976</v>
      </c>
      <c r="I504" s="1">
        <v>580</v>
      </c>
      <c r="J504" s="20">
        <v>0</v>
      </c>
      <c r="K504" s="1">
        <v>81.09</v>
      </c>
      <c r="L504" s="1">
        <v>0</v>
      </c>
      <c r="M504" s="42" t="s">
        <v>2798</v>
      </c>
      <c r="O504" s="2" t="s">
        <v>2447</v>
      </c>
      <c r="Q504" t="s">
        <v>773</v>
      </c>
    </row>
    <row r="505" spans="1:17" ht="15" customHeight="1" x14ac:dyDescent="0.25">
      <c r="A505" s="3" t="s">
        <v>2274</v>
      </c>
      <c r="B505" s="4" t="s">
        <v>2806</v>
      </c>
      <c r="C505" t="s">
        <v>1196</v>
      </c>
      <c r="D505">
        <v>1</v>
      </c>
      <c r="E505" t="s">
        <v>974</v>
      </c>
      <c r="F505" t="s">
        <v>975</v>
      </c>
      <c r="G505" t="s">
        <v>180</v>
      </c>
      <c r="H505" s="1" t="s">
        <v>976</v>
      </c>
      <c r="I505" s="1">
        <v>470</v>
      </c>
      <c r="J505" s="20">
        <v>-1</v>
      </c>
      <c r="K505" s="1">
        <v>0</v>
      </c>
      <c r="L505" s="1">
        <v>0</v>
      </c>
      <c r="M505" s="42" t="s">
        <v>2798</v>
      </c>
      <c r="N505" s="1" t="s">
        <v>2616</v>
      </c>
      <c r="O505" s="2" t="s">
        <v>2447</v>
      </c>
      <c r="Q505" t="s">
        <v>774</v>
      </c>
    </row>
    <row r="506" spans="1:17" ht="15" customHeight="1" x14ac:dyDescent="0.25">
      <c r="A506" s="3" t="s">
        <v>2275</v>
      </c>
      <c r="B506" s="4" t="s">
        <v>563</v>
      </c>
      <c r="C506" t="s">
        <v>1196</v>
      </c>
      <c r="D506">
        <v>1</v>
      </c>
      <c r="E506" t="s">
        <v>974</v>
      </c>
      <c r="F506" t="s">
        <v>975</v>
      </c>
      <c r="G506" t="s">
        <v>180</v>
      </c>
      <c r="H506" s="1" t="s">
        <v>976</v>
      </c>
      <c r="I506" s="1">
        <v>580</v>
      </c>
      <c r="J506" s="20">
        <v>0</v>
      </c>
      <c r="K506" s="1">
        <v>96.4</v>
      </c>
      <c r="L506" s="1">
        <v>0</v>
      </c>
      <c r="M506" s="42" t="s">
        <v>2798</v>
      </c>
      <c r="Q506" t="s">
        <v>563</v>
      </c>
    </row>
    <row r="507" spans="1:17" ht="15" customHeight="1" x14ac:dyDescent="0.25">
      <c r="A507" s="3" t="s">
        <v>2276</v>
      </c>
      <c r="B507" s="4" t="s">
        <v>564</v>
      </c>
      <c r="C507" t="s">
        <v>1196</v>
      </c>
      <c r="D507">
        <v>1</v>
      </c>
      <c r="E507" t="s">
        <v>974</v>
      </c>
      <c r="F507" t="s">
        <v>975</v>
      </c>
      <c r="G507" t="s">
        <v>180</v>
      </c>
      <c r="H507" s="1" t="s">
        <v>976</v>
      </c>
      <c r="I507" s="1">
        <v>580</v>
      </c>
      <c r="J507" s="20">
        <v>6</v>
      </c>
      <c r="K507" s="1">
        <v>96.4</v>
      </c>
      <c r="L507" s="1">
        <v>578.4</v>
      </c>
      <c r="M507" s="42" t="s">
        <v>2798</v>
      </c>
      <c r="Q507" t="s">
        <v>564</v>
      </c>
    </row>
    <row r="508" spans="1:17" ht="15" customHeight="1" x14ac:dyDescent="0.25">
      <c r="A508" s="3" t="s">
        <v>2277</v>
      </c>
      <c r="B508" s="4" t="s">
        <v>565</v>
      </c>
      <c r="C508" t="s">
        <v>1196</v>
      </c>
      <c r="D508">
        <v>1</v>
      </c>
      <c r="E508" t="s">
        <v>974</v>
      </c>
      <c r="F508" t="s">
        <v>975</v>
      </c>
      <c r="G508" t="s">
        <v>180</v>
      </c>
      <c r="H508" s="1" t="s">
        <v>976</v>
      </c>
      <c r="I508" s="1">
        <v>580</v>
      </c>
      <c r="J508" s="20">
        <v>9</v>
      </c>
      <c r="K508" s="1">
        <v>96.4</v>
      </c>
      <c r="L508" s="1">
        <v>867.6</v>
      </c>
      <c r="M508" s="42" t="s">
        <v>2798</v>
      </c>
      <c r="Q508" t="s">
        <v>565</v>
      </c>
    </row>
    <row r="509" spans="1:17" ht="15" customHeight="1" x14ac:dyDescent="0.25">
      <c r="A509" s="3" t="s">
        <v>2278</v>
      </c>
      <c r="B509" s="4" t="s">
        <v>566</v>
      </c>
      <c r="C509" t="s">
        <v>1196</v>
      </c>
      <c r="D509">
        <v>1</v>
      </c>
      <c r="E509" t="s">
        <v>974</v>
      </c>
      <c r="F509" t="s">
        <v>975</v>
      </c>
      <c r="G509" t="s">
        <v>180</v>
      </c>
      <c r="H509" s="1" t="s">
        <v>976</v>
      </c>
      <c r="I509" s="1">
        <v>580</v>
      </c>
      <c r="J509" s="20">
        <v>7</v>
      </c>
      <c r="K509" s="1">
        <v>96.4</v>
      </c>
      <c r="L509" s="1">
        <v>674.8</v>
      </c>
      <c r="M509" s="42" t="s">
        <v>2798</v>
      </c>
      <c r="Q509" t="s">
        <v>566</v>
      </c>
    </row>
    <row r="510" spans="1:17" ht="15" customHeight="1" x14ac:dyDescent="0.25">
      <c r="A510" s="3" t="s">
        <v>2279</v>
      </c>
      <c r="B510" s="4" t="s">
        <v>567</v>
      </c>
      <c r="C510" t="s">
        <v>1196</v>
      </c>
      <c r="D510">
        <v>1</v>
      </c>
      <c r="E510" t="s">
        <v>974</v>
      </c>
      <c r="F510" t="s">
        <v>975</v>
      </c>
      <c r="G510" t="s">
        <v>180</v>
      </c>
      <c r="H510" s="1" t="s">
        <v>976</v>
      </c>
      <c r="I510" s="1">
        <v>580</v>
      </c>
      <c r="J510" s="20">
        <v>6</v>
      </c>
      <c r="K510" s="1">
        <v>96.4</v>
      </c>
      <c r="L510" s="1">
        <v>578.4</v>
      </c>
      <c r="M510" s="42" t="s">
        <v>2798</v>
      </c>
      <c r="Q510" t="s">
        <v>567</v>
      </c>
    </row>
    <row r="511" spans="1:17" ht="15" customHeight="1" x14ac:dyDescent="0.25">
      <c r="A511" s="3" t="s">
        <v>2280</v>
      </c>
      <c r="B511" s="4" t="s">
        <v>568</v>
      </c>
      <c r="C511" t="s">
        <v>1196</v>
      </c>
      <c r="D511">
        <v>1</v>
      </c>
      <c r="E511" t="s">
        <v>974</v>
      </c>
      <c r="F511" t="s">
        <v>975</v>
      </c>
      <c r="G511" t="s">
        <v>180</v>
      </c>
      <c r="H511" s="1" t="s">
        <v>976</v>
      </c>
      <c r="I511" s="1">
        <v>580</v>
      </c>
      <c r="J511" s="20">
        <v>0</v>
      </c>
      <c r="K511" s="1">
        <v>96.4</v>
      </c>
      <c r="L511" s="1">
        <v>0</v>
      </c>
      <c r="M511" s="42" t="s">
        <v>2798</v>
      </c>
      <c r="Q511" t="s">
        <v>568</v>
      </c>
    </row>
    <row r="512" spans="1:17" ht="15" customHeight="1" x14ac:dyDescent="0.25">
      <c r="A512" s="3" t="s">
        <v>2281</v>
      </c>
      <c r="B512" s="4" t="s">
        <v>775</v>
      </c>
      <c r="C512" t="s">
        <v>1196</v>
      </c>
      <c r="D512">
        <v>1</v>
      </c>
      <c r="E512" t="s">
        <v>974</v>
      </c>
      <c r="F512" t="s">
        <v>975</v>
      </c>
      <c r="G512" t="s">
        <v>180</v>
      </c>
      <c r="H512" s="1" t="s">
        <v>976</v>
      </c>
      <c r="I512" s="1">
        <v>470</v>
      </c>
      <c r="J512" s="20">
        <v>-1</v>
      </c>
      <c r="K512" s="1">
        <v>0</v>
      </c>
      <c r="L512" s="1">
        <v>0</v>
      </c>
      <c r="M512" s="42" t="s">
        <v>2798</v>
      </c>
      <c r="N512" s="1" t="s">
        <v>2616</v>
      </c>
      <c r="Q512" t="s">
        <v>775</v>
      </c>
    </row>
    <row r="513" spans="1:17" ht="15" customHeight="1" x14ac:dyDescent="0.25">
      <c r="A513" s="41" t="s">
        <v>2281</v>
      </c>
      <c r="B513" s="3" t="s">
        <v>775</v>
      </c>
      <c r="C513" s="41" t="s">
        <v>1196</v>
      </c>
      <c r="D513">
        <v>4</v>
      </c>
      <c r="E513" t="s">
        <v>1018</v>
      </c>
      <c r="F513" t="s">
        <v>975</v>
      </c>
      <c r="G513" t="s">
        <v>180</v>
      </c>
      <c r="H513" s="1" t="s">
        <v>976</v>
      </c>
      <c r="I513" s="1">
        <v>470</v>
      </c>
      <c r="J513" s="20">
        <v>1</v>
      </c>
      <c r="K513" s="1">
        <v>470</v>
      </c>
      <c r="L513" s="1">
        <v>470</v>
      </c>
      <c r="M513" s="42" t="s">
        <v>2798</v>
      </c>
      <c r="N513" s="1" t="s">
        <v>2616</v>
      </c>
      <c r="Q513" t="s">
        <v>775</v>
      </c>
    </row>
    <row r="514" spans="1:17" ht="15" customHeight="1" x14ac:dyDescent="0.25">
      <c r="A514" s="3" t="s">
        <v>2282</v>
      </c>
      <c r="B514" s="4" t="s">
        <v>569</v>
      </c>
      <c r="C514" t="s">
        <v>1196</v>
      </c>
      <c r="D514">
        <v>1</v>
      </c>
      <c r="E514" t="s">
        <v>974</v>
      </c>
      <c r="F514" t="s">
        <v>975</v>
      </c>
      <c r="G514" t="s">
        <v>180</v>
      </c>
      <c r="H514" s="1" t="s">
        <v>976</v>
      </c>
      <c r="I514" s="1">
        <v>580</v>
      </c>
      <c r="J514" s="20">
        <v>0</v>
      </c>
      <c r="K514" s="1">
        <v>81.09</v>
      </c>
      <c r="L514" s="1">
        <v>0</v>
      </c>
      <c r="M514" s="42" t="s">
        <v>2798</v>
      </c>
      <c r="Q514" t="s">
        <v>569</v>
      </c>
    </row>
    <row r="515" spans="1:17" ht="15" customHeight="1" x14ac:dyDescent="0.25">
      <c r="A515" s="3" t="s">
        <v>2283</v>
      </c>
      <c r="B515" s="4" t="s">
        <v>570</v>
      </c>
      <c r="C515" t="s">
        <v>1196</v>
      </c>
      <c r="D515">
        <v>1</v>
      </c>
      <c r="E515" t="s">
        <v>974</v>
      </c>
      <c r="F515" t="s">
        <v>975</v>
      </c>
      <c r="G515" t="s">
        <v>180</v>
      </c>
      <c r="H515" s="1" t="s">
        <v>976</v>
      </c>
      <c r="I515" s="1">
        <v>580</v>
      </c>
      <c r="J515" s="20">
        <v>8</v>
      </c>
      <c r="K515" s="1">
        <v>81.09</v>
      </c>
      <c r="L515" s="1">
        <v>648.72</v>
      </c>
      <c r="M515" s="42" t="s">
        <v>2798</v>
      </c>
      <c r="Q515" t="s">
        <v>570</v>
      </c>
    </row>
    <row r="516" spans="1:17" ht="15" customHeight="1" x14ac:dyDescent="0.25">
      <c r="A516" s="3" t="s">
        <v>2284</v>
      </c>
      <c r="B516" s="4" t="s">
        <v>571</v>
      </c>
      <c r="C516" t="s">
        <v>1196</v>
      </c>
      <c r="D516">
        <v>1</v>
      </c>
      <c r="E516" t="s">
        <v>974</v>
      </c>
      <c r="F516" t="s">
        <v>975</v>
      </c>
      <c r="G516" t="s">
        <v>180</v>
      </c>
      <c r="H516" s="1" t="s">
        <v>976</v>
      </c>
      <c r="I516" s="1">
        <v>580</v>
      </c>
      <c r="J516" s="20">
        <v>4</v>
      </c>
      <c r="K516" s="1">
        <v>81.09</v>
      </c>
      <c r="L516" s="1">
        <v>324.36</v>
      </c>
      <c r="M516" s="42" t="s">
        <v>2798</v>
      </c>
      <c r="Q516" t="s">
        <v>571</v>
      </c>
    </row>
    <row r="517" spans="1:17" ht="15" customHeight="1" x14ac:dyDescent="0.25">
      <c r="A517" s="41" t="s">
        <v>2284</v>
      </c>
      <c r="B517" s="3" t="s">
        <v>571</v>
      </c>
      <c r="C517" s="41" t="s">
        <v>1196</v>
      </c>
      <c r="D517">
        <v>3</v>
      </c>
      <c r="E517" t="s">
        <v>1179</v>
      </c>
      <c r="F517" t="s">
        <v>1180</v>
      </c>
      <c r="G517" t="s">
        <v>180</v>
      </c>
      <c r="H517" s="1" t="s">
        <v>976</v>
      </c>
      <c r="I517" s="1">
        <v>580</v>
      </c>
      <c r="J517" s="20">
        <v>0</v>
      </c>
      <c r="K517" s="1">
        <v>0</v>
      </c>
      <c r="L517" s="1">
        <v>0</v>
      </c>
      <c r="M517" s="42" t="s">
        <v>2798</v>
      </c>
      <c r="Q517" t="s">
        <v>571</v>
      </c>
    </row>
    <row r="518" spans="1:17" ht="15" customHeight="1" x14ac:dyDescent="0.25">
      <c r="A518" s="3" t="s">
        <v>2285</v>
      </c>
      <c r="B518" s="4" t="s">
        <v>572</v>
      </c>
      <c r="C518" t="s">
        <v>1196</v>
      </c>
      <c r="D518">
        <v>1</v>
      </c>
      <c r="E518" t="s">
        <v>974</v>
      </c>
      <c r="F518" t="s">
        <v>975</v>
      </c>
      <c r="G518" t="s">
        <v>180</v>
      </c>
      <c r="H518" s="1" t="s">
        <v>976</v>
      </c>
      <c r="I518" s="1">
        <v>580</v>
      </c>
      <c r="J518" s="20">
        <v>5</v>
      </c>
      <c r="K518" s="1">
        <v>81.09</v>
      </c>
      <c r="L518" s="1">
        <v>405.45</v>
      </c>
      <c r="M518" s="42" t="s">
        <v>2798</v>
      </c>
      <c r="Q518" t="s">
        <v>572</v>
      </c>
    </row>
    <row r="519" spans="1:17" ht="15" customHeight="1" x14ac:dyDescent="0.25">
      <c r="A519" s="3" t="s">
        <v>2286</v>
      </c>
      <c r="B519" s="4" t="s">
        <v>573</v>
      </c>
      <c r="C519" t="s">
        <v>1196</v>
      </c>
      <c r="D519">
        <v>1</v>
      </c>
      <c r="E519" t="s">
        <v>974</v>
      </c>
      <c r="F519" t="s">
        <v>975</v>
      </c>
      <c r="G519" t="s">
        <v>180</v>
      </c>
      <c r="H519" s="1" t="s">
        <v>976</v>
      </c>
      <c r="I519" s="1">
        <v>580</v>
      </c>
      <c r="J519" s="20">
        <v>0</v>
      </c>
      <c r="K519" s="1">
        <v>81.09</v>
      </c>
      <c r="L519" s="1">
        <v>0</v>
      </c>
      <c r="M519" s="42" t="s">
        <v>2798</v>
      </c>
      <c r="Q519" t="s">
        <v>573</v>
      </c>
    </row>
    <row r="520" spans="1:17" ht="15" customHeight="1" x14ac:dyDescent="0.25">
      <c r="A520" s="3" t="s">
        <v>2287</v>
      </c>
      <c r="B520" s="4" t="s">
        <v>574</v>
      </c>
      <c r="C520" t="s">
        <v>1196</v>
      </c>
      <c r="D520">
        <v>1</v>
      </c>
      <c r="E520" t="s">
        <v>974</v>
      </c>
      <c r="F520" t="s">
        <v>975</v>
      </c>
      <c r="G520" t="s">
        <v>180</v>
      </c>
      <c r="H520" s="1" t="s">
        <v>976</v>
      </c>
      <c r="I520" s="1">
        <v>580</v>
      </c>
      <c r="J520" s="20">
        <v>0</v>
      </c>
      <c r="K520" s="1">
        <v>81.09</v>
      </c>
      <c r="L520" s="1">
        <v>0</v>
      </c>
      <c r="M520" s="42" t="s">
        <v>2798</v>
      </c>
      <c r="Q520" t="s">
        <v>574</v>
      </c>
    </row>
    <row r="521" spans="1:17" ht="15" customHeight="1" x14ac:dyDescent="0.25">
      <c r="A521" s="3" t="s">
        <v>2288</v>
      </c>
      <c r="B521" s="4" t="s">
        <v>2805</v>
      </c>
      <c r="C521" t="s">
        <v>1196</v>
      </c>
      <c r="D521">
        <v>1</v>
      </c>
      <c r="E521" t="s">
        <v>974</v>
      </c>
      <c r="F521" t="s">
        <v>975</v>
      </c>
      <c r="G521" t="s">
        <v>180</v>
      </c>
      <c r="H521" s="1" t="s">
        <v>976</v>
      </c>
      <c r="I521" s="1">
        <v>580</v>
      </c>
      <c r="J521" s="20">
        <v>0</v>
      </c>
      <c r="K521" s="1">
        <v>98.4</v>
      </c>
      <c r="L521" s="1">
        <v>0</v>
      </c>
      <c r="M521" s="42" t="s">
        <v>2798</v>
      </c>
      <c r="O521" s="2" t="s">
        <v>2443</v>
      </c>
      <c r="Q521" t="s">
        <v>776</v>
      </c>
    </row>
    <row r="522" spans="1:17" ht="15" customHeight="1" x14ac:dyDescent="0.25">
      <c r="A522" s="3" t="s">
        <v>2289</v>
      </c>
      <c r="B522" s="4" t="s">
        <v>2805</v>
      </c>
      <c r="C522" t="s">
        <v>1196</v>
      </c>
      <c r="D522">
        <v>1</v>
      </c>
      <c r="E522" t="s">
        <v>974</v>
      </c>
      <c r="F522" t="s">
        <v>975</v>
      </c>
      <c r="G522" t="s">
        <v>180</v>
      </c>
      <c r="H522" s="1" t="s">
        <v>976</v>
      </c>
      <c r="I522" s="1">
        <v>580</v>
      </c>
      <c r="J522" s="20">
        <v>13</v>
      </c>
      <c r="K522" s="1">
        <v>92.63</v>
      </c>
      <c r="L522" s="1">
        <v>1204.19</v>
      </c>
      <c r="M522" s="42" t="s">
        <v>2798</v>
      </c>
      <c r="O522" s="2" t="s">
        <v>2443</v>
      </c>
      <c r="Q522" t="s">
        <v>776</v>
      </c>
    </row>
    <row r="523" spans="1:17" ht="15" customHeight="1" x14ac:dyDescent="0.25">
      <c r="A523" s="41" t="s">
        <v>2289</v>
      </c>
      <c r="B523" s="3" t="s">
        <v>2805</v>
      </c>
      <c r="C523" s="41" t="s">
        <v>1196</v>
      </c>
      <c r="D523">
        <v>3</v>
      </c>
      <c r="E523" t="s">
        <v>1179</v>
      </c>
      <c r="F523" t="s">
        <v>1180</v>
      </c>
      <c r="G523" t="s">
        <v>180</v>
      </c>
      <c r="H523" s="1" t="s">
        <v>976</v>
      </c>
      <c r="I523" s="1">
        <v>580</v>
      </c>
      <c r="J523" s="20">
        <v>0</v>
      </c>
      <c r="K523" s="1">
        <v>63.6</v>
      </c>
      <c r="L523" s="1">
        <v>0</v>
      </c>
      <c r="M523" s="42" t="s">
        <v>2798</v>
      </c>
      <c r="O523" s="2" t="s">
        <v>2443</v>
      </c>
      <c r="Q523" t="s">
        <v>776</v>
      </c>
    </row>
    <row r="524" spans="1:17" ht="15" customHeight="1" x14ac:dyDescent="0.25">
      <c r="A524" s="3" t="s">
        <v>2290</v>
      </c>
      <c r="B524" s="4" t="s">
        <v>2805</v>
      </c>
      <c r="C524" t="s">
        <v>1196</v>
      </c>
      <c r="D524">
        <v>1</v>
      </c>
      <c r="E524" t="s">
        <v>974</v>
      </c>
      <c r="F524" t="s">
        <v>975</v>
      </c>
      <c r="G524" t="s">
        <v>180</v>
      </c>
      <c r="H524" s="1" t="s">
        <v>976</v>
      </c>
      <c r="I524" s="1">
        <v>580</v>
      </c>
      <c r="J524" s="20">
        <v>23</v>
      </c>
      <c r="K524" s="1">
        <v>88.754960999999994</v>
      </c>
      <c r="L524" s="1">
        <v>2041.36</v>
      </c>
      <c r="M524" s="42" t="s">
        <v>2798</v>
      </c>
      <c r="O524" s="2" t="s">
        <v>2443</v>
      </c>
      <c r="Q524" t="s">
        <v>776</v>
      </c>
    </row>
    <row r="525" spans="1:17" ht="15" customHeight="1" x14ac:dyDescent="0.25">
      <c r="A525" s="41" t="s">
        <v>2290</v>
      </c>
      <c r="B525" s="3" t="s">
        <v>2805</v>
      </c>
      <c r="C525" s="41" t="s">
        <v>1196</v>
      </c>
      <c r="D525">
        <v>3</v>
      </c>
      <c r="E525" t="s">
        <v>1179</v>
      </c>
      <c r="F525" t="s">
        <v>1180</v>
      </c>
      <c r="G525" t="s">
        <v>180</v>
      </c>
      <c r="H525" s="1" t="s">
        <v>976</v>
      </c>
      <c r="I525" s="1">
        <v>580</v>
      </c>
      <c r="J525" s="20">
        <v>0</v>
      </c>
      <c r="K525" s="1">
        <v>63.6</v>
      </c>
      <c r="L525" s="1">
        <v>0</v>
      </c>
      <c r="M525" s="42" t="s">
        <v>2798</v>
      </c>
      <c r="O525" s="2" t="s">
        <v>2443</v>
      </c>
      <c r="Q525" t="s">
        <v>776</v>
      </c>
    </row>
    <row r="526" spans="1:17" ht="15" customHeight="1" x14ac:dyDescent="0.25">
      <c r="A526" s="41" t="s">
        <v>2290</v>
      </c>
      <c r="B526" s="3" t="s">
        <v>2805</v>
      </c>
      <c r="C526" s="41" t="s">
        <v>1196</v>
      </c>
      <c r="D526">
        <v>4</v>
      </c>
      <c r="E526" t="s">
        <v>1018</v>
      </c>
      <c r="F526" t="s">
        <v>975</v>
      </c>
      <c r="G526" t="s">
        <v>180</v>
      </c>
      <c r="H526" s="1" t="s">
        <v>976</v>
      </c>
      <c r="I526" s="1">
        <v>580</v>
      </c>
      <c r="J526" s="20">
        <v>1</v>
      </c>
      <c r="K526" s="1">
        <v>470</v>
      </c>
      <c r="L526" s="1">
        <v>470</v>
      </c>
      <c r="M526" s="42" t="s">
        <v>2798</v>
      </c>
      <c r="O526" s="2" t="s">
        <v>2443</v>
      </c>
      <c r="Q526" t="s">
        <v>776</v>
      </c>
    </row>
    <row r="527" spans="1:17" ht="15" customHeight="1" x14ac:dyDescent="0.25">
      <c r="A527" s="3" t="s">
        <v>2291</v>
      </c>
      <c r="B527" s="4" t="s">
        <v>2805</v>
      </c>
      <c r="C527" t="s">
        <v>1196</v>
      </c>
      <c r="D527">
        <v>1</v>
      </c>
      <c r="E527" t="s">
        <v>974</v>
      </c>
      <c r="F527" t="s">
        <v>975</v>
      </c>
      <c r="G527" t="s">
        <v>180</v>
      </c>
      <c r="H527" s="1" t="s">
        <v>976</v>
      </c>
      <c r="I527" s="1">
        <v>580</v>
      </c>
      <c r="J527" s="20">
        <v>3</v>
      </c>
      <c r="K527" s="1">
        <v>87.558750000000003</v>
      </c>
      <c r="L527" s="1">
        <v>262.68</v>
      </c>
      <c r="M527" s="42" t="s">
        <v>2798</v>
      </c>
      <c r="O527" s="2" t="s">
        <v>2443</v>
      </c>
      <c r="Q527" t="s">
        <v>776</v>
      </c>
    </row>
    <row r="528" spans="1:17" ht="15" customHeight="1" x14ac:dyDescent="0.25">
      <c r="A528" s="41" t="s">
        <v>2291</v>
      </c>
      <c r="B528" s="3" t="s">
        <v>2805</v>
      </c>
      <c r="C528" s="41" t="s">
        <v>1196</v>
      </c>
      <c r="D528">
        <v>2</v>
      </c>
      <c r="E528" t="s">
        <v>1017</v>
      </c>
      <c r="F528" t="s">
        <v>975</v>
      </c>
      <c r="G528" t="s">
        <v>180</v>
      </c>
      <c r="H528" s="1" t="s">
        <v>976</v>
      </c>
      <c r="I528" s="1">
        <v>580</v>
      </c>
      <c r="J528" s="20">
        <v>0</v>
      </c>
      <c r="K528" s="1">
        <v>63.6</v>
      </c>
      <c r="L528" s="1">
        <v>0</v>
      </c>
      <c r="M528" s="42" t="s">
        <v>2798</v>
      </c>
      <c r="O528" s="2" t="s">
        <v>2443</v>
      </c>
      <c r="Q528" t="s">
        <v>776</v>
      </c>
    </row>
    <row r="529" spans="1:17" ht="15" customHeight="1" x14ac:dyDescent="0.25">
      <c r="A529" s="41" t="s">
        <v>2291</v>
      </c>
      <c r="B529" s="3" t="s">
        <v>2805</v>
      </c>
      <c r="C529" s="41" t="s">
        <v>1196</v>
      </c>
      <c r="D529">
        <v>3</v>
      </c>
      <c r="E529" t="s">
        <v>1179</v>
      </c>
      <c r="F529" t="s">
        <v>1180</v>
      </c>
      <c r="G529" t="s">
        <v>180</v>
      </c>
      <c r="H529" s="1" t="s">
        <v>976</v>
      </c>
      <c r="I529" s="1">
        <v>580</v>
      </c>
      <c r="J529" s="20">
        <v>0</v>
      </c>
      <c r="K529" s="1">
        <v>63.6</v>
      </c>
      <c r="L529" s="1">
        <v>0</v>
      </c>
      <c r="M529" s="42" t="s">
        <v>2798</v>
      </c>
      <c r="O529" s="2" t="s">
        <v>2443</v>
      </c>
      <c r="Q529" t="s">
        <v>776</v>
      </c>
    </row>
    <row r="530" spans="1:17" ht="15" customHeight="1" x14ac:dyDescent="0.25">
      <c r="A530" s="3" t="s">
        <v>2292</v>
      </c>
      <c r="B530" s="4" t="s">
        <v>2805</v>
      </c>
      <c r="C530" t="s">
        <v>1196</v>
      </c>
      <c r="D530">
        <v>1</v>
      </c>
      <c r="E530" t="s">
        <v>974</v>
      </c>
      <c r="F530" t="s">
        <v>975</v>
      </c>
      <c r="G530" t="s">
        <v>180</v>
      </c>
      <c r="H530" s="1" t="s">
        <v>976</v>
      </c>
      <c r="I530" s="1">
        <v>580</v>
      </c>
      <c r="J530" s="20">
        <v>0</v>
      </c>
      <c r="K530" s="1">
        <v>81.09</v>
      </c>
      <c r="L530" s="1">
        <v>0</v>
      </c>
      <c r="M530" s="42" t="s">
        <v>2798</v>
      </c>
      <c r="O530" s="2" t="s">
        <v>2443</v>
      </c>
      <c r="Q530" t="s">
        <v>776</v>
      </c>
    </row>
    <row r="531" spans="1:17" ht="15" customHeight="1" x14ac:dyDescent="0.25">
      <c r="A531" s="3" t="s">
        <v>2293</v>
      </c>
      <c r="B531" s="4" t="s">
        <v>2805</v>
      </c>
      <c r="C531" t="s">
        <v>1196</v>
      </c>
      <c r="D531">
        <v>1</v>
      </c>
      <c r="E531" t="s">
        <v>974</v>
      </c>
      <c r="F531" t="s">
        <v>975</v>
      </c>
      <c r="G531" t="s">
        <v>180</v>
      </c>
      <c r="H531" s="1" t="s">
        <v>976</v>
      </c>
      <c r="I531" s="1">
        <v>580</v>
      </c>
      <c r="J531" s="20">
        <v>0</v>
      </c>
      <c r="K531" s="1">
        <v>81.09</v>
      </c>
      <c r="L531" s="1">
        <v>0</v>
      </c>
      <c r="M531" s="42" t="s">
        <v>2798</v>
      </c>
      <c r="O531" s="2" t="s">
        <v>2443</v>
      </c>
      <c r="Q531" t="s">
        <v>776</v>
      </c>
    </row>
    <row r="532" spans="1:17" ht="15" customHeight="1" x14ac:dyDescent="0.25">
      <c r="A532" s="3" t="s">
        <v>2294</v>
      </c>
      <c r="B532" s="4" t="s">
        <v>2806</v>
      </c>
      <c r="C532" t="s">
        <v>1196</v>
      </c>
      <c r="D532">
        <v>1</v>
      </c>
      <c r="E532" t="s">
        <v>974</v>
      </c>
      <c r="F532" t="s">
        <v>975</v>
      </c>
      <c r="G532" t="s">
        <v>180</v>
      </c>
      <c r="H532" s="1" t="s">
        <v>976</v>
      </c>
      <c r="I532" s="1">
        <v>470</v>
      </c>
      <c r="J532" s="20">
        <v>7</v>
      </c>
      <c r="K532" s="1">
        <v>71.77</v>
      </c>
      <c r="L532" s="1">
        <v>502.39</v>
      </c>
      <c r="M532" s="42" t="s">
        <v>2798</v>
      </c>
      <c r="O532" s="2" t="s">
        <v>2482</v>
      </c>
      <c r="Q532" t="s">
        <v>777</v>
      </c>
    </row>
    <row r="533" spans="1:17" ht="15" customHeight="1" x14ac:dyDescent="0.25">
      <c r="A533" s="3" t="s">
        <v>2295</v>
      </c>
      <c r="B533" s="4" t="s">
        <v>2806</v>
      </c>
      <c r="C533" t="s">
        <v>1196</v>
      </c>
      <c r="D533">
        <v>1</v>
      </c>
      <c r="E533" t="s">
        <v>974</v>
      </c>
      <c r="F533" t="s">
        <v>975</v>
      </c>
      <c r="G533" t="s">
        <v>180</v>
      </c>
      <c r="H533" s="1" t="s">
        <v>976</v>
      </c>
      <c r="I533" s="1">
        <v>470</v>
      </c>
      <c r="J533" s="20">
        <v>23</v>
      </c>
      <c r="K533" s="1">
        <v>71.77</v>
      </c>
      <c r="L533" s="1">
        <v>1650.71</v>
      </c>
      <c r="M533" s="42" t="s">
        <v>2798</v>
      </c>
      <c r="O533" s="2" t="s">
        <v>2482</v>
      </c>
      <c r="Q533" t="s">
        <v>777</v>
      </c>
    </row>
    <row r="534" spans="1:17" ht="15" customHeight="1" x14ac:dyDescent="0.25">
      <c r="A534" s="41" t="s">
        <v>2295</v>
      </c>
      <c r="B534" s="3" t="s">
        <v>2806</v>
      </c>
      <c r="C534" s="41" t="s">
        <v>1196</v>
      </c>
      <c r="D534">
        <v>3</v>
      </c>
      <c r="E534" t="s">
        <v>1179</v>
      </c>
      <c r="F534" t="s">
        <v>1180</v>
      </c>
      <c r="G534" t="s">
        <v>180</v>
      </c>
      <c r="H534" s="1" t="s">
        <v>976</v>
      </c>
      <c r="I534" s="1">
        <v>470</v>
      </c>
      <c r="J534" s="20">
        <v>0</v>
      </c>
      <c r="K534" s="1">
        <v>71.77</v>
      </c>
      <c r="L534" s="1">
        <v>0</v>
      </c>
      <c r="M534" s="42" t="s">
        <v>2798</v>
      </c>
      <c r="O534" s="2" t="s">
        <v>2482</v>
      </c>
      <c r="Q534" t="s">
        <v>777</v>
      </c>
    </row>
    <row r="535" spans="1:17" ht="15" customHeight="1" x14ac:dyDescent="0.25">
      <c r="A535" s="3" t="s">
        <v>2296</v>
      </c>
      <c r="B535" s="4" t="s">
        <v>2806</v>
      </c>
      <c r="C535" t="s">
        <v>1196</v>
      </c>
      <c r="D535">
        <v>1</v>
      </c>
      <c r="E535" t="s">
        <v>974</v>
      </c>
      <c r="F535" t="s">
        <v>975</v>
      </c>
      <c r="G535" t="s">
        <v>180</v>
      </c>
      <c r="H535" s="1" t="s">
        <v>976</v>
      </c>
      <c r="I535" s="1">
        <v>470</v>
      </c>
      <c r="J535" s="20">
        <v>15</v>
      </c>
      <c r="K535" s="1">
        <v>71.77</v>
      </c>
      <c r="L535" s="1">
        <v>1076.55</v>
      </c>
      <c r="M535" s="42" t="s">
        <v>2798</v>
      </c>
      <c r="O535" s="2" t="s">
        <v>2482</v>
      </c>
      <c r="Q535" t="s">
        <v>777</v>
      </c>
    </row>
    <row r="536" spans="1:17" ht="15" customHeight="1" x14ac:dyDescent="0.25">
      <c r="A536" s="41" t="s">
        <v>2296</v>
      </c>
      <c r="B536" s="3" t="s">
        <v>2806</v>
      </c>
      <c r="C536" s="41" t="s">
        <v>1196</v>
      </c>
      <c r="D536">
        <v>3</v>
      </c>
      <c r="E536" t="s">
        <v>1179</v>
      </c>
      <c r="F536" t="s">
        <v>1180</v>
      </c>
      <c r="G536" t="s">
        <v>180</v>
      </c>
      <c r="H536" s="1" t="s">
        <v>976</v>
      </c>
      <c r="I536" s="1">
        <v>470</v>
      </c>
      <c r="J536" s="20">
        <v>0</v>
      </c>
      <c r="K536" s="1">
        <v>71.77</v>
      </c>
      <c r="L536" s="1">
        <v>0</v>
      </c>
      <c r="M536" s="42" t="s">
        <v>2798</v>
      </c>
      <c r="O536" s="2" t="s">
        <v>2482</v>
      </c>
      <c r="Q536" t="s">
        <v>777</v>
      </c>
    </row>
    <row r="537" spans="1:17" ht="15" customHeight="1" x14ac:dyDescent="0.25">
      <c r="A537" s="3" t="s">
        <v>2297</v>
      </c>
      <c r="B537" s="4" t="s">
        <v>2806</v>
      </c>
      <c r="C537" t="s">
        <v>1196</v>
      </c>
      <c r="D537">
        <v>1</v>
      </c>
      <c r="E537" t="s">
        <v>974</v>
      </c>
      <c r="F537" t="s">
        <v>975</v>
      </c>
      <c r="G537" t="s">
        <v>180</v>
      </c>
      <c r="H537" s="1" t="s">
        <v>976</v>
      </c>
      <c r="I537" s="1">
        <v>470</v>
      </c>
      <c r="J537" s="20">
        <v>0</v>
      </c>
      <c r="K537" s="1">
        <v>0</v>
      </c>
      <c r="L537" s="1">
        <v>0</v>
      </c>
      <c r="M537" s="42" t="s">
        <v>2798</v>
      </c>
      <c r="O537" s="2" t="s">
        <v>2482</v>
      </c>
      <c r="Q537" t="s">
        <v>777</v>
      </c>
    </row>
    <row r="538" spans="1:17" ht="15" customHeight="1" x14ac:dyDescent="0.25">
      <c r="A538" s="3" t="s">
        <v>2298</v>
      </c>
      <c r="B538" s="4" t="s">
        <v>2807</v>
      </c>
      <c r="C538" t="s">
        <v>1196</v>
      </c>
      <c r="D538">
        <v>1</v>
      </c>
      <c r="E538" t="s">
        <v>974</v>
      </c>
      <c r="F538" t="s">
        <v>975</v>
      </c>
      <c r="G538" t="s">
        <v>180</v>
      </c>
      <c r="H538" s="1" t="s">
        <v>976</v>
      </c>
      <c r="I538" s="1">
        <v>1190</v>
      </c>
      <c r="J538" s="20">
        <v>0</v>
      </c>
      <c r="K538" s="1">
        <v>0</v>
      </c>
      <c r="L538" s="1">
        <v>0</v>
      </c>
      <c r="M538" s="42" t="s">
        <v>2798</v>
      </c>
      <c r="O538" s="2" t="s">
        <v>2579</v>
      </c>
      <c r="P538" t="s">
        <v>23</v>
      </c>
      <c r="Q538" t="s">
        <v>778</v>
      </c>
    </row>
    <row r="539" spans="1:17" ht="15" customHeight="1" x14ac:dyDescent="0.25">
      <c r="A539" s="3" t="s">
        <v>2299</v>
      </c>
      <c r="B539" s="4" t="s">
        <v>2808</v>
      </c>
      <c r="C539" t="s">
        <v>1196</v>
      </c>
      <c r="D539">
        <v>1</v>
      </c>
      <c r="E539" t="s">
        <v>974</v>
      </c>
      <c r="F539" t="s">
        <v>975</v>
      </c>
      <c r="G539" t="s">
        <v>180</v>
      </c>
      <c r="H539" s="1" t="s">
        <v>976</v>
      </c>
      <c r="I539" s="1">
        <v>1100</v>
      </c>
      <c r="J539" s="20">
        <v>0</v>
      </c>
      <c r="K539" s="1">
        <v>0</v>
      </c>
      <c r="L539" s="1">
        <v>0</v>
      </c>
      <c r="M539" s="42" t="s">
        <v>2798</v>
      </c>
      <c r="O539" s="2" t="s">
        <v>2482</v>
      </c>
      <c r="Q539" t="s">
        <v>779</v>
      </c>
    </row>
    <row r="540" spans="1:17" ht="15" customHeight="1" x14ac:dyDescent="0.25">
      <c r="A540" s="3" t="s">
        <v>2300</v>
      </c>
      <c r="B540" s="4" t="s">
        <v>2808</v>
      </c>
      <c r="C540" t="s">
        <v>1196</v>
      </c>
      <c r="D540">
        <v>1</v>
      </c>
      <c r="E540" t="s">
        <v>974</v>
      </c>
      <c r="F540" t="s">
        <v>975</v>
      </c>
      <c r="G540" t="s">
        <v>180</v>
      </c>
      <c r="H540" s="1" t="s">
        <v>976</v>
      </c>
      <c r="I540" s="1">
        <v>1100</v>
      </c>
      <c r="J540" s="20">
        <v>0</v>
      </c>
      <c r="K540" s="1">
        <v>0</v>
      </c>
      <c r="L540" s="1">
        <v>0</v>
      </c>
      <c r="M540" s="42" t="s">
        <v>2798</v>
      </c>
      <c r="O540" s="2" t="s">
        <v>2447</v>
      </c>
      <c r="Q540" t="s">
        <v>780</v>
      </c>
    </row>
    <row r="541" spans="1:17" ht="15" customHeight="1" x14ac:dyDescent="0.25">
      <c r="A541" s="3" t="s">
        <v>2301</v>
      </c>
      <c r="B541" s="4" t="s">
        <v>2808</v>
      </c>
      <c r="C541" t="s">
        <v>1196</v>
      </c>
      <c r="D541">
        <v>1</v>
      </c>
      <c r="E541" t="s">
        <v>974</v>
      </c>
      <c r="F541" t="s">
        <v>975</v>
      </c>
      <c r="G541" t="s">
        <v>180</v>
      </c>
      <c r="H541" s="1" t="s">
        <v>976</v>
      </c>
      <c r="I541" s="1">
        <v>750</v>
      </c>
      <c r="J541" s="20">
        <v>0</v>
      </c>
      <c r="K541" s="1">
        <v>200</v>
      </c>
      <c r="L541" s="1">
        <v>0</v>
      </c>
      <c r="M541" s="42" t="s">
        <v>2798</v>
      </c>
      <c r="O541" s="2" t="s">
        <v>2472</v>
      </c>
      <c r="P541" t="s">
        <v>22</v>
      </c>
      <c r="Q541" t="s">
        <v>781</v>
      </c>
    </row>
    <row r="542" spans="1:17" ht="15" customHeight="1" x14ac:dyDescent="0.25">
      <c r="A542" s="3" t="s">
        <v>2302</v>
      </c>
      <c r="B542" s="4" t="s">
        <v>2808</v>
      </c>
      <c r="C542" t="s">
        <v>1196</v>
      </c>
      <c r="D542">
        <v>1</v>
      </c>
      <c r="E542" t="s">
        <v>974</v>
      </c>
      <c r="F542" t="s">
        <v>975</v>
      </c>
      <c r="G542" t="s">
        <v>180</v>
      </c>
      <c r="H542" s="1" t="s">
        <v>976</v>
      </c>
      <c r="I542" s="1">
        <v>750</v>
      </c>
      <c r="J542" s="20">
        <v>0</v>
      </c>
      <c r="K542" s="1">
        <v>136</v>
      </c>
      <c r="L542" s="1">
        <v>0</v>
      </c>
      <c r="M542" s="42" t="s">
        <v>2798</v>
      </c>
      <c r="O542" s="2" t="s">
        <v>2443</v>
      </c>
      <c r="P542" t="s">
        <v>24</v>
      </c>
      <c r="Q542" t="s">
        <v>782</v>
      </c>
    </row>
    <row r="543" spans="1:17" ht="15" customHeight="1" x14ac:dyDescent="0.25">
      <c r="A543" s="3" t="s">
        <v>2303</v>
      </c>
      <c r="B543" s="4" t="s">
        <v>2808</v>
      </c>
      <c r="C543" t="s">
        <v>1196</v>
      </c>
      <c r="D543">
        <v>1</v>
      </c>
      <c r="E543" t="s">
        <v>974</v>
      </c>
      <c r="F543" t="s">
        <v>975</v>
      </c>
      <c r="G543" t="s">
        <v>180</v>
      </c>
      <c r="H543" s="1" t="s">
        <v>976</v>
      </c>
      <c r="I543" s="1">
        <v>750</v>
      </c>
      <c r="J543" s="20">
        <v>0</v>
      </c>
      <c r="K543" s="1">
        <v>80</v>
      </c>
      <c r="L543" s="1">
        <v>0</v>
      </c>
      <c r="M543" s="42" t="s">
        <v>2798</v>
      </c>
      <c r="O543" s="2" t="s">
        <v>2443</v>
      </c>
      <c r="P543" t="s">
        <v>23</v>
      </c>
      <c r="Q543" t="s">
        <v>782</v>
      </c>
    </row>
    <row r="544" spans="1:17" ht="15" customHeight="1" x14ac:dyDescent="0.25">
      <c r="A544" s="3" t="s">
        <v>2304</v>
      </c>
      <c r="B544" s="4" t="s">
        <v>2808</v>
      </c>
      <c r="C544" t="s">
        <v>1196</v>
      </c>
      <c r="D544">
        <v>1</v>
      </c>
      <c r="E544" t="s">
        <v>974</v>
      </c>
      <c r="F544" t="s">
        <v>975</v>
      </c>
      <c r="G544" t="s">
        <v>180</v>
      </c>
      <c r="H544" s="1" t="s">
        <v>976</v>
      </c>
      <c r="I544" s="1">
        <v>750</v>
      </c>
      <c r="J544" s="20">
        <v>0</v>
      </c>
      <c r="K544" s="1">
        <v>100</v>
      </c>
      <c r="L544" s="1">
        <v>0</v>
      </c>
      <c r="M544" s="42" t="s">
        <v>2798</v>
      </c>
      <c r="O544" s="2" t="s">
        <v>2443</v>
      </c>
      <c r="P544" t="s">
        <v>22</v>
      </c>
      <c r="Q544" t="s">
        <v>782</v>
      </c>
    </row>
    <row r="545" spans="1:17" ht="15" customHeight="1" x14ac:dyDescent="0.25">
      <c r="A545" s="41" t="s">
        <v>2304</v>
      </c>
      <c r="B545" s="3" t="s">
        <v>2808</v>
      </c>
      <c r="C545" s="41" t="s">
        <v>1196</v>
      </c>
      <c r="D545">
        <v>3</v>
      </c>
      <c r="E545" t="s">
        <v>1179</v>
      </c>
      <c r="F545" t="s">
        <v>1180</v>
      </c>
      <c r="G545" t="s">
        <v>180</v>
      </c>
      <c r="H545" s="1" t="s">
        <v>976</v>
      </c>
      <c r="I545" s="1">
        <v>750</v>
      </c>
      <c r="J545" s="20">
        <v>0</v>
      </c>
      <c r="K545" s="1">
        <v>100</v>
      </c>
      <c r="L545" s="1">
        <v>0</v>
      </c>
      <c r="M545" s="42" t="s">
        <v>2798</v>
      </c>
      <c r="O545" s="2" t="s">
        <v>2443</v>
      </c>
      <c r="P545" t="s">
        <v>22</v>
      </c>
      <c r="Q545" t="s">
        <v>782</v>
      </c>
    </row>
    <row r="546" spans="1:17" ht="15" customHeight="1" x14ac:dyDescent="0.25">
      <c r="A546" s="3" t="s">
        <v>2305</v>
      </c>
      <c r="B546" s="4" t="s">
        <v>2808</v>
      </c>
      <c r="C546" t="s">
        <v>1196</v>
      </c>
      <c r="D546">
        <v>1</v>
      </c>
      <c r="E546" t="s">
        <v>974</v>
      </c>
      <c r="F546" t="s">
        <v>975</v>
      </c>
      <c r="G546" t="s">
        <v>180</v>
      </c>
      <c r="H546" s="1" t="s">
        <v>976</v>
      </c>
      <c r="I546" s="1">
        <v>750</v>
      </c>
      <c r="J546" s="20">
        <v>0</v>
      </c>
      <c r="K546" s="1">
        <v>680</v>
      </c>
      <c r="L546" s="1">
        <v>0</v>
      </c>
      <c r="M546" s="42" t="s">
        <v>2798</v>
      </c>
      <c r="O546" s="2" t="s">
        <v>2482</v>
      </c>
      <c r="P546" t="s">
        <v>23</v>
      </c>
      <c r="Q546" t="s">
        <v>779</v>
      </c>
    </row>
    <row r="547" spans="1:17" ht="15" customHeight="1" x14ac:dyDescent="0.25">
      <c r="A547" s="3" t="s">
        <v>2306</v>
      </c>
      <c r="B547" s="4" t="s">
        <v>575</v>
      </c>
      <c r="C547" t="s">
        <v>1196</v>
      </c>
      <c r="D547">
        <v>1</v>
      </c>
      <c r="E547" t="s">
        <v>974</v>
      </c>
      <c r="F547" t="s">
        <v>975</v>
      </c>
      <c r="G547" t="s">
        <v>180</v>
      </c>
      <c r="H547" s="1" t="s">
        <v>976</v>
      </c>
      <c r="I547" s="1">
        <v>750</v>
      </c>
      <c r="J547" s="20">
        <v>0</v>
      </c>
      <c r="K547" s="1">
        <v>115.22</v>
      </c>
      <c r="L547" s="1">
        <v>0</v>
      </c>
      <c r="M547" s="42" t="s">
        <v>2798</v>
      </c>
      <c r="P547" t="s">
        <v>24</v>
      </c>
      <c r="Q547" t="s">
        <v>575</v>
      </c>
    </row>
    <row r="548" spans="1:17" ht="15" customHeight="1" x14ac:dyDescent="0.25">
      <c r="A548" s="3" t="s">
        <v>2307</v>
      </c>
      <c r="B548" s="4" t="s">
        <v>576</v>
      </c>
      <c r="C548" t="s">
        <v>1196</v>
      </c>
      <c r="D548">
        <v>1</v>
      </c>
      <c r="E548" t="s">
        <v>974</v>
      </c>
      <c r="F548" t="s">
        <v>975</v>
      </c>
      <c r="G548" t="s">
        <v>180</v>
      </c>
      <c r="H548" s="1" t="s">
        <v>976</v>
      </c>
      <c r="I548" s="1">
        <v>750</v>
      </c>
      <c r="J548" s="20">
        <v>0</v>
      </c>
      <c r="K548" s="1">
        <v>115.22</v>
      </c>
      <c r="L548" s="1">
        <v>0</v>
      </c>
      <c r="M548" s="42" t="s">
        <v>2798</v>
      </c>
      <c r="P548" t="s">
        <v>23</v>
      </c>
      <c r="Q548" t="s">
        <v>576</v>
      </c>
    </row>
    <row r="549" spans="1:17" ht="15" customHeight="1" x14ac:dyDescent="0.25">
      <c r="A549" s="3" t="s">
        <v>2308</v>
      </c>
      <c r="B549" s="4" t="s">
        <v>577</v>
      </c>
      <c r="C549" t="s">
        <v>1196</v>
      </c>
      <c r="D549">
        <v>1</v>
      </c>
      <c r="E549" t="s">
        <v>974</v>
      </c>
      <c r="F549" t="s">
        <v>975</v>
      </c>
      <c r="G549" t="s">
        <v>180</v>
      </c>
      <c r="H549" s="1" t="s">
        <v>976</v>
      </c>
      <c r="I549" s="1">
        <v>750</v>
      </c>
      <c r="J549" s="20">
        <v>0</v>
      </c>
      <c r="K549" s="1">
        <v>100</v>
      </c>
      <c r="L549" s="1">
        <v>0</v>
      </c>
      <c r="M549" s="42" t="s">
        <v>2798</v>
      </c>
      <c r="P549" t="s">
        <v>22</v>
      </c>
      <c r="Q549" t="s">
        <v>577</v>
      </c>
    </row>
    <row r="550" spans="1:17" ht="15" customHeight="1" x14ac:dyDescent="0.25">
      <c r="A550" s="41" t="s">
        <v>2308</v>
      </c>
      <c r="B550" s="3" t="s">
        <v>577</v>
      </c>
      <c r="C550" s="41" t="s">
        <v>1196</v>
      </c>
      <c r="D550">
        <v>3</v>
      </c>
      <c r="E550" t="s">
        <v>1179</v>
      </c>
      <c r="F550" t="s">
        <v>1180</v>
      </c>
      <c r="G550" t="s">
        <v>180</v>
      </c>
      <c r="H550" s="1" t="s">
        <v>976</v>
      </c>
      <c r="I550" s="1">
        <v>750</v>
      </c>
      <c r="J550" s="20">
        <v>0</v>
      </c>
      <c r="K550" s="1">
        <v>100</v>
      </c>
      <c r="L550" s="1">
        <v>0</v>
      </c>
      <c r="M550" s="42" t="s">
        <v>2798</v>
      </c>
      <c r="P550" t="s">
        <v>22</v>
      </c>
      <c r="Q550" t="s">
        <v>577</v>
      </c>
    </row>
    <row r="551" spans="1:17" ht="15" customHeight="1" x14ac:dyDescent="0.25">
      <c r="A551" s="3" t="s">
        <v>2309</v>
      </c>
      <c r="B551" s="4" t="s">
        <v>2809</v>
      </c>
      <c r="C551" t="s">
        <v>1196</v>
      </c>
      <c r="D551">
        <v>1</v>
      </c>
      <c r="E551" t="s">
        <v>974</v>
      </c>
      <c r="F551" t="s">
        <v>975</v>
      </c>
      <c r="G551" t="s">
        <v>976</v>
      </c>
      <c r="H551" s="1" t="s">
        <v>976</v>
      </c>
      <c r="I551" s="1">
        <v>1210</v>
      </c>
      <c r="J551" s="20">
        <v>0</v>
      </c>
      <c r="K551" s="1">
        <v>267.74564700000002</v>
      </c>
      <c r="L551" s="1">
        <v>0</v>
      </c>
      <c r="M551" s="42" t="s">
        <v>2798</v>
      </c>
      <c r="O551" s="2" t="s">
        <v>2472</v>
      </c>
      <c r="P551">
        <v>36</v>
      </c>
      <c r="Q551" t="s">
        <v>783</v>
      </c>
    </row>
    <row r="552" spans="1:17" ht="15" customHeight="1" x14ac:dyDescent="0.25">
      <c r="A552" s="3" t="s">
        <v>2310</v>
      </c>
      <c r="B552" s="4" t="s">
        <v>2809</v>
      </c>
      <c r="C552" t="s">
        <v>1196</v>
      </c>
      <c r="D552">
        <v>1</v>
      </c>
      <c r="E552" t="s">
        <v>974</v>
      </c>
      <c r="F552" t="s">
        <v>975</v>
      </c>
      <c r="G552" t="s">
        <v>976</v>
      </c>
      <c r="H552" s="1" t="s">
        <v>976</v>
      </c>
      <c r="I552" s="1">
        <v>1210</v>
      </c>
      <c r="J552" s="20">
        <v>0</v>
      </c>
      <c r="K552" s="1">
        <v>267.74564700000002</v>
      </c>
      <c r="L552" s="1">
        <v>0</v>
      </c>
      <c r="M552" s="42" t="s">
        <v>2798</v>
      </c>
      <c r="O552" s="2" t="s">
        <v>2472</v>
      </c>
      <c r="P552">
        <v>38</v>
      </c>
      <c r="Q552" t="s">
        <v>783</v>
      </c>
    </row>
    <row r="553" spans="1:17" ht="15" customHeight="1" x14ac:dyDescent="0.25">
      <c r="A553" s="3" t="s">
        <v>2311</v>
      </c>
      <c r="B553" s="4" t="s">
        <v>2809</v>
      </c>
      <c r="C553" t="s">
        <v>1196</v>
      </c>
      <c r="D553">
        <v>1</v>
      </c>
      <c r="E553" t="s">
        <v>974</v>
      </c>
      <c r="F553" t="s">
        <v>975</v>
      </c>
      <c r="G553" t="s">
        <v>976</v>
      </c>
      <c r="H553" s="1" t="s">
        <v>976</v>
      </c>
      <c r="I553" s="1">
        <v>1210</v>
      </c>
      <c r="J553" s="20">
        <v>0</v>
      </c>
      <c r="K553" s="1">
        <v>267.74564700000002</v>
      </c>
      <c r="L553" s="1">
        <v>0</v>
      </c>
      <c r="M553" s="42" t="s">
        <v>2798</v>
      </c>
      <c r="O553" s="2" t="s">
        <v>2472</v>
      </c>
      <c r="P553">
        <v>40</v>
      </c>
      <c r="Q553" t="s">
        <v>783</v>
      </c>
    </row>
    <row r="554" spans="1:17" ht="15" customHeight="1" x14ac:dyDescent="0.25">
      <c r="A554" s="41" t="s">
        <v>2311</v>
      </c>
      <c r="B554" s="3" t="s">
        <v>2809</v>
      </c>
      <c r="C554" s="41" t="s">
        <v>1196</v>
      </c>
      <c r="D554">
        <v>2</v>
      </c>
      <c r="E554" t="s">
        <v>1017</v>
      </c>
      <c r="F554" t="s">
        <v>975</v>
      </c>
      <c r="G554" t="s">
        <v>976</v>
      </c>
      <c r="H554" s="1" t="s">
        <v>976</v>
      </c>
      <c r="I554" s="1">
        <v>1210</v>
      </c>
      <c r="J554" s="20">
        <v>0</v>
      </c>
      <c r="K554" s="1">
        <v>0</v>
      </c>
      <c r="L554" s="1">
        <v>0</v>
      </c>
      <c r="M554" s="42" t="s">
        <v>2798</v>
      </c>
      <c r="O554" s="2" t="s">
        <v>2472</v>
      </c>
      <c r="P554">
        <v>40</v>
      </c>
      <c r="Q554" t="s">
        <v>783</v>
      </c>
    </row>
    <row r="555" spans="1:17" ht="15" customHeight="1" x14ac:dyDescent="0.25">
      <c r="A555" s="3" t="s">
        <v>2312</v>
      </c>
      <c r="B555" s="4" t="s">
        <v>2809</v>
      </c>
      <c r="C555" t="s">
        <v>1196</v>
      </c>
      <c r="D555">
        <v>1</v>
      </c>
      <c r="E555" t="s">
        <v>974</v>
      </c>
      <c r="F555" t="s">
        <v>975</v>
      </c>
      <c r="G555" t="s">
        <v>976</v>
      </c>
      <c r="H555" s="1" t="s">
        <v>976</v>
      </c>
      <c r="I555" s="1">
        <v>1210</v>
      </c>
      <c r="J555" s="20">
        <v>0</v>
      </c>
      <c r="K555" s="1">
        <v>267.74564700000002</v>
      </c>
      <c r="L555" s="1">
        <v>0</v>
      </c>
      <c r="M555" s="42" t="s">
        <v>2798</v>
      </c>
      <c r="O555" s="2" t="s">
        <v>2472</v>
      </c>
      <c r="P555">
        <v>42</v>
      </c>
      <c r="Q555" t="s">
        <v>783</v>
      </c>
    </row>
    <row r="556" spans="1:17" ht="15" customHeight="1" x14ac:dyDescent="0.25">
      <c r="A556" s="3" t="s">
        <v>2313</v>
      </c>
      <c r="B556" s="4" t="s">
        <v>2809</v>
      </c>
      <c r="C556" t="s">
        <v>1196</v>
      </c>
      <c r="D556">
        <v>1</v>
      </c>
      <c r="E556" t="s">
        <v>974</v>
      </c>
      <c r="F556" t="s">
        <v>975</v>
      </c>
      <c r="G556" t="s">
        <v>976</v>
      </c>
      <c r="H556" s="1" t="s">
        <v>976</v>
      </c>
      <c r="I556" s="1">
        <v>1210</v>
      </c>
      <c r="J556" s="20">
        <v>0</v>
      </c>
      <c r="K556" s="1">
        <v>0</v>
      </c>
      <c r="L556" s="1">
        <v>0</v>
      </c>
      <c r="M556" s="42" t="s">
        <v>2798</v>
      </c>
      <c r="O556" s="2" t="s">
        <v>2472</v>
      </c>
      <c r="P556">
        <v>44</v>
      </c>
      <c r="Q556" t="s">
        <v>783</v>
      </c>
    </row>
    <row r="557" spans="1:17" ht="15" customHeight="1" x14ac:dyDescent="0.25">
      <c r="A557" s="3" t="s">
        <v>2314</v>
      </c>
      <c r="B557" s="4" t="s">
        <v>2809</v>
      </c>
      <c r="C557" t="s">
        <v>1196</v>
      </c>
      <c r="D557">
        <v>1</v>
      </c>
      <c r="E557" t="s">
        <v>974</v>
      </c>
      <c r="F557" t="s">
        <v>975</v>
      </c>
      <c r="G557" t="s">
        <v>976</v>
      </c>
      <c r="H557" s="1" t="s">
        <v>976</v>
      </c>
      <c r="I557" s="1">
        <v>1210</v>
      </c>
      <c r="J557" s="20">
        <v>0</v>
      </c>
      <c r="K557" s="1">
        <v>0</v>
      </c>
      <c r="L557" s="1">
        <v>0</v>
      </c>
      <c r="M557" s="42" t="s">
        <v>2798</v>
      </c>
      <c r="O557" s="2" t="s">
        <v>2472</v>
      </c>
      <c r="P557">
        <v>46</v>
      </c>
      <c r="Q557" t="s">
        <v>783</v>
      </c>
    </row>
    <row r="558" spans="1:17" ht="15" customHeight="1" x14ac:dyDescent="0.25">
      <c r="A558" s="3" t="s">
        <v>2315</v>
      </c>
      <c r="B558" s="4" t="s">
        <v>2809</v>
      </c>
      <c r="C558" t="s">
        <v>1196</v>
      </c>
      <c r="D558">
        <v>1</v>
      </c>
      <c r="E558" t="s">
        <v>974</v>
      </c>
      <c r="F558" t="s">
        <v>975</v>
      </c>
      <c r="G558" t="s">
        <v>976</v>
      </c>
      <c r="H558" s="1" t="s">
        <v>976</v>
      </c>
      <c r="I558" s="1">
        <v>1210</v>
      </c>
      <c r="J558" s="20">
        <v>0</v>
      </c>
      <c r="K558" s="1">
        <v>0</v>
      </c>
      <c r="L558" s="1">
        <v>0</v>
      </c>
      <c r="M558" s="42" t="s">
        <v>2798</v>
      </c>
      <c r="O558" s="2" t="s">
        <v>2472</v>
      </c>
      <c r="Q558" t="s">
        <v>783</v>
      </c>
    </row>
    <row r="559" spans="1:17" ht="15" customHeight="1" x14ac:dyDescent="0.25">
      <c r="A559" s="3" t="s">
        <v>2316</v>
      </c>
      <c r="B559" s="4" t="s">
        <v>2810</v>
      </c>
      <c r="C559" t="s">
        <v>1196</v>
      </c>
      <c r="D559">
        <v>1</v>
      </c>
      <c r="E559" t="s">
        <v>974</v>
      </c>
      <c r="F559" t="s">
        <v>975</v>
      </c>
      <c r="G559" t="s">
        <v>976</v>
      </c>
      <c r="H559" s="1" t="s">
        <v>976</v>
      </c>
      <c r="I559" s="1">
        <v>1160</v>
      </c>
      <c r="J559" s="20">
        <v>0</v>
      </c>
      <c r="K559" s="1">
        <v>248.1</v>
      </c>
      <c r="L559" s="1">
        <v>0</v>
      </c>
      <c r="M559" s="42" t="s">
        <v>2798</v>
      </c>
      <c r="O559" s="2" t="s">
        <v>2482</v>
      </c>
      <c r="P559">
        <v>36</v>
      </c>
      <c r="Q559" t="s">
        <v>784</v>
      </c>
    </row>
    <row r="560" spans="1:17" ht="15" customHeight="1" x14ac:dyDescent="0.25">
      <c r="A560" s="3" t="s">
        <v>2317</v>
      </c>
      <c r="B560" s="4" t="s">
        <v>2810</v>
      </c>
      <c r="C560" t="s">
        <v>1196</v>
      </c>
      <c r="D560">
        <v>1</v>
      </c>
      <c r="E560" t="s">
        <v>974</v>
      </c>
      <c r="F560" t="s">
        <v>975</v>
      </c>
      <c r="G560" t="s">
        <v>976</v>
      </c>
      <c r="H560" s="1" t="s">
        <v>976</v>
      </c>
      <c r="I560" s="1">
        <v>1160</v>
      </c>
      <c r="J560" s="20">
        <v>0</v>
      </c>
      <c r="K560" s="1">
        <v>248.1</v>
      </c>
      <c r="L560" s="1">
        <v>0</v>
      </c>
      <c r="M560" s="42" t="s">
        <v>2798</v>
      </c>
      <c r="O560" s="2" t="s">
        <v>2482</v>
      </c>
      <c r="P560">
        <v>38</v>
      </c>
      <c r="Q560" t="s">
        <v>784</v>
      </c>
    </row>
    <row r="561" spans="1:17" ht="15" customHeight="1" x14ac:dyDescent="0.25">
      <c r="A561" s="3" t="s">
        <v>2318</v>
      </c>
      <c r="B561" s="4" t="s">
        <v>2810</v>
      </c>
      <c r="C561" t="s">
        <v>1196</v>
      </c>
      <c r="D561">
        <v>1</v>
      </c>
      <c r="E561" t="s">
        <v>974</v>
      </c>
      <c r="F561" t="s">
        <v>975</v>
      </c>
      <c r="G561" t="s">
        <v>976</v>
      </c>
      <c r="H561" s="1" t="s">
        <v>976</v>
      </c>
      <c r="I561" s="1">
        <v>1160</v>
      </c>
      <c r="J561" s="20">
        <v>0</v>
      </c>
      <c r="K561" s="1">
        <v>248.1</v>
      </c>
      <c r="L561" s="1">
        <v>0</v>
      </c>
      <c r="M561" s="42" t="s">
        <v>2798</v>
      </c>
      <c r="O561" s="2" t="s">
        <v>2482</v>
      </c>
      <c r="P561">
        <v>40</v>
      </c>
      <c r="Q561" t="s">
        <v>784</v>
      </c>
    </row>
    <row r="562" spans="1:17" ht="15" customHeight="1" x14ac:dyDescent="0.25">
      <c r="A562" s="3" t="s">
        <v>2319</v>
      </c>
      <c r="B562" s="4" t="s">
        <v>2810</v>
      </c>
      <c r="C562" t="s">
        <v>1196</v>
      </c>
      <c r="D562">
        <v>1</v>
      </c>
      <c r="E562" t="s">
        <v>974</v>
      </c>
      <c r="F562" t="s">
        <v>975</v>
      </c>
      <c r="G562" t="s">
        <v>976</v>
      </c>
      <c r="H562" s="1" t="s">
        <v>976</v>
      </c>
      <c r="I562" s="1">
        <v>1160</v>
      </c>
      <c r="J562" s="20">
        <v>0</v>
      </c>
      <c r="K562" s="1">
        <v>248.1</v>
      </c>
      <c r="L562" s="1">
        <v>0</v>
      </c>
      <c r="M562" s="42" t="s">
        <v>2798</v>
      </c>
      <c r="O562" s="2" t="s">
        <v>2482</v>
      </c>
      <c r="P562">
        <v>42</v>
      </c>
      <c r="Q562" t="s">
        <v>784</v>
      </c>
    </row>
    <row r="563" spans="1:17" ht="15" customHeight="1" x14ac:dyDescent="0.25">
      <c r="A563" s="3" t="s">
        <v>2320</v>
      </c>
      <c r="B563" s="4" t="s">
        <v>2810</v>
      </c>
      <c r="C563" t="s">
        <v>1196</v>
      </c>
      <c r="D563">
        <v>1</v>
      </c>
      <c r="E563" t="s">
        <v>974</v>
      </c>
      <c r="F563" t="s">
        <v>975</v>
      </c>
      <c r="G563" t="s">
        <v>976</v>
      </c>
      <c r="H563" s="1" t="s">
        <v>976</v>
      </c>
      <c r="I563" s="1">
        <v>1160</v>
      </c>
      <c r="J563" s="20">
        <v>1</v>
      </c>
      <c r="K563" s="1">
        <v>248.1</v>
      </c>
      <c r="L563" s="1">
        <v>248.1</v>
      </c>
      <c r="M563" s="42" t="s">
        <v>2798</v>
      </c>
      <c r="O563" s="2" t="s">
        <v>2482</v>
      </c>
      <c r="P563">
        <v>44</v>
      </c>
      <c r="Q563" t="s">
        <v>784</v>
      </c>
    </row>
    <row r="564" spans="1:17" ht="15" customHeight="1" x14ac:dyDescent="0.25">
      <c r="A564" s="3" t="s">
        <v>2321</v>
      </c>
      <c r="B564" s="4" t="s">
        <v>2812</v>
      </c>
      <c r="C564" t="s">
        <v>1196</v>
      </c>
      <c r="D564">
        <v>1</v>
      </c>
      <c r="E564" t="s">
        <v>974</v>
      </c>
      <c r="F564" t="s">
        <v>975</v>
      </c>
      <c r="G564" t="s">
        <v>976</v>
      </c>
      <c r="H564" s="1" t="s">
        <v>976</v>
      </c>
      <c r="I564" s="1">
        <v>1290</v>
      </c>
      <c r="J564" s="20">
        <v>1</v>
      </c>
      <c r="K564" s="1">
        <v>280.9606</v>
      </c>
      <c r="L564" s="1">
        <v>280.95999999999998</v>
      </c>
      <c r="M564" s="42" t="s">
        <v>2798</v>
      </c>
      <c r="O564" s="2" t="s">
        <v>2811</v>
      </c>
      <c r="P564">
        <v>36</v>
      </c>
      <c r="Q564" t="s">
        <v>785</v>
      </c>
    </row>
    <row r="565" spans="1:17" ht="15" customHeight="1" x14ac:dyDescent="0.25">
      <c r="A565" s="3" t="s">
        <v>2322</v>
      </c>
      <c r="B565" s="4" t="s">
        <v>2812</v>
      </c>
      <c r="C565" t="s">
        <v>1196</v>
      </c>
      <c r="D565">
        <v>1</v>
      </c>
      <c r="E565" t="s">
        <v>974</v>
      </c>
      <c r="F565" t="s">
        <v>975</v>
      </c>
      <c r="G565" t="s">
        <v>976</v>
      </c>
      <c r="H565" s="1" t="s">
        <v>976</v>
      </c>
      <c r="I565" s="1">
        <v>1290</v>
      </c>
      <c r="J565" s="20">
        <v>0</v>
      </c>
      <c r="K565" s="1">
        <v>280.9606</v>
      </c>
      <c r="L565" s="1">
        <v>0</v>
      </c>
      <c r="M565" s="42" t="s">
        <v>2798</v>
      </c>
      <c r="O565" s="2" t="s">
        <v>2811</v>
      </c>
      <c r="P565">
        <v>38</v>
      </c>
      <c r="Q565" t="s">
        <v>785</v>
      </c>
    </row>
    <row r="566" spans="1:17" ht="15" customHeight="1" x14ac:dyDescent="0.25">
      <c r="A566" s="3" t="s">
        <v>2323</v>
      </c>
      <c r="B566" s="4" t="s">
        <v>2812</v>
      </c>
      <c r="C566" t="s">
        <v>1196</v>
      </c>
      <c r="D566">
        <v>1</v>
      </c>
      <c r="E566" t="s">
        <v>974</v>
      </c>
      <c r="F566" t="s">
        <v>975</v>
      </c>
      <c r="G566" t="s">
        <v>976</v>
      </c>
      <c r="H566" s="1" t="s">
        <v>976</v>
      </c>
      <c r="I566" s="1">
        <v>1290</v>
      </c>
      <c r="J566" s="20">
        <v>2</v>
      </c>
      <c r="K566" s="1">
        <v>280.9606</v>
      </c>
      <c r="L566" s="1">
        <v>561.91999999999996</v>
      </c>
      <c r="M566" s="42" t="s">
        <v>2798</v>
      </c>
      <c r="O566" s="2" t="s">
        <v>2811</v>
      </c>
      <c r="P566">
        <v>40</v>
      </c>
      <c r="Q566" t="s">
        <v>785</v>
      </c>
    </row>
    <row r="567" spans="1:17" ht="15" customHeight="1" x14ac:dyDescent="0.25">
      <c r="A567" s="3" t="s">
        <v>2324</v>
      </c>
      <c r="B567" s="4" t="s">
        <v>2812</v>
      </c>
      <c r="C567" t="s">
        <v>1196</v>
      </c>
      <c r="D567">
        <v>1</v>
      </c>
      <c r="E567" t="s">
        <v>974</v>
      </c>
      <c r="F567" t="s">
        <v>975</v>
      </c>
      <c r="G567" t="s">
        <v>976</v>
      </c>
      <c r="H567" s="1" t="s">
        <v>976</v>
      </c>
      <c r="I567" s="1">
        <v>1290</v>
      </c>
      <c r="J567" s="20">
        <v>0</v>
      </c>
      <c r="K567" s="1">
        <v>280.9606</v>
      </c>
      <c r="L567" s="1">
        <v>0</v>
      </c>
      <c r="M567" s="42" t="s">
        <v>2798</v>
      </c>
      <c r="O567" s="2" t="s">
        <v>2811</v>
      </c>
      <c r="P567">
        <v>42</v>
      </c>
      <c r="Q567" t="s">
        <v>785</v>
      </c>
    </row>
    <row r="568" spans="1:17" ht="15" customHeight="1" x14ac:dyDescent="0.25">
      <c r="A568" s="3" t="s">
        <v>2325</v>
      </c>
      <c r="B568" s="4" t="s">
        <v>2812</v>
      </c>
      <c r="C568" t="s">
        <v>1196</v>
      </c>
      <c r="D568">
        <v>1</v>
      </c>
      <c r="E568" t="s">
        <v>974</v>
      </c>
      <c r="F568" t="s">
        <v>975</v>
      </c>
      <c r="G568" t="s">
        <v>976</v>
      </c>
      <c r="H568" s="1" t="s">
        <v>976</v>
      </c>
      <c r="I568" s="1">
        <v>1290</v>
      </c>
      <c r="J568" s="20">
        <v>1</v>
      </c>
      <c r="K568" s="1">
        <v>280.9606</v>
      </c>
      <c r="L568" s="1">
        <v>280.95999999999998</v>
      </c>
      <c r="M568" s="42" t="s">
        <v>2798</v>
      </c>
      <c r="O568" s="2" t="s">
        <v>2811</v>
      </c>
      <c r="P568">
        <v>44</v>
      </c>
      <c r="Q568" t="s">
        <v>785</v>
      </c>
    </row>
    <row r="569" spans="1:17" ht="15" customHeight="1" x14ac:dyDescent="0.25">
      <c r="A569" s="3" t="s">
        <v>2326</v>
      </c>
      <c r="B569" s="4" t="s">
        <v>2808</v>
      </c>
      <c r="C569" t="s">
        <v>1196</v>
      </c>
      <c r="D569">
        <v>1</v>
      </c>
      <c r="E569" t="s">
        <v>974</v>
      </c>
      <c r="F569" t="s">
        <v>975</v>
      </c>
      <c r="G569" t="s">
        <v>180</v>
      </c>
      <c r="H569" s="1" t="s">
        <v>976</v>
      </c>
      <c r="I569" s="1">
        <v>790</v>
      </c>
      <c r="J569" s="20">
        <v>0</v>
      </c>
      <c r="K569" s="1">
        <v>466.5</v>
      </c>
      <c r="L569" s="1">
        <v>0</v>
      </c>
      <c r="M569" s="42" t="s">
        <v>2798</v>
      </c>
      <c r="O569" s="2" t="s">
        <v>2472</v>
      </c>
      <c r="Q569" t="s">
        <v>781</v>
      </c>
    </row>
    <row r="570" spans="1:17" ht="15" customHeight="1" x14ac:dyDescent="0.25">
      <c r="A570" s="41" t="s">
        <v>2326</v>
      </c>
      <c r="B570" s="3" t="s">
        <v>2808</v>
      </c>
      <c r="C570" s="41" t="s">
        <v>1196</v>
      </c>
      <c r="D570">
        <v>4</v>
      </c>
      <c r="E570" t="s">
        <v>1018</v>
      </c>
      <c r="F570" t="s">
        <v>975</v>
      </c>
      <c r="G570" t="s">
        <v>180</v>
      </c>
      <c r="H570" s="1" t="s">
        <v>976</v>
      </c>
      <c r="I570" s="1">
        <v>790</v>
      </c>
      <c r="J570" s="20">
        <v>1</v>
      </c>
      <c r="K570" s="1">
        <v>790</v>
      </c>
      <c r="L570" s="1">
        <v>790</v>
      </c>
      <c r="M570" s="42" t="s">
        <v>2798</v>
      </c>
      <c r="O570" s="2" t="s">
        <v>2472</v>
      </c>
      <c r="Q570" t="s">
        <v>781</v>
      </c>
    </row>
    <row r="571" spans="1:17" ht="15" customHeight="1" x14ac:dyDescent="0.25">
      <c r="A571" s="3" t="s">
        <v>2327</v>
      </c>
      <c r="B571" s="4" t="s">
        <v>2808</v>
      </c>
      <c r="C571" t="s">
        <v>1159</v>
      </c>
      <c r="D571">
        <v>1</v>
      </c>
      <c r="E571" t="s">
        <v>974</v>
      </c>
      <c r="F571" t="s">
        <v>975</v>
      </c>
      <c r="G571" t="s">
        <v>180</v>
      </c>
      <c r="H571" s="1" t="s">
        <v>976</v>
      </c>
      <c r="I571" s="1">
        <v>690</v>
      </c>
      <c r="J571" s="20">
        <v>0</v>
      </c>
      <c r="K571" s="1">
        <v>95</v>
      </c>
      <c r="L571" s="1">
        <v>0</v>
      </c>
      <c r="M571" s="42" t="s">
        <v>2798</v>
      </c>
      <c r="O571" s="2" t="s">
        <v>2579</v>
      </c>
      <c r="P571" t="s">
        <v>23</v>
      </c>
      <c r="Q571" t="s">
        <v>786</v>
      </c>
    </row>
    <row r="572" spans="1:17" ht="15" customHeight="1" x14ac:dyDescent="0.25">
      <c r="A572" s="3" t="s">
        <v>2328</v>
      </c>
      <c r="B572" s="4" t="s">
        <v>578</v>
      </c>
      <c r="C572" t="s">
        <v>1196</v>
      </c>
      <c r="D572">
        <v>1</v>
      </c>
      <c r="E572" t="s">
        <v>974</v>
      </c>
      <c r="F572" t="s">
        <v>975</v>
      </c>
      <c r="G572" t="s">
        <v>180</v>
      </c>
      <c r="H572" s="1" t="s">
        <v>976</v>
      </c>
      <c r="I572" s="1">
        <v>560</v>
      </c>
      <c r="J572" s="20">
        <v>0</v>
      </c>
      <c r="K572" s="1">
        <v>98.29</v>
      </c>
      <c r="L572" s="1">
        <v>0</v>
      </c>
      <c r="M572" s="42" t="s">
        <v>2798</v>
      </c>
      <c r="Q572" t="s">
        <v>578</v>
      </c>
    </row>
    <row r="573" spans="1:17" ht="15" customHeight="1" x14ac:dyDescent="0.25">
      <c r="A573" s="3" t="s">
        <v>2329</v>
      </c>
      <c r="B573" s="4" t="s">
        <v>579</v>
      </c>
      <c r="C573" t="s">
        <v>1196</v>
      </c>
      <c r="D573">
        <v>1</v>
      </c>
      <c r="E573" t="s">
        <v>974</v>
      </c>
      <c r="F573" t="s">
        <v>975</v>
      </c>
      <c r="G573" t="s">
        <v>180</v>
      </c>
      <c r="H573" s="1" t="s">
        <v>976</v>
      </c>
      <c r="I573" s="1">
        <v>560</v>
      </c>
      <c r="J573" s="20">
        <v>0</v>
      </c>
      <c r="K573" s="1">
        <v>98.29</v>
      </c>
      <c r="L573" s="1">
        <v>0</v>
      </c>
      <c r="M573" s="42" t="s">
        <v>2798</v>
      </c>
      <c r="Q573" t="s">
        <v>579</v>
      </c>
    </row>
    <row r="574" spans="1:17" ht="15" customHeight="1" x14ac:dyDescent="0.25">
      <c r="A574" s="3" t="s">
        <v>2330</v>
      </c>
      <c r="B574" s="4" t="s">
        <v>580</v>
      </c>
      <c r="C574" t="s">
        <v>1196</v>
      </c>
      <c r="D574">
        <v>1</v>
      </c>
      <c r="E574" t="s">
        <v>974</v>
      </c>
      <c r="F574" t="s">
        <v>975</v>
      </c>
      <c r="G574" t="s">
        <v>180</v>
      </c>
      <c r="H574" s="1" t="s">
        <v>976</v>
      </c>
      <c r="I574" s="1">
        <v>560</v>
      </c>
      <c r="J574" s="20">
        <v>0</v>
      </c>
      <c r="K574" s="1">
        <v>98.29</v>
      </c>
      <c r="L574" s="1">
        <v>0</v>
      </c>
      <c r="M574" s="42" t="s">
        <v>2798</v>
      </c>
      <c r="Q574" t="s">
        <v>580</v>
      </c>
    </row>
    <row r="575" spans="1:17" ht="15" customHeight="1" x14ac:dyDescent="0.25">
      <c r="A575" s="41" t="s">
        <v>2330</v>
      </c>
      <c r="B575" s="3" t="s">
        <v>580</v>
      </c>
      <c r="C575" s="41" t="s">
        <v>1196</v>
      </c>
      <c r="D575">
        <v>2</v>
      </c>
      <c r="E575" t="s">
        <v>1017</v>
      </c>
      <c r="F575" t="s">
        <v>975</v>
      </c>
      <c r="G575" t="s">
        <v>180</v>
      </c>
      <c r="H575" s="1" t="s">
        <v>976</v>
      </c>
      <c r="I575" s="1">
        <v>560</v>
      </c>
      <c r="J575" s="20">
        <v>0</v>
      </c>
      <c r="K575" s="1">
        <v>98.29</v>
      </c>
      <c r="L575" s="1">
        <v>0</v>
      </c>
      <c r="M575" s="42" t="s">
        <v>2798</v>
      </c>
      <c r="Q575" t="s">
        <v>580</v>
      </c>
    </row>
    <row r="576" spans="1:17" ht="15" customHeight="1" x14ac:dyDescent="0.25">
      <c r="A576" s="3" t="s">
        <v>2331</v>
      </c>
      <c r="B576" s="4" t="s">
        <v>581</v>
      </c>
      <c r="C576" t="s">
        <v>1196</v>
      </c>
      <c r="D576">
        <v>1</v>
      </c>
      <c r="E576" t="s">
        <v>974</v>
      </c>
      <c r="F576" t="s">
        <v>975</v>
      </c>
      <c r="G576" t="s">
        <v>180</v>
      </c>
      <c r="H576" s="1" t="s">
        <v>976</v>
      </c>
      <c r="I576" s="1">
        <v>560</v>
      </c>
      <c r="J576" s="20">
        <v>0</v>
      </c>
      <c r="K576" s="1">
        <v>98.29</v>
      </c>
      <c r="L576" s="1">
        <v>0</v>
      </c>
      <c r="M576" s="42" t="s">
        <v>2798</v>
      </c>
      <c r="Q576" t="s">
        <v>581</v>
      </c>
    </row>
    <row r="577" spans="1:17" ht="15" customHeight="1" x14ac:dyDescent="0.25">
      <c r="A577" s="3" t="s">
        <v>2332</v>
      </c>
      <c r="B577" s="4" t="s">
        <v>582</v>
      </c>
      <c r="C577" t="s">
        <v>1196</v>
      </c>
      <c r="D577">
        <v>1</v>
      </c>
      <c r="E577" t="s">
        <v>974</v>
      </c>
      <c r="F577" t="s">
        <v>975</v>
      </c>
      <c r="G577" t="s">
        <v>180</v>
      </c>
      <c r="H577" s="1" t="s">
        <v>976</v>
      </c>
      <c r="I577" s="1">
        <v>490</v>
      </c>
      <c r="J577" s="20">
        <v>0</v>
      </c>
      <c r="K577" s="1">
        <v>62.23</v>
      </c>
      <c r="L577" s="1">
        <v>0</v>
      </c>
      <c r="M577" s="42" t="s">
        <v>2798</v>
      </c>
      <c r="Q577" t="s">
        <v>582</v>
      </c>
    </row>
    <row r="578" spans="1:17" ht="15" customHeight="1" x14ac:dyDescent="0.25">
      <c r="A578" s="41" t="s">
        <v>2332</v>
      </c>
      <c r="B578" s="3" t="s">
        <v>582</v>
      </c>
      <c r="C578" s="41" t="s">
        <v>1196</v>
      </c>
      <c r="D578">
        <v>3</v>
      </c>
      <c r="E578" t="s">
        <v>1179</v>
      </c>
      <c r="F578" t="s">
        <v>1180</v>
      </c>
      <c r="G578" t="s">
        <v>180</v>
      </c>
      <c r="H578" s="1" t="s">
        <v>976</v>
      </c>
      <c r="I578" s="1">
        <v>490</v>
      </c>
      <c r="J578" s="20">
        <v>0</v>
      </c>
      <c r="K578" s="1">
        <v>62.23</v>
      </c>
      <c r="L578" s="1">
        <v>0</v>
      </c>
      <c r="M578" s="42" t="s">
        <v>2798</v>
      </c>
      <c r="Q578" t="s">
        <v>582</v>
      </c>
    </row>
    <row r="579" spans="1:17" ht="15" customHeight="1" x14ac:dyDescent="0.25">
      <c r="A579" s="3" t="s">
        <v>2333</v>
      </c>
      <c r="B579" s="4" t="s">
        <v>583</v>
      </c>
      <c r="C579" t="s">
        <v>1196</v>
      </c>
      <c r="D579">
        <v>1</v>
      </c>
      <c r="E579" t="s">
        <v>974</v>
      </c>
      <c r="F579" t="s">
        <v>975</v>
      </c>
      <c r="G579" t="s">
        <v>976</v>
      </c>
      <c r="H579" s="1" t="s">
        <v>976</v>
      </c>
      <c r="I579" s="1">
        <v>490</v>
      </c>
      <c r="J579" s="20">
        <v>0</v>
      </c>
      <c r="K579" s="1">
        <v>62.23</v>
      </c>
      <c r="L579" s="1">
        <v>0</v>
      </c>
      <c r="M579" s="42" t="s">
        <v>2798</v>
      </c>
      <c r="Q579" t="s">
        <v>583</v>
      </c>
    </row>
    <row r="580" spans="1:17" ht="15" customHeight="1" x14ac:dyDescent="0.25">
      <c r="A580" s="41" t="s">
        <v>2333</v>
      </c>
      <c r="B580" s="3" t="s">
        <v>583</v>
      </c>
      <c r="C580" s="41" t="s">
        <v>1196</v>
      </c>
      <c r="D580">
        <v>3</v>
      </c>
      <c r="E580" t="s">
        <v>1179</v>
      </c>
      <c r="F580" t="s">
        <v>1180</v>
      </c>
      <c r="G580" t="s">
        <v>976</v>
      </c>
      <c r="H580" s="1" t="s">
        <v>976</v>
      </c>
      <c r="I580" s="1">
        <v>490</v>
      </c>
      <c r="J580" s="20">
        <v>0</v>
      </c>
      <c r="K580" s="1">
        <v>62.23</v>
      </c>
      <c r="L580" s="1">
        <v>0</v>
      </c>
      <c r="M580" s="42" t="s">
        <v>2798</v>
      </c>
      <c r="Q580" t="s">
        <v>583</v>
      </c>
    </row>
    <row r="581" spans="1:17" ht="15" customHeight="1" x14ac:dyDescent="0.25">
      <c r="A581" s="3" t="s">
        <v>2334</v>
      </c>
      <c r="B581" s="4" t="s">
        <v>584</v>
      </c>
      <c r="C581" t="s">
        <v>1196</v>
      </c>
      <c r="D581">
        <v>1</v>
      </c>
      <c r="E581" t="s">
        <v>974</v>
      </c>
      <c r="F581" t="s">
        <v>975</v>
      </c>
      <c r="G581" t="s">
        <v>976</v>
      </c>
      <c r="H581" s="1" t="s">
        <v>976</v>
      </c>
      <c r="I581" s="1">
        <v>490</v>
      </c>
      <c r="J581" s="20">
        <v>0</v>
      </c>
      <c r="K581" s="1">
        <v>62.23</v>
      </c>
      <c r="L581" s="1">
        <v>0</v>
      </c>
      <c r="M581" s="42" t="s">
        <v>2798</v>
      </c>
      <c r="Q581" t="s">
        <v>584</v>
      </c>
    </row>
    <row r="582" spans="1:17" ht="15" customHeight="1" x14ac:dyDescent="0.25">
      <c r="A582" s="41" t="s">
        <v>2334</v>
      </c>
      <c r="B582" s="3" t="s">
        <v>584</v>
      </c>
      <c r="C582" s="41" t="s">
        <v>1196</v>
      </c>
      <c r="D582">
        <v>3</v>
      </c>
      <c r="E582" t="s">
        <v>1179</v>
      </c>
      <c r="F582" t="s">
        <v>1180</v>
      </c>
      <c r="G582" t="s">
        <v>976</v>
      </c>
      <c r="H582" s="1" t="s">
        <v>976</v>
      </c>
      <c r="I582" s="1">
        <v>490</v>
      </c>
      <c r="J582" s="20">
        <v>0</v>
      </c>
      <c r="K582" s="1">
        <v>62.23</v>
      </c>
      <c r="L582" s="1">
        <v>0</v>
      </c>
      <c r="M582" s="42" t="s">
        <v>2798</v>
      </c>
      <c r="Q582" t="s">
        <v>584</v>
      </c>
    </row>
    <row r="583" spans="1:17" ht="15" customHeight="1" x14ac:dyDescent="0.25">
      <c r="A583" s="3" t="s">
        <v>2335</v>
      </c>
      <c r="B583" s="4" t="s">
        <v>2813</v>
      </c>
      <c r="C583" t="s">
        <v>1196</v>
      </c>
      <c r="D583">
        <v>1</v>
      </c>
      <c r="E583" t="s">
        <v>974</v>
      </c>
      <c r="F583" t="s">
        <v>975</v>
      </c>
      <c r="G583" t="s">
        <v>180</v>
      </c>
      <c r="H583" s="1" t="s">
        <v>976</v>
      </c>
      <c r="I583" s="1">
        <v>490</v>
      </c>
      <c r="J583" s="20">
        <v>4</v>
      </c>
      <c r="K583" s="1">
        <v>60.83</v>
      </c>
      <c r="L583" s="1">
        <v>243.32</v>
      </c>
      <c r="M583" s="42" t="s">
        <v>2798</v>
      </c>
      <c r="O583" s="2" t="s">
        <v>2508</v>
      </c>
      <c r="Q583" t="s">
        <v>787</v>
      </c>
    </row>
    <row r="584" spans="1:17" ht="15" customHeight="1" x14ac:dyDescent="0.25">
      <c r="A584" s="41" t="s">
        <v>2335</v>
      </c>
      <c r="B584" s="3" t="s">
        <v>2813</v>
      </c>
      <c r="C584" s="41" t="s">
        <v>1196</v>
      </c>
      <c r="D584">
        <v>3</v>
      </c>
      <c r="E584" t="s">
        <v>1179</v>
      </c>
      <c r="F584" t="s">
        <v>1180</v>
      </c>
      <c r="G584" t="s">
        <v>180</v>
      </c>
      <c r="H584" s="1" t="s">
        <v>976</v>
      </c>
      <c r="I584" s="1">
        <v>490</v>
      </c>
      <c r="J584" s="20">
        <v>0</v>
      </c>
      <c r="K584" s="1">
        <v>60.83</v>
      </c>
      <c r="L584" s="1">
        <v>0</v>
      </c>
      <c r="M584" s="42" t="s">
        <v>2798</v>
      </c>
      <c r="O584" s="2" t="s">
        <v>2508</v>
      </c>
      <c r="Q584" t="s">
        <v>787</v>
      </c>
    </row>
    <row r="585" spans="1:17" ht="15" customHeight="1" x14ac:dyDescent="0.25">
      <c r="A585" s="3" t="s">
        <v>2336</v>
      </c>
      <c r="B585" s="4" t="s">
        <v>2813</v>
      </c>
      <c r="C585" t="s">
        <v>1196</v>
      </c>
      <c r="D585">
        <v>1</v>
      </c>
      <c r="E585" t="s">
        <v>974</v>
      </c>
      <c r="F585" t="s">
        <v>975</v>
      </c>
      <c r="G585" t="s">
        <v>976</v>
      </c>
      <c r="H585" s="1" t="s">
        <v>976</v>
      </c>
      <c r="I585" s="1">
        <v>490</v>
      </c>
      <c r="J585" s="20">
        <v>2</v>
      </c>
      <c r="K585" s="1">
        <v>60.83</v>
      </c>
      <c r="L585" s="1">
        <v>121.66</v>
      </c>
      <c r="M585" s="42" t="s">
        <v>2798</v>
      </c>
      <c r="O585" s="2" t="s">
        <v>2508</v>
      </c>
      <c r="Q585" t="s">
        <v>787</v>
      </c>
    </row>
    <row r="586" spans="1:17" ht="15" customHeight="1" x14ac:dyDescent="0.25">
      <c r="A586" s="41" t="s">
        <v>2336</v>
      </c>
      <c r="B586" s="3" t="s">
        <v>2813</v>
      </c>
      <c r="C586" s="41" t="s">
        <v>1196</v>
      </c>
      <c r="D586">
        <v>3</v>
      </c>
      <c r="E586" t="s">
        <v>1179</v>
      </c>
      <c r="F586" t="s">
        <v>1180</v>
      </c>
      <c r="G586" t="s">
        <v>976</v>
      </c>
      <c r="H586" s="1" t="s">
        <v>976</v>
      </c>
      <c r="I586" s="1">
        <v>490</v>
      </c>
      <c r="J586" s="20">
        <v>0</v>
      </c>
      <c r="K586" s="1">
        <v>60.83</v>
      </c>
      <c r="L586" s="1">
        <v>0</v>
      </c>
      <c r="M586" s="42" t="s">
        <v>2798</v>
      </c>
      <c r="O586" s="2" t="s">
        <v>2508</v>
      </c>
      <c r="Q586" t="s">
        <v>787</v>
      </c>
    </row>
    <row r="587" spans="1:17" ht="15" customHeight="1" x14ac:dyDescent="0.25">
      <c r="A587" s="3" t="s">
        <v>2337</v>
      </c>
      <c r="B587" s="4" t="s">
        <v>2813</v>
      </c>
      <c r="C587" t="s">
        <v>1196</v>
      </c>
      <c r="D587">
        <v>1</v>
      </c>
      <c r="E587" t="s">
        <v>974</v>
      </c>
      <c r="F587" t="s">
        <v>975</v>
      </c>
      <c r="G587" t="s">
        <v>976</v>
      </c>
      <c r="H587" s="1" t="s">
        <v>976</v>
      </c>
      <c r="I587" s="1">
        <v>490</v>
      </c>
      <c r="J587" s="20">
        <v>0</v>
      </c>
      <c r="K587" s="1">
        <v>60.83</v>
      </c>
      <c r="L587" s="1">
        <v>0</v>
      </c>
      <c r="M587" s="42" t="s">
        <v>2798</v>
      </c>
      <c r="O587" s="2" t="s">
        <v>2508</v>
      </c>
      <c r="Q587" t="s">
        <v>787</v>
      </c>
    </row>
    <row r="588" spans="1:17" ht="15" customHeight="1" x14ac:dyDescent="0.25">
      <c r="A588" s="41" t="s">
        <v>2337</v>
      </c>
      <c r="B588" s="3" t="s">
        <v>2813</v>
      </c>
      <c r="C588" s="41" t="s">
        <v>1196</v>
      </c>
      <c r="D588">
        <v>3</v>
      </c>
      <c r="E588" t="s">
        <v>1179</v>
      </c>
      <c r="F588" t="s">
        <v>1180</v>
      </c>
      <c r="G588" t="s">
        <v>976</v>
      </c>
      <c r="H588" s="1" t="s">
        <v>976</v>
      </c>
      <c r="I588" s="1">
        <v>490</v>
      </c>
      <c r="J588" s="20">
        <v>0</v>
      </c>
      <c r="K588" s="1">
        <v>60.83</v>
      </c>
      <c r="L588" s="1">
        <v>0</v>
      </c>
      <c r="M588" s="42" t="s">
        <v>2798</v>
      </c>
      <c r="O588" s="2" t="s">
        <v>2508</v>
      </c>
      <c r="Q588" t="s">
        <v>787</v>
      </c>
    </row>
    <row r="589" spans="1:17" ht="15" customHeight="1" x14ac:dyDescent="0.25">
      <c r="A589" s="3" t="s">
        <v>2338</v>
      </c>
      <c r="B589" s="4" t="s">
        <v>2814</v>
      </c>
      <c r="C589" t="s">
        <v>1196</v>
      </c>
      <c r="D589">
        <v>1</v>
      </c>
      <c r="E589" t="s">
        <v>974</v>
      </c>
      <c r="F589" t="s">
        <v>975</v>
      </c>
      <c r="G589" t="s">
        <v>180</v>
      </c>
      <c r="H589" s="1" t="s">
        <v>976</v>
      </c>
      <c r="I589" s="1">
        <v>575</v>
      </c>
      <c r="J589" s="20">
        <v>0</v>
      </c>
      <c r="K589" s="1">
        <v>95.72</v>
      </c>
      <c r="L589" s="1">
        <v>0</v>
      </c>
      <c r="M589" s="42" t="s">
        <v>2798</v>
      </c>
      <c r="O589" s="2" t="s">
        <v>2472</v>
      </c>
      <c r="Q589" t="s">
        <v>788</v>
      </c>
    </row>
    <row r="590" spans="1:17" ht="15" customHeight="1" x14ac:dyDescent="0.25">
      <c r="A590" s="41" t="s">
        <v>2338</v>
      </c>
      <c r="B590" s="3" t="s">
        <v>2814</v>
      </c>
      <c r="C590" s="41" t="s">
        <v>1196</v>
      </c>
      <c r="D590">
        <v>3</v>
      </c>
      <c r="E590" t="s">
        <v>1179</v>
      </c>
      <c r="F590" t="s">
        <v>1180</v>
      </c>
      <c r="G590" t="s">
        <v>180</v>
      </c>
      <c r="H590" s="1" t="s">
        <v>976</v>
      </c>
      <c r="I590" s="1">
        <v>575</v>
      </c>
      <c r="J590" s="20">
        <v>0</v>
      </c>
      <c r="K590" s="1">
        <v>95.72</v>
      </c>
      <c r="L590" s="1">
        <v>0</v>
      </c>
      <c r="M590" s="42" t="s">
        <v>2798</v>
      </c>
      <c r="O590" s="2" t="s">
        <v>2472</v>
      </c>
      <c r="Q590" t="s">
        <v>788</v>
      </c>
    </row>
    <row r="591" spans="1:17" ht="15" customHeight="1" x14ac:dyDescent="0.25">
      <c r="A591" s="3" t="s">
        <v>2339</v>
      </c>
      <c r="B591" s="4" t="s">
        <v>2814</v>
      </c>
      <c r="C591" t="s">
        <v>1196</v>
      </c>
      <c r="D591">
        <v>1</v>
      </c>
      <c r="E591" t="s">
        <v>974</v>
      </c>
      <c r="F591" t="s">
        <v>975</v>
      </c>
      <c r="G591" t="s">
        <v>180</v>
      </c>
      <c r="H591" s="1" t="s">
        <v>976</v>
      </c>
      <c r="I591" s="1">
        <v>575</v>
      </c>
      <c r="J591" s="20">
        <v>6</v>
      </c>
      <c r="K591" s="1">
        <v>95.72</v>
      </c>
      <c r="L591" s="1">
        <v>574.32000000000005</v>
      </c>
      <c r="M591" s="42" t="s">
        <v>2798</v>
      </c>
      <c r="O591" s="2" t="s">
        <v>2472</v>
      </c>
      <c r="Q591" t="s">
        <v>788</v>
      </c>
    </row>
    <row r="592" spans="1:17" ht="15" customHeight="1" x14ac:dyDescent="0.25">
      <c r="A592" s="41" t="s">
        <v>2339</v>
      </c>
      <c r="B592" s="3" t="s">
        <v>2814</v>
      </c>
      <c r="C592" s="41" t="s">
        <v>1196</v>
      </c>
      <c r="D592">
        <v>3</v>
      </c>
      <c r="E592" t="s">
        <v>1179</v>
      </c>
      <c r="F592" t="s">
        <v>1180</v>
      </c>
      <c r="G592" t="s">
        <v>180</v>
      </c>
      <c r="H592" s="1" t="s">
        <v>976</v>
      </c>
      <c r="I592" s="1">
        <v>575</v>
      </c>
      <c r="J592" s="20">
        <v>0</v>
      </c>
      <c r="K592" s="1">
        <v>95.72</v>
      </c>
      <c r="L592" s="1">
        <v>0</v>
      </c>
      <c r="M592" s="42" t="s">
        <v>2798</v>
      </c>
      <c r="O592" s="2" t="s">
        <v>2472</v>
      </c>
      <c r="Q592" t="s">
        <v>788</v>
      </c>
    </row>
    <row r="593" spans="1:17" ht="15" customHeight="1" x14ac:dyDescent="0.25">
      <c r="A593" s="3" t="s">
        <v>2340</v>
      </c>
      <c r="B593" s="4" t="s">
        <v>2814</v>
      </c>
      <c r="C593" t="s">
        <v>1196</v>
      </c>
      <c r="D593">
        <v>1</v>
      </c>
      <c r="E593" t="s">
        <v>974</v>
      </c>
      <c r="F593" t="s">
        <v>975</v>
      </c>
      <c r="G593" t="s">
        <v>180</v>
      </c>
      <c r="H593" s="1" t="s">
        <v>976</v>
      </c>
      <c r="I593" s="1">
        <v>575</v>
      </c>
      <c r="J593" s="20">
        <v>0</v>
      </c>
      <c r="K593" s="1">
        <v>95.72</v>
      </c>
      <c r="L593" s="1">
        <v>0</v>
      </c>
      <c r="M593" s="42" t="s">
        <v>2798</v>
      </c>
      <c r="O593" s="2" t="s">
        <v>2472</v>
      </c>
      <c r="Q593" t="s">
        <v>788</v>
      </c>
    </row>
    <row r="594" spans="1:17" ht="15" customHeight="1" x14ac:dyDescent="0.25">
      <c r="A594" s="41" t="s">
        <v>2340</v>
      </c>
      <c r="B594" s="3" t="s">
        <v>2814</v>
      </c>
      <c r="C594" s="41" t="s">
        <v>1196</v>
      </c>
      <c r="D594">
        <v>3</v>
      </c>
      <c r="E594" t="s">
        <v>1179</v>
      </c>
      <c r="F594" t="s">
        <v>1180</v>
      </c>
      <c r="G594" t="s">
        <v>180</v>
      </c>
      <c r="H594" s="1" t="s">
        <v>976</v>
      </c>
      <c r="I594" s="1">
        <v>575</v>
      </c>
      <c r="J594" s="20">
        <v>0</v>
      </c>
      <c r="K594" s="1">
        <v>95.72</v>
      </c>
      <c r="L594" s="1">
        <v>0</v>
      </c>
      <c r="M594" s="42" t="s">
        <v>2798</v>
      </c>
      <c r="O594" s="2" t="s">
        <v>2472</v>
      </c>
      <c r="Q594" t="s">
        <v>788</v>
      </c>
    </row>
    <row r="595" spans="1:17" ht="15" customHeight="1" x14ac:dyDescent="0.25">
      <c r="A595" s="3" t="s">
        <v>2341</v>
      </c>
      <c r="B595" s="4" t="s">
        <v>2814</v>
      </c>
      <c r="C595" t="s">
        <v>1196</v>
      </c>
      <c r="D595">
        <v>1</v>
      </c>
      <c r="E595" t="s">
        <v>974</v>
      </c>
      <c r="F595" t="s">
        <v>975</v>
      </c>
      <c r="G595" t="s">
        <v>180</v>
      </c>
      <c r="H595" s="1" t="s">
        <v>976</v>
      </c>
      <c r="I595" s="1">
        <v>585</v>
      </c>
      <c r="J595" s="20">
        <v>4</v>
      </c>
      <c r="K595" s="1">
        <v>97.01</v>
      </c>
      <c r="L595" s="1">
        <v>388.04</v>
      </c>
      <c r="M595" s="42" t="s">
        <v>2798</v>
      </c>
      <c r="O595" s="2" t="s">
        <v>2482</v>
      </c>
      <c r="Q595" t="s">
        <v>789</v>
      </c>
    </row>
    <row r="596" spans="1:17" ht="15" customHeight="1" x14ac:dyDescent="0.25">
      <c r="A596" s="3" t="s">
        <v>2342</v>
      </c>
      <c r="B596" s="4" t="s">
        <v>2814</v>
      </c>
      <c r="C596" t="s">
        <v>1196</v>
      </c>
      <c r="D596">
        <v>1</v>
      </c>
      <c r="E596" t="s">
        <v>974</v>
      </c>
      <c r="F596" t="s">
        <v>975</v>
      </c>
      <c r="G596" t="s">
        <v>180</v>
      </c>
      <c r="H596" s="1" t="s">
        <v>976</v>
      </c>
      <c r="I596" s="1">
        <v>585</v>
      </c>
      <c r="J596" s="20">
        <v>0</v>
      </c>
      <c r="K596" s="1">
        <v>97.01</v>
      </c>
      <c r="L596" s="1">
        <v>0</v>
      </c>
      <c r="M596" s="42" t="s">
        <v>2798</v>
      </c>
      <c r="O596" s="2" t="s">
        <v>2482</v>
      </c>
      <c r="Q596" t="s">
        <v>789</v>
      </c>
    </row>
    <row r="597" spans="1:17" ht="15" customHeight="1" x14ac:dyDescent="0.25">
      <c r="A597" s="3" t="s">
        <v>2343</v>
      </c>
      <c r="B597" s="4" t="s">
        <v>2814</v>
      </c>
      <c r="C597" t="s">
        <v>1196</v>
      </c>
      <c r="D597">
        <v>1</v>
      </c>
      <c r="E597" t="s">
        <v>974</v>
      </c>
      <c r="F597" t="s">
        <v>975</v>
      </c>
      <c r="G597" t="s">
        <v>180</v>
      </c>
      <c r="H597" s="1" t="s">
        <v>976</v>
      </c>
      <c r="I597" s="1">
        <v>585</v>
      </c>
      <c r="J597" s="20">
        <v>0</v>
      </c>
      <c r="K597" s="1">
        <v>97.01</v>
      </c>
      <c r="L597" s="1">
        <v>0</v>
      </c>
      <c r="M597" s="42" t="s">
        <v>2798</v>
      </c>
      <c r="O597" s="2" t="s">
        <v>2482</v>
      </c>
      <c r="Q597" t="s">
        <v>789</v>
      </c>
    </row>
    <row r="598" spans="1:17" ht="15" customHeight="1" x14ac:dyDescent="0.25">
      <c r="A598" s="3" t="s">
        <v>2344</v>
      </c>
      <c r="B598" s="4" t="s">
        <v>790</v>
      </c>
      <c r="C598" t="s">
        <v>1196</v>
      </c>
      <c r="D598">
        <v>1</v>
      </c>
      <c r="E598" t="s">
        <v>974</v>
      </c>
      <c r="F598" t="s">
        <v>975</v>
      </c>
      <c r="G598" t="s">
        <v>976</v>
      </c>
      <c r="H598" s="1" t="s">
        <v>976</v>
      </c>
      <c r="I598" s="1">
        <v>0</v>
      </c>
      <c r="J598" s="20">
        <v>-1</v>
      </c>
      <c r="K598" s="1">
        <v>0</v>
      </c>
      <c r="L598" s="1">
        <v>0</v>
      </c>
      <c r="M598" s="42" t="s">
        <v>2798</v>
      </c>
      <c r="N598" s="1" t="s">
        <v>2616</v>
      </c>
      <c r="Q598" t="s">
        <v>790</v>
      </c>
    </row>
    <row r="599" spans="1:17" ht="15" customHeight="1" x14ac:dyDescent="0.25">
      <c r="A599" s="41" t="s">
        <v>2344</v>
      </c>
      <c r="B599" s="3" t="s">
        <v>790</v>
      </c>
      <c r="C599" s="41" t="s">
        <v>1196</v>
      </c>
      <c r="D599">
        <v>4</v>
      </c>
      <c r="E599" t="s">
        <v>1018</v>
      </c>
      <c r="F599" t="s">
        <v>975</v>
      </c>
      <c r="G599" t="s">
        <v>976</v>
      </c>
      <c r="H599" s="1" t="s">
        <v>976</v>
      </c>
      <c r="I599" s="1">
        <v>0</v>
      </c>
      <c r="J599" s="20">
        <v>1</v>
      </c>
      <c r="K599" s="1">
        <v>0</v>
      </c>
      <c r="L599" s="1">
        <v>0</v>
      </c>
      <c r="M599" s="42" t="s">
        <v>2798</v>
      </c>
      <c r="N599" s="1" t="s">
        <v>2616</v>
      </c>
      <c r="Q599" t="s">
        <v>790</v>
      </c>
    </row>
    <row r="600" spans="1:17" ht="15" customHeight="1" x14ac:dyDescent="0.25">
      <c r="A600" s="3" t="s">
        <v>2345</v>
      </c>
      <c r="B600" s="4" t="s">
        <v>585</v>
      </c>
      <c r="C600" t="s">
        <v>1196</v>
      </c>
      <c r="D600">
        <v>1</v>
      </c>
      <c r="E600" t="s">
        <v>974</v>
      </c>
      <c r="F600" t="s">
        <v>975</v>
      </c>
      <c r="G600" t="s">
        <v>976</v>
      </c>
      <c r="H600" s="1" t="s">
        <v>976</v>
      </c>
      <c r="I600" s="1">
        <v>1410</v>
      </c>
      <c r="J600" s="20">
        <v>1</v>
      </c>
      <c r="K600" s="1">
        <v>278.05</v>
      </c>
      <c r="L600" s="1">
        <v>278.05</v>
      </c>
      <c r="M600" s="42" t="s">
        <v>2798</v>
      </c>
      <c r="P600" t="s">
        <v>24</v>
      </c>
      <c r="Q600" t="s">
        <v>585</v>
      </c>
    </row>
    <row r="601" spans="1:17" ht="15" customHeight="1" x14ac:dyDescent="0.25">
      <c r="A601" s="3" t="s">
        <v>2346</v>
      </c>
      <c r="B601" s="4" t="s">
        <v>586</v>
      </c>
      <c r="C601" t="s">
        <v>1196</v>
      </c>
      <c r="D601">
        <v>1</v>
      </c>
      <c r="E601" t="s">
        <v>974</v>
      </c>
      <c r="F601" t="s">
        <v>975</v>
      </c>
      <c r="G601" t="s">
        <v>976</v>
      </c>
      <c r="H601" s="1" t="s">
        <v>976</v>
      </c>
      <c r="I601" s="1">
        <v>1410</v>
      </c>
      <c r="J601" s="20">
        <v>6</v>
      </c>
      <c r="K601" s="1">
        <v>278.05</v>
      </c>
      <c r="L601" s="1">
        <v>1668.3</v>
      </c>
      <c r="M601" s="42" t="s">
        <v>2798</v>
      </c>
      <c r="P601" t="s">
        <v>23</v>
      </c>
      <c r="Q601" t="s">
        <v>586</v>
      </c>
    </row>
    <row r="602" spans="1:17" ht="15" customHeight="1" x14ac:dyDescent="0.25">
      <c r="A602" s="3" t="s">
        <v>2347</v>
      </c>
      <c r="B602" s="4" t="s">
        <v>587</v>
      </c>
      <c r="C602" t="s">
        <v>1196</v>
      </c>
      <c r="D602">
        <v>1</v>
      </c>
      <c r="E602" t="s">
        <v>974</v>
      </c>
      <c r="F602" t="s">
        <v>975</v>
      </c>
      <c r="G602" t="s">
        <v>976</v>
      </c>
      <c r="H602" s="1" t="s">
        <v>976</v>
      </c>
      <c r="I602" s="1">
        <v>1410</v>
      </c>
      <c r="J602" s="20">
        <v>4</v>
      </c>
      <c r="K602" s="1">
        <v>278.05</v>
      </c>
      <c r="L602" s="1">
        <v>1112.2</v>
      </c>
      <c r="M602" s="42" t="s">
        <v>2798</v>
      </c>
      <c r="P602" t="s">
        <v>22</v>
      </c>
      <c r="Q602" t="s">
        <v>587</v>
      </c>
    </row>
    <row r="603" spans="1:17" ht="15" customHeight="1" x14ac:dyDescent="0.25">
      <c r="A603" s="3" t="s">
        <v>2348</v>
      </c>
      <c r="B603" s="4" t="s">
        <v>2815</v>
      </c>
      <c r="C603" t="s">
        <v>1196</v>
      </c>
      <c r="D603">
        <v>1</v>
      </c>
      <c r="E603" t="s">
        <v>974</v>
      </c>
      <c r="F603" t="s">
        <v>975</v>
      </c>
      <c r="G603" t="s">
        <v>976</v>
      </c>
      <c r="H603" s="1" t="s">
        <v>976</v>
      </c>
      <c r="I603" s="1">
        <v>1410</v>
      </c>
      <c r="J603" s="20">
        <v>2</v>
      </c>
      <c r="K603" s="1">
        <v>278.05</v>
      </c>
      <c r="L603" s="1">
        <v>556.1</v>
      </c>
      <c r="M603" s="42" t="s">
        <v>2798</v>
      </c>
      <c r="O603" s="2" t="s">
        <v>2482</v>
      </c>
      <c r="P603" t="s">
        <v>24</v>
      </c>
      <c r="Q603" t="s">
        <v>791</v>
      </c>
    </row>
    <row r="604" spans="1:17" ht="15" customHeight="1" x14ac:dyDescent="0.25">
      <c r="A604" s="3" t="s">
        <v>2349</v>
      </c>
      <c r="B604" s="4" t="s">
        <v>2815</v>
      </c>
      <c r="C604" t="s">
        <v>1196</v>
      </c>
      <c r="D604">
        <v>1</v>
      </c>
      <c r="E604" t="s">
        <v>974</v>
      </c>
      <c r="F604" t="s">
        <v>975</v>
      </c>
      <c r="G604" t="s">
        <v>976</v>
      </c>
      <c r="H604" s="1" t="s">
        <v>976</v>
      </c>
      <c r="I604" s="1">
        <v>1410</v>
      </c>
      <c r="J604" s="20">
        <v>5</v>
      </c>
      <c r="K604" s="1">
        <v>278.05</v>
      </c>
      <c r="L604" s="1">
        <v>1390.25</v>
      </c>
      <c r="M604" s="42" t="s">
        <v>2798</v>
      </c>
      <c r="O604" s="2" t="s">
        <v>2482</v>
      </c>
      <c r="P604" t="s">
        <v>23</v>
      </c>
      <c r="Q604" t="s">
        <v>791</v>
      </c>
    </row>
    <row r="605" spans="1:17" ht="15" customHeight="1" x14ac:dyDescent="0.25">
      <c r="A605" s="3" t="s">
        <v>2350</v>
      </c>
      <c r="B605" s="4" t="s">
        <v>2815</v>
      </c>
      <c r="C605" t="s">
        <v>1196</v>
      </c>
      <c r="D605">
        <v>1</v>
      </c>
      <c r="E605" t="s">
        <v>974</v>
      </c>
      <c r="F605" t="s">
        <v>975</v>
      </c>
      <c r="G605" t="s">
        <v>976</v>
      </c>
      <c r="H605" s="1" t="s">
        <v>976</v>
      </c>
      <c r="I605" s="1">
        <v>1410</v>
      </c>
      <c r="J605" s="20">
        <v>3</v>
      </c>
      <c r="K605" s="1">
        <v>278.05</v>
      </c>
      <c r="L605" s="1">
        <v>834.15</v>
      </c>
      <c r="M605" s="42" t="s">
        <v>2798</v>
      </c>
      <c r="O605" s="2" t="s">
        <v>2482</v>
      </c>
      <c r="P605" t="s">
        <v>22</v>
      </c>
      <c r="Q605" t="s">
        <v>791</v>
      </c>
    </row>
    <row r="606" spans="1:17" ht="15" customHeight="1" x14ac:dyDescent="0.25">
      <c r="A606" s="3" t="s">
        <v>2351</v>
      </c>
      <c r="B606" s="4" t="s">
        <v>2816</v>
      </c>
      <c r="C606" t="s">
        <v>1196</v>
      </c>
      <c r="D606">
        <v>1</v>
      </c>
      <c r="E606" t="s">
        <v>974</v>
      </c>
      <c r="F606" t="s">
        <v>975</v>
      </c>
      <c r="G606" t="s">
        <v>976</v>
      </c>
      <c r="H606" s="1" t="s">
        <v>976</v>
      </c>
      <c r="I606" s="1">
        <v>460</v>
      </c>
      <c r="J606" s="20">
        <v>1</v>
      </c>
      <c r="K606" s="1">
        <v>98</v>
      </c>
      <c r="L606" s="1">
        <v>98</v>
      </c>
      <c r="M606" s="42" t="s">
        <v>2798</v>
      </c>
      <c r="O606" s="2" t="s">
        <v>2447</v>
      </c>
      <c r="P606" t="s">
        <v>24</v>
      </c>
      <c r="Q606" t="s">
        <v>792</v>
      </c>
    </row>
    <row r="607" spans="1:17" ht="15" customHeight="1" x14ac:dyDescent="0.25">
      <c r="A607" s="3" t="s">
        <v>2352</v>
      </c>
      <c r="B607" s="4" t="s">
        <v>2816</v>
      </c>
      <c r="C607" t="s">
        <v>1196</v>
      </c>
      <c r="D607">
        <v>1</v>
      </c>
      <c r="E607" t="s">
        <v>974</v>
      </c>
      <c r="F607" t="s">
        <v>975</v>
      </c>
      <c r="G607" t="s">
        <v>976</v>
      </c>
      <c r="H607" s="1" t="s">
        <v>976</v>
      </c>
      <c r="I607" s="1">
        <v>460</v>
      </c>
      <c r="J607" s="20">
        <v>1</v>
      </c>
      <c r="K607" s="1">
        <v>76</v>
      </c>
      <c r="L607" s="1">
        <v>76</v>
      </c>
      <c r="M607" s="42" t="s">
        <v>2798</v>
      </c>
      <c r="O607" s="2" t="s">
        <v>2447</v>
      </c>
      <c r="P607" t="s">
        <v>25</v>
      </c>
      <c r="Q607" t="s">
        <v>792</v>
      </c>
    </row>
    <row r="608" spans="1:17" ht="15" customHeight="1" x14ac:dyDescent="0.25">
      <c r="A608" s="3" t="s">
        <v>2353</v>
      </c>
      <c r="B608" s="4" t="s">
        <v>2816</v>
      </c>
      <c r="C608" t="s">
        <v>1196</v>
      </c>
      <c r="D608">
        <v>1</v>
      </c>
      <c r="E608" t="s">
        <v>974</v>
      </c>
      <c r="F608" t="s">
        <v>975</v>
      </c>
      <c r="G608" t="s">
        <v>976</v>
      </c>
      <c r="H608" s="1" t="s">
        <v>976</v>
      </c>
      <c r="I608" s="1">
        <v>460</v>
      </c>
      <c r="J608" s="20">
        <v>2</v>
      </c>
      <c r="K608" s="1">
        <v>98</v>
      </c>
      <c r="L608" s="1">
        <v>196</v>
      </c>
      <c r="M608" s="42" t="s">
        <v>2798</v>
      </c>
      <c r="O608" s="2" t="s">
        <v>2447</v>
      </c>
      <c r="P608" t="s">
        <v>23</v>
      </c>
      <c r="Q608" t="s">
        <v>792</v>
      </c>
    </row>
    <row r="609" spans="1:17" ht="15" customHeight="1" x14ac:dyDescent="0.25">
      <c r="A609" s="3" t="s">
        <v>2354</v>
      </c>
      <c r="B609" s="4" t="s">
        <v>2816</v>
      </c>
      <c r="C609" t="s">
        <v>1196</v>
      </c>
      <c r="D609">
        <v>1</v>
      </c>
      <c r="E609" t="s">
        <v>974</v>
      </c>
      <c r="F609" t="s">
        <v>975</v>
      </c>
      <c r="G609" t="s">
        <v>976</v>
      </c>
      <c r="H609" s="1" t="s">
        <v>976</v>
      </c>
      <c r="I609" s="1">
        <v>460</v>
      </c>
      <c r="J609" s="20">
        <v>0</v>
      </c>
      <c r="K609" s="1">
        <v>76</v>
      </c>
      <c r="L609" s="1">
        <v>0</v>
      </c>
      <c r="M609" s="42" t="s">
        <v>2798</v>
      </c>
      <c r="O609" s="2" t="s">
        <v>2447</v>
      </c>
      <c r="P609" t="s">
        <v>22</v>
      </c>
      <c r="Q609" t="s">
        <v>792</v>
      </c>
    </row>
    <row r="610" spans="1:17" ht="15" customHeight="1" x14ac:dyDescent="0.25">
      <c r="A610" s="3" t="s">
        <v>2355</v>
      </c>
      <c r="B610" s="4" t="s">
        <v>2816</v>
      </c>
      <c r="C610" t="s">
        <v>1196</v>
      </c>
      <c r="D610">
        <v>1</v>
      </c>
      <c r="E610" t="s">
        <v>974</v>
      </c>
      <c r="F610" t="s">
        <v>975</v>
      </c>
      <c r="G610" t="s">
        <v>976</v>
      </c>
      <c r="H610" s="1" t="s">
        <v>976</v>
      </c>
      <c r="I610" s="1">
        <v>460</v>
      </c>
      <c r="J610" s="20">
        <v>1</v>
      </c>
      <c r="K610" s="1">
        <v>76</v>
      </c>
      <c r="L610" s="1">
        <v>76</v>
      </c>
      <c r="M610" s="42" t="s">
        <v>2798</v>
      </c>
      <c r="O610" s="2" t="s">
        <v>2447</v>
      </c>
      <c r="P610" t="s">
        <v>21</v>
      </c>
      <c r="Q610" t="s">
        <v>792</v>
      </c>
    </row>
    <row r="611" spans="1:17" ht="15" customHeight="1" x14ac:dyDescent="0.25">
      <c r="A611" s="3" t="s">
        <v>2356</v>
      </c>
      <c r="B611" s="4" t="s">
        <v>2816</v>
      </c>
      <c r="C611" t="s">
        <v>1196</v>
      </c>
      <c r="D611">
        <v>1</v>
      </c>
      <c r="E611" t="s">
        <v>974</v>
      </c>
      <c r="F611" t="s">
        <v>975</v>
      </c>
      <c r="G611" t="s">
        <v>976</v>
      </c>
      <c r="H611" s="1" t="s">
        <v>976</v>
      </c>
      <c r="I611" s="1">
        <v>460</v>
      </c>
      <c r="J611" s="20">
        <v>0</v>
      </c>
      <c r="K611" s="1">
        <v>98</v>
      </c>
      <c r="L611" s="1">
        <v>0</v>
      </c>
      <c r="M611" s="42" t="s">
        <v>2798</v>
      </c>
      <c r="O611" s="2" t="s">
        <v>2443</v>
      </c>
      <c r="P611" t="s">
        <v>24</v>
      </c>
      <c r="Q611" t="s">
        <v>793</v>
      </c>
    </row>
    <row r="612" spans="1:17" ht="15" customHeight="1" x14ac:dyDescent="0.25">
      <c r="A612" s="3" t="s">
        <v>2357</v>
      </c>
      <c r="B612" s="4" t="s">
        <v>2816</v>
      </c>
      <c r="C612" t="s">
        <v>1196</v>
      </c>
      <c r="D612">
        <v>1</v>
      </c>
      <c r="E612" t="s">
        <v>974</v>
      </c>
      <c r="F612" t="s">
        <v>975</v>
      </c>
      <c r="G612" t="s">
        <v>976</v>
      </c>
      <c r="H612" s="1" t="s">
        <v>976</v>
      </c>
      <c r="I612" s="1">
        <v>460</v>
      </c>
      <c r="J612" s="20">
        <v>0</v>
      </c>
      <c r="K612" s="1">
        <v>98</v>
      </c>
      <c r="L612" s="1">
        <v>0</v>
      </c>
      <c r="M612" s="42" t="s">
        <v>2798</v>
      </c>
      <c r="O612" s="2" t="s">
        <v>2443</v>
      </c>
      <c r="P612" t="s">
        <v>25</v>
      </c>
      <c r="Q612" t="s">
        <v>793</v>
      </c>
    </row>
    <row r="613" spans="1:17" ht="15" customHeight="1" x14ac:dyDescent="0.25">
      <c r="A613" s="3" t="s">
        <v>2358</v>
      </c>
      <c r="B613" s="4" t="s">
        <v>2816</v>
      </c>
      <c r="C613" t="s">
        <v>1196</v>
      </c>
      <c r="D613">
        <v>1</v>
      </c>
      <c r="E613" t="s">
        <v>974</v>
      </c>
      <c r="F613" t="s">
        <v>975</v>
      </c>
      <c r="G613" t="s">
        <v>976</v>
      </c>
      <c r="H613" s="1" t="s">
        <v>976</v>
      </c>
      <c r="I613" s="1">
        <v>460</v>
      </c>
      <c r="J613" s="20">
        <v>0</v>
      </c>
      <c r="K613" s="1">
        <v>218.66666599999999</v>
      </c>
      <c r="L613" s="1">
        <v>0</v>
      </c>
      <c r="M613" s="42" t="s">
        <v>2798</v>
      </c>
      <c r="O613" s="2" t="s">
        <v>2443</v>
      </c>
      <c r="P613" t="s">
        <v>23</v>
      </c>
      <c r="Q613" t="s">
        <v>793</v>
      </c>
    </row>
    <row r="614" spans="1:17" ht="15" customHeight="1" x14ac:dyDescent="0.25">
      <c r="A614" s="41" t="s">
        <v>2358</v>
      </c>
      <c r="B614" s="3" t="s">
        <v>2816</v>
      </c>
      <c r="C614" s="41" t="s">
        <v>1196</v>
      </c>
      <c r="D614">
        <v>2</v>
      </c>
      <c r="E614" t="s">
        <v>1017</v>
      </c>
      <c r="F614" t="s">
        <v>975</v>
      </c>
      <c r="G614" t="s">
        <v>976</v>
      </c>
      <c r="H614" s="1" t="s">
        <v>976</v>
      </c>
      <c r="I614" s="1">
        <v>460</v>
      </c>
      <c r="J614" s="20">
        <v>-1</v>
      </c>
      <c r="K614" s="1">
        <v>0</v>
      </c>
      <c r="L614" s="1">
        <v>0</v>
      </c>
      <c r="M614" s="42" t="s">
        <v>2798</v>
      </c>
      <c r="O614" s="2" t="s">
        <v>2443</v>
      </c>
      <c r="P614" t="s">
        <v>23</v>
      </c>
      <c r="Q614" t="s">
        <v>793</v>
      </c>
    </row>
    <row r="615" spans="1:17" ht="15" customHeight="1" x14ac:dyDescent="0.25">
      <c r="A615" s="3" t="s">
        <v>2359</v>
      </c>
      <c r="B615" s="4" t="s">
        <v>2816</v>
      </c>
      <c r="C615" t="s">
        <v>1196</v>
      </c>
      <c r="D615">
        <v>1</v>
      </c>
      <c r="E615" t="s">
        <v>974</v>
      </c>
      <c r="F615" t="s">
        <v>975</v>
      </c>
      <c r="G615" t="s">
        <v>976</v>
      </c>
      <c r="H615" s="1" t="s">
        <v>976</v>
      </c>
      <c r="I615" s="1">
        <v>460</v>
      </c>
      <c r="J615" s="20">
        <v>0</v>
      </c>
      <c r="K615" s="1">
        <v>98</v>
      </c>
      <c r="L615" s="1">
        <v>0</v>
      </c>
      <c r="M615" s="42" t="s">
        <v>2798</v>
      </c>
      <c r="O615" s="2" t="s">
        <v>2443</v>
      </c>
      <c r="P615" t="s">
        <v>22</v>
      </c>
      <c r="Q615" t="s">
        <v>793</v>
      </c>
    </row>
    <row r="616" spans="1:17" ht="15" customHeight="1" x14ac:dyDescent="0.25">
      <c r="A616" s="41" t="s">
        <v>2359</v>
      </c>
      <c r="B616" s="3" t="s">
        <v>2816</v>
      </c>
      <c r="C616" s="41" t="s">
        <v>1196</v>
      </c>
      <c r="D616">
        <v>3</v>
      </c>
      <c r="E616" t="s">
        <v>1179</v>
      </c>
      <c r="F616" t="s">
        <v>1180</v>
      </c>
      <c r="G616" t="s">
        <v>976</v>
      </c>
      <c r="H616" s="1" t="s">
        <v>976</v>
      </c>
      <c r="I616" s="1">
        <v>460</v>
      </c>
      <c r="J616" s="20">
        <v>-1</v>
      </c>
      <c r="K616" s="1">
        <v>0</v>
      </c>
      <c r="L616" s="1">
        <v>0</v>
      </c>
      <c r="M616" s="42" t="s">
        <v>2798</v>
      </c>
      <c r="O616" s="2" t="s">
        <v>2443</v>
      </c>
      <c r="P616" t="s">
        <v>22</v>
      </c>
      <c r="Q616" t="s">
        <v>793</v>
      </c>
    </row>
    <row r="617" spans="1:17" ht="15" customHeight="1" x14ac:dyDescent="0.25">
      <c r="A617" s="3" t="s">
        <v>2360</v>
      </c>
      <c r="B617" s="4" t="s">
        <v>2816</v>
      </c>
      <c r="C617" t="s">
        <v>1196</v>
      </c>
      <c r="D617">
        <v>1</v>
      </c>
      <c r="E617" t="s">
        <v>974</v>
      </c>
      <c r="F617" t="s">
        <v>975</v>
      </c>
      <c r="G617" t="s">
        <v>976</v>
      </c>
      <c r="H617" s="1" t="s">
        <v>976</v>
      </c>
      <c r="I617" s="1">
        <v>460</v>
      </c>
      <c r="J617" s="20">
        <v>0</v>
      </c>
      <c r="K617" s="1">
        <v>76</v>
      </c>
      <c r="L617" s="1">
        <v>0</v>
      </c>
      <c r="M617" s="42" t="s">
        <v>2798</v>
      </c>
      <c r="O617" s="2" t="s">
        <v>2443</v>
      </c>
      <c r="P617" t="s">
        <v>21</v>
      </c>
      <c r="Q617" t="s">
        <v>793</v>
      </c>
    </row>
    <row r="618" spans="1:17" ht="15" customHeight="1" x14ac:dyDescent="0.25">
      <c r="A618" s="3" t="s">
        <v>2361</v>
      </c>
      <c r="B618" s="4" t="s">
        <v>2816</v>
      </c>
      <c r="C618" t="s">
        <v>1196</v>
      </c>
      <c r="D618">
        <v>1</v>
      </c>
      <c r="E618" t="s">
        <v>974</v>
      </c>
      <c r="F618" t="s">
        <v>975</v>
      </c>
      <c r="G618" t="s">
        <v>976</v>
      </c>
      <c r="H618" s="1" t="s">
        <v>976</v>
      </c>
      <c r="I618" s="1">
        <v>460</v>
      </c>
      <c r="J618" s="20">
        <v>0</v>
      </c>
      <c r="K618" s="1">
        <v>76</v>
      </c>
      <c r="L618" s="1">
        <v>0</v>
      </c>
      <c r="M618" s="42" t="s">
        <v>2798</v>
      </c>
      <c r="O618" s="2" t="s">
        <v>2482</v>
      </c>
      <c r="P618" t="s">
        <v>24</v>
      </c>
      <c r="Q618" t="s">
        <v>794</v>
      </c>
    </row>
    <row r="619" spans="1:17" ht="15" customHeight="1" x14ac:dyDescent="0.25">
      <c r="A619" s="3" t="s">
        <v>2362</v>
      </c>
      <c r="B619" s="4" t="s">
        <v>2816</v>
      </c>
      <c r="C619" t="s">
        <v>1196</v>
      </c>
      <c r="D619">
        <v>1</v>
      </c>
      <c r="E619" t="s">
        <v>974</v>
      </c>
      <c r="F619" t="s">
        <v>975</v>
      </c>
      <c r="G619" t="s">
        <v>976</v>
      </c>
      <c r="H619" s="1" t="s">
        <v>976</v>
      </c>
      <c r="I619" s="1">
        <v>460</v>
      </c>
      <c r="J619" s="20">
        <v>1</v>
      </c>
      <c r="K619" s="1">
        <v>76</v>
      </c>
      <c r="L619" s="1">
        <v>76</v>
      </c>
      <c r="M619" s="42" t="s">
        <v>2798</v>
      </c>
      <c r="O619" s="2" t="s">
        <v>2482</v>
      </c>
      <c r="P619" t="s">
        <v>25</v>
      </c>
      <c r="Q619" t="s">
        <v>794</v>
      </c>
    </row>
    <row r="620" spans="1:17" ht="15" customHeight="1" x14ac:dyDescent="0.25">
      <c r="A620" s="3" t="s">
        <v>2363</v>
      </c>
      <c r="B620" s="4" t="s">
        <v>2816</v>
      </c>
      <c r="C620" t="s">
        <v>1196</v>
      </c>
      <c r="D620">
        <v>1</v>
      </c>
      <c r="E620" t="s">
        <v>974</v>
      </c>
      <c r="F620" t="s">
        <v>975</v>
      </c>
      <c r="G620" t="s">
        <v>976</v>
      </c>
      <c r="H620" s="1" t="s">
        <v>976</v>
      </c>
      <c r="I620" s="1">
        <v>460</v>
      </c>
      <c r="J620" s="20">
        <v>0</v>
      </c>
      <c r="K620" s="1">
        <v>98</v>
      </c>
      <c r="L620" s="1">
        <v>0</v>
      </c>
      <c r="M620" s="42" t="s">
        <v>2798</v>
      </c>
      <c r="O620" s="2" t="s">
        <v>2482</v>
      </c>
      <c r="P620" t="s">
        <v>23</v>
      </c>
      <c r="Q620" t="s">
        <v>794</v>
      </c>
    </row>
    <row r="621" spans="1:17" ht="15" customHeight="1" x14ac:dyDescent="0.25">
      <c r="A621" s="3" t="s">
        <v>2364</v>
      </c>
      <c r="B621" s="4" t="s">
        <v>2816</v>
      </c>
      <c r="C621" t="s">
        <v>1196</v>
      </c>
      <c r="D621">
        <v>1</v>
      </c>
      <c r="E621" t="s">
        <v>974</v>
      </c>
      <c r="F621" t="s">
        <v>975</v>
      </c>
      <c r="G621" t="s">
        <v>976</v>
      </c>
      <c r="H621" s="1" t="s">
        <v>976</v>
      </c>
      <c r="I621" s="1">
        <v>460</v>
      </c>
      <c r="J621" s="20">
        <v>0</v>
      </c>
      <c r="K621" s="1">
        <v>76</v>
      </c>
      <c r="L621" s="1">
        <v>0</v>
      </c>
      <c r="M621" s="42" t="s">
        <v>2798</v>
      </c>
      <c r="O621" s="2" t="s">
        <v>2482</v>
      </c>
      <c r="P621" t="s">
        <v>22</v>
      </c>
      <c r="Q621" t="s">
        <v>794</v>
      </c>
    </row>
    <row r="622" spans="1:17" ht="15" customHeight="1" x14ac:dyDescent="0.25">
      <c r="A622" s="3" t="s">
        <v>2365</v>
      </c>
      <c r="B622" s="4" t="s">
        <v>2816</v>
      </c>
      <c r="C622" t="s">
        <v>1196</v>
      </c>
      <c r="D622">
        <v>1</v>
      </c>
      <c r="E622" t="s">
        <v>974</v>
      </c>
      <c r="F622" t="s">
        <v>975</v>
      </c>
      <c r="G622" t="s">
        <v>976</v>
      </c>
      <c r="H622" s="1" t="s">
        <v>976</v>
      </c>
      <c r="I622" s="1">
        <v>460</v>
      </c>
      <c r="J622" s="20">
        <v>0</v>
      </c>
      <c r="K622" s="1">
        <v>89</v>
      </c>
      <c r="L622" s="1">
        <v>0</v>
      </c>
      <c r="M622" s="42" t="s">
        <v>2798</v>
      </c>
      <c r="O622" s="2" t="s">
        <v>2482</v>
      </c>
      <c r="P622" t="s">
        <v>21</v>
      </c>
      <c r="Q622" t="s">
        <v>794</v>
      </c>
    </row>
    <row r="623" spans="1:17" ht="15" customHeight="1" x14ac:dyDescent="0.25">
      <c r="A623" s="3" t="s">
        <v>2366</v>
      </c>
      <c r="B623" s="4" t="s">
        <v>588</v>
      </c>
      <c r="C623" t="s">
        <v>1196</v>
      </c>
      <c r="D623">
        <v>1</v>
      </c>
      <c r="E623" t="s">
        <v>974</v>
      </c>
      <c r="F623" t="s">
        <v>975</v>
      </c>
      <c r="G623" t="s">
        <v>180</v>
      </c>
      <c r="H623" s="1" t="s">
        <v>976</v>
      </c>
      <c r="I623" s="1">
        <v>900</v>
      </c>
      <c r="J623" s="20">
        <v>0</v>
      </c>
      <c r="K623" s="1">
        <v>144</v>
      </c>
      <c r="L623" s="1">
        <v>0</v>
      </c>
      <c r="M623" s="42" t="s">
        <v>2798</v>
      </c>
      <c r="Q623" t="s">
        <v>588</v>
      </c>
    </row>
    <row r="624" spans="1:17" ht="15" customHeight="1" x14ac:dyDescent="0.25">
      <c r="A624" s="3" t="s">
        <v>2367</v>
      </c>
      <c r="B624" s="4" t="s">
        <v>2808</v>
      </c>
      <c r="C624" t="s">
        <v>1196</v>
      </c>
      <c r="D624">
        <v>1</v>
      </c>
      <c r="E624" t="s">
        <v>974</v>
      </c>
      <c r="F624" t="s">
        <v>975</v>
      </c>
      <c r="G624" t="s">
        <v>180</v>
      </c>
      <c r="H624" s="1" t="s">
        <v>976</v>
      </c>
      <c r="I624" s="1">
        <v>980</v>
      </c>
      <c r="J624" s="20">
        <v>0</v>
      </c>
      <c r="K624" s="1">
        <v>0</v>
      </c>
      <c r="L624" s="1">
        <v>0</v>
      </c>
      <c r="M624" s="42" t="s">
        <v>2798</v>
      </c>
      <c r="O624" s="2" t="s">
        <v>2472</v>
      </c>
      <c r="Q624" t="s">
        <v>781</v>
      </c>
    </row>
    <row r="625" spans="1:17" ht="15" customHeight="1" x14ac:dyDescent="0.25">
      <c r="A625" s="3" t="s">
        <v>2368</v>
      </c>
      <c r="B625" s="4" t="s">
        <v>2817</v>
      </c>
      <c r="C625" t="s">
        <v>1196</v>
      </c>
      <c r="D625">
        <v>1</v>
      </c>
      <c r="E625" t="s">
        <v>974</v>
      </c>
      <c r="F625" t="s">
        <v>975</v>
      </c>
      <c r="G625" t="s">
        <v>180</v>
      </c>
      <c r="H625" s="1" t="s">
        <v>976</v>
      </c>
      <c r="I625" s="1">
        <v>1200</v>
      </c>
      <c r="J625" s="20">
        <v>1</v>
      </c>
      <c r="K625" s="1">
        <v>1200</v>
      </c>
      <c r="L625" s="1">
        <v>1200</v>
      </c>
      <c r="M625" s="42" t="s">
        <v>2798</v>
      </c>
      <c r="O625" s="2" t="s">
        <v>2447</v>
      </c>
      <c r="P625" t="s">
        <v>23</v>
      </c>
      <c r="Q625" t="s">
        <v>795</v>
      </c>
    </row>
    <row r="626" spans="1:17" ht="15" customHeight="1" x14ac:dyDescent="0.25">
      <c r="A626" s="41" t="s">
        <v>2368</v>
      </c>
      <c r="B626" s="3" t="s">
        <v>2817</v>
      </c>
      <c r="C626" s="41" t="s">
        <v>1196</v>
      </c>
      <c r="D626">
        <v>4</v>
      </c>
      <c r="E626" t="s">
        <v>1018</v>
      </c>
      <c r="F626" t="s">
        <v>975</v>
      </c>
      <c r="G626" t="s">
        <v>180</v>
      </c>
      <c r="H626" s="1" t="s">
        <v>976</v>
      </c>
      <c r="I626" s="1">
        <v>1200</v>
      </c>
      <c r="J626" s="20">
        <v>0</v>
      </c>
      <c r="K626" s="1">
        <v>1200</v>
      </c>
      <c r="L626" s="1">
        <v>0</v>
      </c>
      <c r="M626" s="42" t="s">
        <v>2798</v>
      </c>
      <c r="O626" s="2" t="s">
        <v>2447</v>
      </c>
      <c r="P626" t="s">
        <v>23</v>
      </c>
      <c r="Q626" t="s">
        <v>795</v>
      </c>
    </row>
    <row r="627" spans="1:17" ht="15" customHeight="1" x14ac:dyDescent="0.25">
      <c r="A627" s="3" t="s">
        <v>2369</v>
      </c>
      <c r="B627" s="4" t="s">
        <v>2817</v>
      </c>
      <c r="C627" t="s">
        <v>1196</v>
      </c>
      <c r="D627">
        <v>4</v>
      </c>
      <c r="E627" t="s">
        <v>1018</v>
      </c>
      <c r="F627" t="s">
        <v>975</v>
      </c>
      <c r="G627" t="s">
        <v>180</v>
      </c>
      <c r="H627" s="1" t="s">
        <v>976</v>
      </c>
      <c r="I627" s="1">
        <v>1200</v>
      </c>
      <c r="J627" s="20">
        <v>1</v>
      </c>
      <c r="K627" s="1">
        <v>0</v>
      </c>
      <c r="L627" s="1">
        <v>0</v>
      </c>
      <c r="M627" s="42" t="s">
        <v>2798</v>
      </c>
      <c r="O627" s="2" t="s">
        <v>2443</v>
      </c>
      <c r="P627" t="s">
        <v>23</v>
      </c>
      <c r="Q627" t="s">
        <v>796</v>
      </c>
    </row>
    <row r="628" spans="1:17" ht="15" customHeight="1" x14ac:dyDescent="0.25">
      <c r="A628" s="3" t="s">
        <v>2370</v>
      </c>
      <c r="B628" s="4" t="s">
        <v>2818</v>
      </c>
      <c r="C628" t="s">
        <v>1196</v>
      </c>
      <c r="D628">
        <v>1</v>
      </c>
      <c r="E628" t="s">
        <v>974</v>
      </c>
      <c r="F628" t="s">
        <v>975</v>
      </c>
      <c r="G628" t="s">
        <v>180</v>
      </c>
      <c r="H628" s="1" t="s">
        <v>976</v>
      </c>
      <c r="I628" s="1">
        <v>1220</v>
      </c>
      <c r="J628" s="20">
        <v>2</v>
      </c>
      <c r="K628" s="1">
        <v>222</v>
      </c>
      <c r="L628" s="1">
        <v>444</v>
      </c>
      <c r="M628" s="42" t="s">
        <v>2798</v>
      </c>
      <c r="O628" s="2" t="s">
        <v>2472</v>
      </c>
      <c r="P628">
        <v>34</v>
      </c>
      <c r="Q628" t="s">
        <v>797</v>
      </c>
    </row>
    <row r="629" spans="1:17" ht="15" customHeight="1" x14ac:dyDescent="0.25">
      <c r="A629" s="3" t="s">
        <v>2371</v>
      </c>
      <c r="B629" s="4" t="s">
        <v>2818</v>
      </c>
      <c r="C629" t="s">
        <v>1196</v>
      </c>
      <c r="D629">
        <v>1</v>
      </c>
      <c r="E629" t="s">
        <v>974</v>
      </c>
      <c r="F629" t="s">
        <v>975</v>
      </c>
      <c r="G629" t="s">
        <v>180</v>
      </c>
      <c r="H629" s="1" t="s">
        <v>976</v>
      </c>
      <c r="I629" s="1">
        <v>1220</v>
      </c>
      <c r="J629" s="20">
        <v>7</v>
      </c>
      <c r="K629" s="1">
        <v>222</v>
      </c>
      <c r="L629" s="1">
        <v>1554</v>
      </c>
      <c r="M629" s="42" t="s">
        <v>2798</v>
      </c>
      <c r="O629" s="2" t="s">
        <v>2472</v>
      </c>
      <c r="P629">
        <v>36</v>
      </c>
      <c r="Q629" t="s">
        <v>797</v>
      </c>
    </row>
    <row r="630" spans="1:17" ht="15" customHeight="1" x14ac:dyDescent="0.25">
      <c r="A630" s="3" t="s">
        <v>2372</v>
      </c>
      <c r="B630" s="4" t="s">
        <v>2818</v>
      </c>
      <c r="C630" t="s">
        <v>1196</v>
      </c>
      <c r="D630">
        <v>1</v>
      </c>
      <c r="E630" t="s">
        <v>974</v>
      </c>
      <c r="F630" t="s">
        <v>975</v>
      </c>
      <c r="G630" t="s">
        <v>180</v>
      </c>
      <c r="H630" s="1" t="s">
        <v>976</v>
      </c>
      <c r="I630" s="1">
        <v>1220</v>
      </c>
      <c r="J630" s="20">
        <v>7</v>
      </c>
      <c r="K630" s="1">
        <v>222</v>
      </c>
      <c r="L630" s="1">
        <v>1554</v>
      </c>
      <c r="M630" s="42" t="s">
        <v>2798</v>
      </c>
      <c r="O630" s="2" t="s">
        <v>2472</v>
      </c>
      <c r="P630">
        <v>38</v>
      </c>
      <c r="Q630" t="s">
        <v>797</v>
      </c>
    </row>
    <row r="631" spans="1:17" ht="15" customHeight="1" x14ac:dyDescent="0.25">
      <c r="A631" s="3" t="s">
        <v>2373</v>
      </c>
      <c r="B631" s="4" t="s">
        <v>2818</v>
      </c>
      <c r="C631" t="s">
        <v>1196</v>
      </c>
      <c r="D631">
        <v>1</v>
      </c>
      <c r="E631" t="s">
        <v>974</v>
      </c>
      <c r="F631" t="s">
        <v>975</v>
      </c>
      <c r="G631" t="s">
        <v>180</v>
      </c>
      <c r="H631" s="1" t="s">
        <v>976</v>
      </c>
      <c r="I631" s="1">
        <v>1220</v>
      </c>
      <c r="J631" s="20">
        <v>7</v>
      </c>
      <c r="K631" s="1">
        <v>194.25</v>
      </c>
      <c r="L631" s="1">
        <v>1359.75</v>
      </c>
      <c r="M631" s="42" t="s">
        <v>2798</v>
      </c>
      <c r="O631" s="2" t="s">
        <v>2472</v>
      </c>
      <c r="P631">
        <v>40</v>
      </c>
      <c r="Q631" t="s">
        <v>797</v>
      </c>
    </row>
    <row r="632" spans="1:17" ht="15" customHeight="1" x14ac:dyDescent="0.25">
      <c r="A632" s="3" t="s">
        <v>2374</v>
      </c>
      <c r="B632" s="4" t="s">
        <v>2818</v>
      </c>
      <c r="C632" t="s">
        <v>1196</v>
      </c>
      <c r="D632">
        <v>1</v>
      </c>
      <c r="E632" t="s">
        <v>974</v>
      </c>
      <c r="F632" t="s">
        <v>975</v>
      </c>
      <c r="G632" t="s">
        <v>180</v>
      </c>
      <c r="H632" s="1" t="s">
        <v>976</v>
      </c>
      <c r="I632" s="1">
        <v>1220</v>
      </c>
      <c r="J632" s="20">
        <v>0</v>
      </c>
      <c r="K632" s="1">
        <v>222</v>
      </c>
      <c r="L632" s="1">
        <v>0</v>
      </c>
      <c r="M632" s="42" t="s">
        <v>2798</v>
      </c>
      <c r="O632" s="2" t="s">
        <v>2472</v>
      </c>
      <c r="P632">
        <v>42</v>
      </c>
      <c r="Q632" t="s">
        <v>797</v>
      </c>
    </row>
    <row r="633" spans="1:17" ht="15" customHeight="1" x14ac:dyDescent="0.25">
      <c r="A633" s="3" t="s">
        <v>2375</v>
      </c>
      <c r="B633" s="4" t="s">
        <v>2818</v>
      </c>
      <c r="C633" t="s">
        <v>1196</v>
      </c>
      <c r="D633">
        <v>1</v>
      </c>
      <c r="E633" t="s">
        <v>974</v>
      </c>
      <c r="F633" t="s">
        <v>975</v>
      </c>
      <c r="G633" t="s">
        <v>180</v>
      </c>
      <c r="H633" s="1" t="s">
        <v>976</v>
      </c>
      <c r="I633" s="1">
        <v>1220</v>
      </c>
      <c r="J633" s="20">
        <v>1</v>
      </c>
      <c r="K633" s="1">
        <v>222</v>
      </c>
      <c r="L633" s="1">
        <v>222</v>
      </c>
      <c r="M633" s="42" t="s">
        <v>2798</v>
      </c>
      <c r="O633" s="2" t="s">
        <v>2472</v>
      </c>
      <c r="P633">
        <v>44</v>
      </c>
      <c r="Q633" t="s">
        <v>797</v>
      </c>
    </row>
    <row r="634" spans="1:17" ht="15" customHeight="1" x14ac:dyDescent="0.25">
      <c r="A634" s="3" t="s">
        <v>2376</v>
      </c>
      <c r="B634" s="4" t="s">
        <v>2818</v>
      </c>
      <c r="C634" t="s">
        <v>1196</v>
      </c>
      <c r="D634">
        <v>1</v>
      </c>
      <c r="E634" t="s">
        <v>974</v>
      </c>
      <c r="F634" t="s">
        <v>975</v>
      </c>
      <c r="G634" t="s">
        <v>180</v>
      </c>
      <c r="H634" s="1" t="s">
        <v>976</v>
      </c>
      <c r="I634" s="1">
        <v>1220</v>
      </c>
      <c r="J634" s="20">
        <v>3</v>
      </c>
      <c r="K634" s="1">
        <v>217</v>
      </c>
      <c r="L634" s="1">
        <v>651</v>
      </c>
      <c r="M634" s="42" t="s">
        <v>2798</v>
      </c>
      <c r="O634" s="2" t="s">
        <v>2443</v>
      </c>
      <c r="P634">
        <v>38</v>
      </c>
      <c r="Q634" t="s">
        <v>798</v>
      </c>
    </row>
    <row r="635" spans="1:17" ht="15" customHeight="1" x14ac:dyDescent="0.25">
      <c r="A635" s="3" t="s">
        <v>2377</v>
      </c>
      <c r="B635" s="4" t="s">
        <v>2818</v>
      </c>
      <c r="C635" t="s">
        <v>1196</v>
      </c>
      <c r="D635">
        <v>1</v>
      </c>
      <c r="E635" t="s">
        <v>974</v>
      </c>
      <c r="F635" t="s">
        <v>975</v>
      </c>
      <c r="G635" t="s">
        <v>180</v>
      </c>
      <c r="H635" s="1" t="s">
        <v>976</v>
      </c>
      <c r="I635" s="1">
        <v>1220</v>
      </c>
      <c r="J635" s="20">
        <v>2</v>
      </c>
      <c r="K635" s="1">
        <v>217</v>
      </c>
      <c r="L635" s="1">
        <v>434</v>
      </c>
      <c r="M635" s="42" t="s">
        <v>2798</v>
      </c>
      <c r="O635" s="2" t="s">
        <v>2443</v>
      </c>
      <c r="P635">
        <v>40</v>
      </c>
      <c r="Q635" t="s">
        <v>798</v>
      </c>
    </row>
    <row r="636" spans="1:17" ht="15" customHeight="1" x14ac:dyDescent="0.25">
      <c r="A636" s="3" t="s">
        <v>2378</v>
      </c>
      <c r="B636" s="4" t="s">
        <v>2818</v>
      </c>
      <c r="C636" t="s">
        <v>1196</v>
      </c>
      <c r="D636">
        <v>1</v>
      </c>
      <c r="E636" t="s">
        <v>974</v>
      </c>
      <c r="F636" t="s">
        <v>975</v>
      </c>
      <c r="G636" t="s">
        <v>180</v>
      </c>
      <c r="H636" s="1" t="s">
        <v>976</v>
      </c>
      <c r="I636" s="1">
        <v>1220</v>
      </c>
      <c r="J636" s="20">
        <v>0</v>
      </c>
      <c r="K636" s="1">
        <v>217</v>
      </c>
      <c r="L636" s="1">
        <v>0</v>
      </c>
      <c r="M636" s="42" t="s">
        <v>2798</v>
      </c>
      <c r="O636" s="2" t="s">
        <v>2443</v>
      </c>
      <c r="P636">
        <v>42</v>
      </c>
      <c r="Q636" t="s">
        <v>798</v>
      </c>
    </row>
    <row r="637" spans="1:17" ht="15" customHeight="1" x14ac:dyDescent="0.25">
      <c r="A637" s="3" t="s">
        <v>2379</v>
      </c>
      <c r="B637" s="4" t="s">
        <v>2808</v>
      </c>
      <c r="C637" t="s">
        <v>1196</v>
      </c>
      <c r="D637">
        <v>4</v>
      </c>
      <c r="E637" t="s">
        <v>1018</v>
      </c>
      <c r="F637" t="s">
        <v>975</v>
      </c>
      <c r="G637" t="s">
        <v>976</v>
      </c>
      <c r="H637" s="1" t="s">
        <v>976</v>
      </c>
      <c r="I637" s="1">
        <v>600</v>
      </c>
      <c r="J637" s="20">
        <v>1</v>
      </c>
      <c r="K637" s="1">
        <v>600</v>
      </c>
      <c r="L637" s="1">
        <v>600</v>
      </c>
      <c r="M637" s="42" t="s">
        <v>2798</v>
      </c>
      <c r="O637" s="2" t="s">
        <v>2472</v>
      </c>
      <c r="Q637" t="s">
        <v>781</v>
      </c>
    </row>
    <row r="638" spans="1:17" ht="15" customHeight="1" x14ac:dyDescent="0.25">
      <c r="A638" s="3" t="s">
        <v>2380</v>
      </c>
      <c r="B638" s="4" t="s">
        <v>2804</v>
      </c>
      <c r="C638" t="s">
        <v>1196</v>
      </c>
      <c r="D638">
        <v>1</v>
      </c>
      <c r="E638" t="s">
        <v>974</v>
      </c>
      <c r="F638" t="s">
        <v>975</v>
      </c>
      <c r="G638" t="s">
        <v>976</v>
      </c>
      <c r="H638" s="1" t="s">
        <v>976</v>
      </c>
      <c r="I638" s="1">
        <v>1090</v>
      </c>
      <c r="J638" s="20">
        <v>1</v>
      </c>
      <c r="K638" s="1">
        <v>169</v>
      </c>
      <c r="L638" s="1">
        <v>169</v>
      </c>
      <c r="M638" s="42" t="s">
        <v>2798</v>
      </c>
      <c r="O638" s="2" t="s">
        <v>2443</v>
      </c>
      <c r="P638">
        <v>36</v>
      </c>
      <c r="Q638" t="s">
        <v>772</v>
      </c>
    </row>
    <row r="639" spans="1:17" ht="15" customHeight="1" x14ac:dyDescent="0.25">
      <c r="A639" s="3" t="s">
        <v>2381</v>
      </c>
      <c r="B639" s="4" t="s">
        <v>2804</v>
      </c>
      <c r="C639" t="s">
        <v>1196</v>
      </c>
      <c r="D639">
        <v>1</v>
      </c>
      <c r="E639" t="s">
        <v>974</v>
      </c>
      <c r="F639" t="s">
        <v>975</v>
      </c>
      <c r="G639" t="s">
        <v>976</v>
      </c>
      <c r="H639" s="1" t="s">
        <v>976</v>
      </c>
      <c r="I639" s="1">
        <v>1090</v>
      </c>
      <c r="J639" s="20">
        <v>5</v>
      </c>
      <c r="K639" s="1">
        <v>169</v>
      </c>
      <c r="L639" s="1">
        <v>845</v>
      </c>
      <c r="M639" s="42" t="s">
        <v>2798</v>
      </c>
      <c r="O639" s="2" t="s">
        <v>2443</v>
      </c>
      <c r="P639">
        <v>38</v>
      </c>
      <c r="Q639" t="s">
        <v>772</v>
      </c>
    </row>
    <row r="640" spans="1:17" ht="15" customHeight="1" x14ac:dyDescent="0.25">
      <c r="A640" s="3" t="s">
        <v>2382</v>
      </c>
      <c r="B640" s="4" t="s">
        <v>2804</v>
      </c>
      <c r="C640" t="s">
        <v>1196</v>
      </c>
      <c r="D640">
        <v>1</v>
      </c>
      <c r="E640" t="s">
        <v>974</v>
      </c>
      <c r="F640" t="s">
        <v>975</v>
      </c>
      <c r="G640" t="s">
        <v>976</v>
      </c>
      <c r="H640" s="1" t="s">
        <v>976</v>
      </c>
      <c r="I640" s="1">
        <v>1090</v>
      </c>
      <c r="J640" s="20">
        <v>3</v>
      </c>
      <c r="K640" s="1">
        <v>167</v>
      </c>
      <c r="L640" s="1">
        <v>501</v>
      </c>
      <c r="M640" s="42" t="s">
        <v>2798</v>
      </c>
      <c r="O640" s="2" t="s">
        <v>2443</v>
      </c>
      <c r="P640">
        <v>42</v>
      </c>
      <c r="Q640" t="s">
        <v>772</v>
      </c>
    </row>
    <row r="641" spans="1:17" ht="15" customHeight="1" x14ac:dyDescent="0.25">
      <c r="A641" s="3" t="s">
        <v>2383</v>
      </c>
      <c r="B641" s="4" t="s">
        <v>2804</v>
      </c>
      <c r="C641" t="s">
        <v>1196</v>
      </c>
      <c r="D641">
        <v>1</v>
      </c>
      <c r="E641" t="s">
        <v>974</v>
      </c>
      <c r="F641" t="s">
        <v>975</v>
      </c>
      <c r="G641" t="s">
        <v>976</v>
      </c>
      <c r="H641" s="1" t="s">
        <v>976</v>
      </c>
      <c r="I641" s="1">
        <v>1090</v>
      </c>
      <c r="J641" s="20">
        <v>1</v>
      </c>
      <c r="K641" s="1">
        <v>84.5</v>
      </c>
      <c r="L641" s="1">
        <v>84.5</v>
      </c>
      <c r="M641" s="42" t="s">
        <v>2798</v>
      </c>
      <c r="O641" s="2" t="s">
        <v>2443</v>
      </c>
      <c r="P641">
        <v>44</v>
      </c>
      <c r="Q641" t="s">
        <v>772</v>
      </c>
    </row>
    <row r="642" spans="1:17" ht="15" customHeight="1" x14ac:dyDescent="0.25">
      <c r="A642" s="3" t="s">
        <v>2384</v>
      </c>
      <c r="B642" s="4" t="s">
        <v>2819</v>
      </c>
      <c r="C642" t="s">
        <v>1196</v>
      </c>
      <c r="D642">
        <v>1</v>
      </c>
      <c r="E642" t="s">
        <v>974</v>
      </c>
      <c r="F642" t="s">
        <v>975</v>
      </c>
      <c r="G642" t="s">
        <v>976</v>
      </c>
      <c r="H642" s="1" t="s">
        <v>976</v>
      </c>
      <c r="I642" s="1">
        <v>1090</v>
      </c>
      <c r="J642" s="20">
        <v>2</v>
      </c>
      <c r="K642" s="1">
        <v>177</v>
      </c>
      <c r="L642" s="1">
        <v>354</v>
      </c>
      <c r="M642" s="42" t="s">
        <v>2798</v>
      </c>
      <c r="O642" s="2" t="s">
        <v>2482</v>
      </c>
      <c r="P642">
        <v>36</v>
      </c>
      <c r="Q642" t="s">
        <v>799</v>
      </c>
    </row>
    <row r="643" spans="1:17" ht="15" customHeight="1" x14ac:dyDescent="0.25">
      <c r="A643" s="3" t="s">
        <v>2385</v>
      </c>
      <c r="B643" s="4" t="s">
        <v>2819</v>
      </c>
      <c r="C643" t="s">
        <v>1196</v>
      </c>
      <c r="D643">
        <v>1</v>
      </c>
      <c r="E643" t="s">
        <v>974</v>
      </c>
      <c r="F643" t="s">
        <v>975</v>
      </c>
      <c r="G643" t="s">
        <v>976</v>
      </c>
      <c r="H643" s="1" t="s">
        <v>976</v>
      </c>
      <c r="I643" s="1">
        <v>1090</v>
      </c>
      <c r="J643" s="20">
        <v>0</v>
      </c>
      <c r="K643" s="1">
        <v>177</v>
      </c>
      <c r="L643" s="1">
        <v>0</v>
      </c>
      <c r="M643" s="42" t="s">
        <v>2798</v>
      </c>
      <c r="O643" s="2" t="s">
        <v>2482</v>
      </c>
      <c r="P643">
        <v>38</v>
      </c>
      <c r="Q643" t="s">
        <v>799</v>
      </c>
    </row>
    <row r="644" spans="1:17" ht="15" customHeight="1" x14ac:dyDescent="0.25">
      <c r="A644" s="3" t="s">
        <v>2386</v>
      </c>
      <c r="B644" s="4" t="s">
        <v>2819</v>
      </c>
      <c r="C644" t="s">
        <v>1196</v>
      </c>
      <c r="D644">
        <v>1</v>
      </c>
      <c r="E644" t="s">
        <v>974</v>
      </c>
      <c r="F644" t="s">
        <v>975</v>
      </c>
      <c r="G644" t="s">
        <v>976</v>
      </c>
      <c r="H644" s="1" t="s">
        <v>976</v>
      </c>
      <c r="I644" s="1">
        <v>1090</v>
      </c>
      <c r="J644" s="20">
        <v>0</v>
      </c>
      <c r="K644" s="1">
        <v>110.625</v>
      </c>
      <c r="L644" s="1">
        <v>0</v>
      </c>
      <c r="M644" s="42" t="s">
        <v>2798</v>
      </c>
      <c r="O644" s="2" t="s">
        <v>2482</v>
      </c>
      <c r="P644">
        <v>40</v>
      </c>
      <c r="Q644" t="s">
        <v>799</v>
      </c>
    </row>
    <row r="645" spans="1:17" ht="15" customHeight="1" x14ac:dyDescent="0.25">
      <c r="A645" s="3" t="s">
        <v>2387</v>
      </c>
      <c r="B645" s="4" t="s">
        <v>2819</v>
      </c>
      <c r="C645" t="s">
        <v>1196</v>
      </c>
      <c r="D645">
        <v>1</v>
      </c>
      <c r="E645" t="s">
        <v>974</v>
      </c>
      <c r="F645" t="s">
        <v>975</v>
      </c>
      <c r="G645" t="s">
        <v>976</v>
      </c>
      <c r="H645" s="1" t="s">
        <v>976</v>
      </c>
      <c r="I645" s="1">
        <v>1090</v>
      </c>
      <c r="J645" s="20">
        <v>3</v>
      </c>
      <c r="K645" s="1">
        <v>177</v>
      </c>
      <c r="L645" s="1">
        <v>531</v>
      </c>
      <c r="M645" s="42" t="s">
        <v>2798</v>
      </c>
      <c r="O645" s="2" t="s">
        <v>2482</v>
      </c>
      <c r="P645">
        <v>42</v>
      </c>
      <c r="Q645" t="s">
        <v>799</v>
      </c>
    </row>
    <row r="646" spans="1:17" ht="15" customHeight="1" x14ac:dyDescent="0.25">
      <c r="A646" s="3" t="s">
        <v>2388</v>
      </c>
      <c r="B646" s="4" t="s">
        <v>2819</v>
      </c>
      <c r="C646" t="s">
        <v>1196</v>
      </c>
      <c r="D646">
        <v>1</v>
      </c>
      <c r="E646" t="s">
        <v>974</v>
      </c>
      <c r="F646" t="s">
        <v>975</v>
      </c>
      <c r="G646" t="s">
        <v>976</v>
      </c>
      <c r="H646" s="1" t="s">
        <v>976</v>
      </c>
      <c r="I646" s="1">
        <v>1090</v>
      </c>
      <c r="J646" s="20">
        <v>2</v>
      </c>
      <c r="K646" s="1">
        <v>118</v>
      </c>
      <c r="L646" s="1">
        <v>236</v>
      </c>
      <c r="M646" s="42" t="s">
        <v>2798</v>
      </c>
      <c r="O646" s="2" t="s">
        <v>2482</v>
      </c>
      <c r="P646">
        <v>44</v>
      </c>
      <c r="Q646" t="s">
        <v>799</v>
      </c>
    </row>
    <row r="647" spans="1:17" ht="15" customHeight="1" x14ac:dyDescent="0.25">
      <c r="A647" s="3" t="s">
        <v>2389</v>
      </c>
      <c r="B647" s="4" t="s">
        <v>2821</v>
      </c>
      <c r="C647" t="s">
        <v>1266</v>
      </c>
      <c r="D647">
        <v>1</v>
      </c>
      <c r="E647" t="s">
        <v>974</v>
      </c>
      <c r="F647" t="s">
        <v>975</v>
      </c>
      <c r="G647" t="s">
        <v>180</v>
      </c>
      <c r="H647" s="1" t="s">
        <v>976</v>
      </c>
      <c r="I647" s="1">
        <v>270</v>
      </c>
      <c r="J647" s="20">
        <v>3</v>
      </c>
      <c r="K647" s="1">
        <v>20</v>
      </c>
      <c r="L647" s="1">
        <v>60</v>
      </c>
      <c r="M647" s="42" t="s">
        <v>2820</v>
      </c>
      <c r="O647" s="2" t="s">
        <v>2463</v>
      </c>
      <c r="P647" t="s">
        <v>23</v>
      </c>
      <c r="Q647" t="s">
        <v>800</v>
      </c>
    </row>
    <row r="648" spans="1:17" ht="15" customHeight="1" x14ac:dyDescent="0.25">
      <c r="A648" s="41" t="s">
        <v>2389</v>
      </c>
      <c r="B648" s="3" t="s">
        <v>2821</v>
      </c>
      <c r="C648" s="41" t="s">
        <v>1266</v>
      </c>
      <c r="D648">
        <v>3</v>
      </c>
      <c r="E648" t="s">
        <v>1179</v>
      </c>
      <c r="F648" t="s">
        <v>1180</v>
      </c>
      <c r="G648" t="s">
        <v>180</v>
      </c>
      <c r="H648" s="1" t="s">
        <v>976</v>
      </c>
      <c r="I648" s="1">
        <v>270</v>
      </c>
      <c r="J648" s="20">
        <v>0</v>
      </c>
      <c r="K648" s="1">
        <v>20</v>
      </c>
      <c r="L648" s="1">
        <v>0</v>
      </c>
      <c r="M648" s="42" t="s">
        <v>2820</v>
      </c>
      <c r="O648" s="2" t="s">
        <v>2463</v>
      </c>
      <c r="P648" t="s">
        <v>23</v>
      </c>
      <c r="Q648" t="s">
        <v>800</v>
      </c>
    </row>
    <row r="649" spans="1:17" ht="15" customHeight="1" x14ac:dyDescent="0.25">
      <c r="A649" s="3" t="s">
        <v>1314</v>
      </c>
      <c r="B649" s="4" t="s">
        <v>2822</v>
      </c>
      <c r="C649" t="s">
        <v>1315</v>
      </c>
      <c r="D649">
        <v>1</v>
      </c>
      <c r="E649" t="s">
        <v>974</v>
      </c>
      <c r="F649" t="s">
        <v>975</v>
      </c>
      <c r="G649" t="s">
        <v>976</v>
      </c>
      <c r="H649" s="1" t="s">
        <v>976</v>
      </c>
      <c r="I649" s="1">
        <v>245</v>
      </c>
      <c r="J649" s="20">
        <v>0</v>
      </c>
      <c r="K649" s="1">
        <v>0</v>
      </c>
      <c r="L649" s="1">
        <v>0</v>
      </c>
      <c r="M649" s="42" t="s">
        <v>2820</v>
      </c>
      <c r="O649" s="2" t="s">
        <v>2508</v>
      </c>
      <c r="P649" t="s">
        <v>24</v>
      </c>
      <c r="Q649" t="s">
        <v>801</v>
      </c>
    </row>
    <row r="650" spans="1:17" ht="15" customHeight="1" x14ac:dyDescent="0.25">
      <c r="A650" s="41" t="s">
        <v>1314</v>
      </c>
      <c r="B650" s="3" t="s">
        <v>2822</v>
      </c>
      <c r="C650" s="41" t="s">
        <v>1315</v>
      </c>
      <c r="D650">
        <v>3</v>
      </c>
      <c r="E650" t="s">
        <v>1179</v>
      </c>
      <c r="F650" t="s">
        <v>1180</v>
      </c>
      <c r="G650" t="s">
        <v>976</v>
      </c>
      <c r="H650" s="1" t="s">
        <v>976</v>
      </c>
      <c r="I650" s="1">
        <v>245</v>
      </c>
      <c r="J650" s="20">
        <v>0</v>
      </c>
      <c r="K650" s="1">
        <v>0</v>
      </c>
      <c r="L650" s="1">
        <v>0</v>
      </c>
      <c r="M650" s="42" t="s">
        <v>2820</v>
      </c>
      <c r="O650" s="2" t="s">
        <v>2508</v>
      </c>
      <c r="P650" t="s">
        <v>24</v>
      </c>
      <c r="Q650" t="s">
        <v>801</v>
      </c>
    </row>
    <row r="651" spans="1:17" ht="15" customHeight="1" x14ac:dyDescent="0.25">
      <c r="A651" s="3" t="s">
        <v>1316</v>
      </c>
      <c r="B651" s="4" t="s">
        <v>2822</v>
      </c>
      <c r="C651" t="s">
        <v>1315</v>
      </c>
      <c r="D651">
        <v>1</v>
      </c>
      <c r="E651" t="s">
        <v>974</v>
      </c>
      <c r="F651" t="s">
        <v>975</v>
      </c>
      <c r="G651" t="s">
        <v>976</v>
      </c>
      <c r="H651" s="1" t="s">
        <v>976</v>
      </c>
      <c r="I651" s="1">
        <v>245</v>
      </c>
      <c r="J651" s="20">
        <v>0</v>
      </c>
      <c r="K651" s="1">
        <v>0</v>
      </c>
      <c r="L651" s="1">
        <v>0</v>
      </c>
      <c r="M651" s="42" t="s">
        <v>2820</v>
      </c>
      <c r="O651" s="2" t="s">
        <v>2508</v>
      </c>
      <c r="P651" t="s">
        <v>25</v>
      </c>
      <c r="Q651" t="s">
        <v>801</v>
      </c>
    </row>
    <row r="652" spans="1:17" ht="15" customHeight="1" x14ac:dyDescent="0.25">
      <c r="A652" s="3" t="s">
        <v>1317</v>
      </c>
      <c r="B652" s="4" t="s">
        <v>2822</v>
      </c>
      <c r="C652" t="s">
        <v>1315</v>
      </c>
      <c r="D652">
        <v>1</v>
      </c>
      <c r="E652" t="s">
        <v>974</v>
      </c>
      <c r="F652" t="s">
        <v>975</v>
      </c>
      <c r="G652" t="s">
        <v>976</v>
      </c>
      <c r="H652" s="1" t="s">
        <v>976</v>
      </c>
      <c r="I652" s="1">
        <v>245</v>
      </c>
      <c r="J652" s="20">
        <v>4</v>
      </c>
      <c r="K652" s="1">
        <v>33.885714</v>
      </c>
      <c r="L652" s="1">
        <v>135.54</v>
      </c>
      <c r="M652" s="42" t="s">
        <v>2820</v>
      </c>
      <c r="O652" s="2" t="s">
        <v>2508</v>
      </c>
      <c r="P652" t="s">
        <v>23</v>
      </c>
      <c r="Q652" t="s">
        <v>801</v>
      </c>
    </row>
    <row r="653" spans="1:17" ht="15" customHeight="1" x14ac:dyDescent="0.25">
      <c r="A653" s="41" t="s">
        <v>1317</v>
      </c>
      <c r="B653" s="3" t="s">
        <v>2822</v>
      </c>
      <c r="C653" s="41" t="s">
        <v>1315</v>
      </c>
      <c r="D653">
        <v>3</v>
      </c>
      <c r="E653" t="s">
        <v>1179</v>
      </c>
      <c r="F653" t="s">
        <v>1180</v>
      </c>
      <c r="G653" t="s">
        <v>976</v>
      </c>
      <c r="H653" s="1" t="s">
        <v>976</v>
      </c>
      <c r="I653" s="1">
        <v>245</v>
      </c>
      <c r="J653" s="20">
        <v>0</v>
      </c>
      <c r="K653" s="1">
        <v>30</v>
      </c>
      <c r="L653" s="1">
        <v>0</v>
      </c>
      <c r="M653" s="42" t="s">
        <v>2820</v>
      </c>
      <c r="O653" s="2" t="s">
        <v>2508</v>
      </c>
      <c r="P653" t="s">
        <v>23</v>
      </c>
      <c r="Q653" t="s">
        <v>801</v>
      </c>
    </row>
    <row r="654" spans="1:17" ht="15" customHeight="1" x14ac:dyDescent="0.25">
      <c r="A654" s="3" t="s">
        <v>1318</v>
      </c>
      <c r="B654" s="4" t="s">
        <v>2822</v>
      </c>
      <c r="C654" t="s">
        <v>1315</v>
      </c>
      <c r="D654">
        <v>1</v>
      </c>
      <c r="E654" t="s">
        <v>974</v>
      </c>
      <c r="F654" t="s">
        <v>975</v>
      </c>
      <c r="G654" t="s">
        <v>976</v>
      </c>
      <c r="H654" s="1" t="s">
        <v>976</v>
      </c>
      <c r="I654" s="1">
        <v>245</v>
      </c>
      <c r="J654" s="20">
        <v>0</v>
      </c>
      <c r="K654" s="1">
        <v>30</v>
      </c>
      <c r="L654" s="1">
        <v>0</v>
      </c>
      <c r="M654" s="42" t="s">
        <v>2820</v>
      </c>
      <c r="O654" s="2" t="s">
        <v>2508</v>
      </c>
      <c r="P654" t="s">
        <v>22</v>
      </c>
      <c r="Q654" t="s">
        <v>801</v>
      </c>
    </row>
    <row r="655" spans="1:17" ht="15" customHeight="1" x14ac:dyDescent="0.25">
      <c r="A655" s="41" t="s">
        <v>1318</v>
      </c>
      <c r="B655" s="3" t="s">
        <v>2822</v>
      </c>
      <c r="C655" s="41" t="s">
        <v>1315</v>
      </c>
      <c r="D655">
        <v>3</v>
      </c>
      <c r="E655" t="s">
        <v>1179</v>
      </c>
      <c r="F655" t="s">
        <v>1180</v>
      </c>
      <c r="G655" t="s">
        <v>976</v>
      </c>
      <c r="H655" s="1" t="s">
        <v>976</v>
      </c>
      <c r="I655" s="1">
        <v>245</v>
      </c>
      <c r="J655" s="20">
        <v>0</v>
      </c>
      <c r="K655" s="1">
        <v>30</v>
      </c>
      <c r="L655" s="1">
        <v>0</v>
      </c>
      <c r="M655" s="42" t="s">
        <v>2820</v>
      </c>
      <c r="O655" s="2" t="s">
        <v>2508</v>
      </c>
      <c r="P655" t="s">
        <v>22</v>
      </c>
      <c r="Q655" t="s">
        <v>801</v>
      </c>
    </row>
    <row r="656" spans="1:17" ht="15" customHeight="1" x14ac:dyDescent="0.25">
      <c r="A656" s="3" t="s">
        <v>1319</v>
      </c>
      <c r="B656" s="4" t="s">
        <v>2822</v>
      </c>
      <c r="C656" t="s">
        <v>1266</v>
      </c>
      <c r="D656">
        <v>1</v>
      </c>
      <c r="E656" t="s">
        <v>974</v>
      </c>
      <c r="F656" t="s">
        <v>975</v>
      </c>
      <c r="G656" t="s">
        <v>976</v>
      </c>
      <c r="H656" s="1" t="s">
        <v>976</v>
      </c>
      <c r="I656" s="1">
        <v>245</v>
      </c>
      <c r="J656" s="20">
        <v>3</v>
      </c>
      <c r="K656" s="1">
        <v>0</v>
      </c>
      <c r="L656" s="1">
        <v>0</v>
      </c>
      <c r="M656" s="42" t="s">
        <v>2820</v>
      </c>
      <c r="O656" s="2" t="s">
        <v>2482</v>
      </c>
      <c r="P656" t="s">
        <v>24</v>
      </c>
      <c r="Q656" t="s">
        <v>802</v>
      </c>
    </row>
    <row r="657" spans="1:17" ht="15" customHeight="1" x14ac:dyDescent="0.25">
      <c r="A657" s="3" t="s">
        <v>1320</v>
      </c>
      <c r="B657" s="4" t="s">
        <v>2822</v>
      </c>
      <c r="C657" t="s">
        <v>1266</v>
      </c>
      <c r="D657">
        <v>1</v>
      </c>
      <c r="E657" t="s">
        <v>974</v>
      </c>
      <c r="F657" t="s">
        <v>975</v>
      </c>
      <c r="G657" t="s">
        <v>976</v>
      </c>
      <c r="H657" s="1" t="s">
        <v>976</v>
      </c>
      <c r="I657" s="1">
        <v>245</v>
      </c>
      <c r="J657" s="20">
        <v>0</v>
      </c>
      <c r="K657" s="1">
        <v>0</v>
      </c>
      <c r="L657" s="1">
        <v>0</v>
      </c>
      <c r="M657" s="42" t="s">
        <v>2820</v>
      </c>
      <c r="O657" s="2" t="s">
        <v>2482</v>
      </c>
      <c r="P657" t="s">
        <v>25</v>
      </c>
      <c r="Q657" t="s">
        <v>802</v>
      </c>
    </row>
    <row r="658" spans="1:17" ht="15" customHeight="1" x14ac:dyDescent="0.25">
      <c r="A658" s="3" t="s">
        <v>1321</v>
      </c>
      <c r="B658" s="4" t="s">
        <v>2822</v>
      </c>
      <c r="C658" t="s">
        <v>1266</v>
      </c>
      <c r="D658">
        <v>1</v>
      </c>
      <c r="E658" t="s">
        <v>974</v>
      </c>
      <c r="F658" t="s">
        <v>975</v>
      </c>
      <c r="G658" t="s">
        <v>976</v>
      </c>
      <c r="H658" s="1" t="s">
        <v>976</v>
      </c>
      <c r="I658" s="1">
        <v>245</v>
      </c>
      <c r="J658" s="20">
        <v>9</v>
      </c>
      <c r="K658" s="1">
        <v>0</v>
      </c>
      <c r="L658" s="1">
        <v>0</v>
      </c>
      <c r="M658" s="42" t="s">
        <v>2820</v>
      </c>
      <c r="O658" s="2" t="s">
        <v>2482</v>
      </c>
      <c r="P658" t="s">
        <v>23</v>
      </c>
      <c r="Q658" t="s">
        <v>802</v>
      </c>
    </row>
    <row r="659" spans="1:17" ht="15" customHeight="1" x14ac:dyDescent="0.25">
      <c r="A659" s="3" t="s">
        <v>1322</v>
      </c>
      <c r="B659" s="4" t="s">
        <v>2822</v>
      </c>
      <c r="C659" t="s">
        <v>1266</v>
      </c>
      <c r="D659">
        <v>1</v>
      </c>
      <c r="E659" t="s">
        <v>974</v>
      </c>
      <c r="F659" t="s">
        <v>975</v>
      </c>
      <c r="G659" t="s">
        <v>976</v>
      </c>
      <c r="H659" s="1" t="s">
        <v>976</v>
      </c>
      <c r="I659" s="1">
        <v>245</v>
      </c>
      <c r="J659" s="20">
        <v>2</v>
      </c>
      <c r="K659" s="1">
        <v>32.200000000000003</v>
      </c>
      <c r="L659" s="1">
        <v>64.400000000000006</v>
      </c>
      <c r="M659" s="42" t="s">
        <v>2820</v>
      </c>
      <c r="O659" s="2" t="s">
        <v>2482</v>
      </c>
      <c r="P659" t="s">
        <v>22</v>
      </c>
      <c r="Q659" t="s">
        <v>802</v>
      </c>
    </row>
    <row r="660" spans="1:17" ht="15" customHeight="1" x14ac:dyDescent="0.25">
      <c r="A660" s="3" t="s">
        <v>2390</v>
      </c>
      <c r="B660" s="4" t="s">
        <v>2821</v>
      </c>
      <c r="C660" t="s">
        <v>1266</v>
      </c>
      <c r="D660">
        <v>1</v>
      </c>
      <c r="E660" t="s">
        <v>974</v>
      </c>
      <c r="F660" t="s">
        <v>975</v>
      </c>
      <c r="G660" t="s">
        <v>180</v>
      </c>
      <c r="H660" s="1" t="s">
        <v>976</v>
      </c>
      <c r="I660" s="1">
        <v>270</v>
      </c>
      <c r="J660" s="20">
        <v>1</v>
      </c>
      <c r="K660" s="1">
        <v>20</v>
      </c>
      <c r="L660" s="1">
        <v>20</v>
      </c>
      <c r="M660" s="42" t="s">
        <v>2820</v>
      </c>
      <c r="O660" s="2" t="s">
        <v>2482</v>
      </c>
      <c r="P660" t="s">
        <v>23</v>
      </c>
      <c r="Q660" t="s">
        <v>803</v>
      </c>
    </row>
    <row r="661" spans="1:17" ht="15" customHeight="1" x14ac:dyDescent="0.25">
      <c r="A661" s="41" t="s">
        <v>2390</v>
      </c>
      <c r="B661" s="3" t="s">
        <v>2821</v>
      </c>
      <c r="C661" s="41" t="s">
        <v>1266</v>
      </c>
      <c r="D661">
        <v>3</v>
      </c>
      <c r="E661" t="s">
        <v>1179</v>
      </c>
      <c r="F661" t="s">
        <v>1180</v>
      </c>
      <c r="G661" t="s">
        <v>180</v>
      </c>
      <c r="H661" s="1" t="s">
        <v>976</v>
      </c>
      <c r="I661" s="1">
        <v>270</v>
      </c>
      <c r="J661" s="20">
        <v>0</v>
      </c>
      <c r="K661" s="1">
        <v>20</v>
      </c>
      <c r="L661" s="1">
        <v>0</v>
      </c>
      <c r="M661" s="42" t="s">
        <v>2820</v>
      </c>
      <c r="O661" s="2" t="s">
        <v>2482</v>
      </c>
      <c r="P661" t="s">
        <v>23</v>
      </c>
      <c r="Q661" t="s">
        <v>803</v>
      </c>
    </row>
    <row r="662" spans="1:17" ht="15" customHeight="1" x14ac:dyDescent="0.25">
      <c r="A662" s="3" t="s">
        <v>1323</v>
      </c>
      <c r="B662" s="4" t="s">
        <v>2823</v>
      </c>
      <c r="C662" t="s">
        <v>1266</v>
      </c>
      <c r="D662">
        <v>1</v>
      </c>
      <c r="E662" t="s">
        <v>974</v>
      </c>
      <c r="F662" t="s">
        <v>975</v>
      </c>
      <c r="G662" t="s">
        <v>180</v>
      </c>
      <c r="H662" s="1" t="s">
        <v>976</v>
      </c>
      <c r="I662" s="1">
        <v>230</v>
      </c>
      <c r="J662" s="20">
        <v>0</v>
      </c>
      <c r="K662" s="1">
        <v>35.15</v>
      </c>
      <c r="L662" s="1">
        <v>0</v>
      </c>
      <c r="M662" s="42" t="s">
        <v>2820</v>
      </c>
      <c r="O662" s="2" t="s">
        <v>2459</v>
      </c>
      <c r="P662" t="s">
        <v>24</v>
      </c>
      <c r="Q662" t="s">
        <v>804</v>
      </c>
    </row>
    <row r="663" spans="1:17" ht="15" customHeight="1" x14ac:dyDescent="0.25">
      <c r="A663" s="3" t="s">
        <v>1324</v>
      </c>
      <c r="B663" s="4" t="s">
        <v>2823</v>
      </c>
      <c r="C663" t="s">
        <v>1266</v>
      </c>
      <c r="D663">
        <v>1</v>
      </c>
      <c r="E663" t="s">
        <v>974</v>
      </c>
      <c r="F663" t="s">
        <v>975</v>
      </c>
      <c r="G663" t="s">
        <v>180</v>
      </c>
      <c r="H663" s="1" t="s">
        <v>976</v>
      </c>
      <c r="I663" s="1">
        <v>230</v>
      </c>
      <c r="J663" s="20">
        <v>0</v>
      </c>
      <c r="K663" s="1">
        <v>35.15</v>
      </c>
      <c r="L663" s="1">
        <v>0</v>
      </c>
      <c r="M663" s="42" t="s">
        <v>2820</v>
      </c>
      <c r="O663" s="2" t="s">
        <v>2459</v>
      </c>
      <c r="P663" t="s">
        <v>25</v>
      </c>
      <c r="Q663" t="s">
        <v>804</v>
      </c>
    </row>
    <row r="664" spans="1:17" ht="15" customHeight="1" x14ac:dyDescent="0.25">
      <c r="A664" s="3" t="s">
        <v>1325</v>
      </c>
      <c r="B664" s="4" t="s">
        <v>2823</v>
      </c>
      <c r="C664" t="s">
        <v>1266</v>
      </c>
      <c r="D664">
        <v>1</v>
      </c>
      <c r="E664" t="s">
        <v>974</v>
      </c>
      <c r="F664" t="s">
        <v>975</v>
      </c>
      <c r="G664" t="s">
        <v>180</v>
      </c>
      <c r="H664" s="1" t="s">
        <v>976</v>
      </c>
      <c r="I664" s="1">
        <v>230</v>
      </c>
      <c r="J664" s="20">
        <v>1</v>
      </c>
      <c r="K664" s="1">
        <v>35.15</v>
      </c>
      <c r="L664" s="1">
        <v>35.15</v>
      </c>
      <c r="M664" s="42" t="s">
        <v>2820</v>
      </c>
      <c r="O664" s="2" t="s">
        <v>2459</v>
      </c>
      <c r="P664" t="s">
        <v>23</v>
      </c>
      <c r="Q664" t="s">
        <v>804</v>
      </c>
    </row>
    <row r="665" spans="1:17" ht="15" customHeight="1" x14ac:dyDescent="0.25">
      <c r="A665" s="3" t="s">
        <v>1326</v>
      </c>
      <c r="B665" s="4" t="s">
        <v>2823</v>
      </c>
      <c r="C665" t="s">
        <v>1266</v>
      </c>
      <c r="D665">
        <v>1</v>
      </c>
      <c r="E665" t="s">
        <v>974</v>
      </c>
      <c r="F665" t="s">
        <v>975</v>
      </c>
      <c r="G665" t="s">
        <v>180</v>
      </c>
      <c r="H665" s="1" t="s">
        <v>976</v>
      </c>
      <c r="I665" s="1">
        <v>230</v>
      </c>
      <c r="J665" s="20">
        <v>0</v>
      </c>
      <c r="K665" s="1">
        <v>35.15</v>
      </c>
      <c r="L665" s="1">
        <v>0</v>
      </c>
      <c r="M665" s="42" t="s">
        <v>2820</v>
      </c>
      <c r="O665" s="2" t="s">
        <v>2459</v>
      </c>
      <c r="P665" t="s">
        <v>22</v>
      </c>
      <c r="Q665" t="s">
        <v>804</v>
      </c>
    </row>
    <row r="666" spans="1:17" ht="15" customHeight="1" x14ac:dyDescent="0.25">
      <c r="A666" s="3" t="s">
        <v>1327</v>
      </c>
      <c r="B666" s="4" t="s">
        <v>2823</v>
      </c>
      <c r="C666" t="s">
        <v>1266</v>
      </c>
      <c r="D666">
        <v>1</v>
      </c>
      <c r="E666" t="s">
        <v>974</v>
      </c>
      <c r="F666" t="s">
        <v>975</v>
      </c>
      <c r="G666" t="s">
        <v>180</v>
      </c>
      <c r="H666" s="1" t="s">
        <v>976</v>
      </c>
      <c r="I666" s="1">
        <v>230</v>
      </c>
      <c r="J666" s="20">
        <v>0</v>
      </c>
      <c r="K666" s="1">
        <v>35.15</v>
      </c>
      <c r="L666" s="1">
        <v>0</v>
      </c>
      <c r="M666" s="42" t="s">
        <v>2820</v>
      </c>
      <c r="O666" s="2" t="s">
        <v>2459</v>
      </c>
      <c r="P666" t="s">
        <v>21</v>
      </c>
      <c r="Q666" t="s">
        <v>804</v>
      </c>
    </row>
    <row r="667" spans="1:17" ht="15" customHeight="1" x14ac:dyDescent="0.25">
      <c r="A667" s="3" t="s">
        <v>1328</v>
      </c>
      <c r="B667" s="4" t="s">
        <v>2823</v>
      </c>
      <c r="C667" t="s">
        <v>1266</v>
      </c>
      <c r="D667">
        <v>1</v>
      </c>
      <c r="E667" t="s">
        <v>974</v>
      </c>
      <c r="F667" t="s">
        <v>975</v>
      </c>
      <c r="G667" t="s">
        <v>180</v>
      </c>
      <c r="H667" s="1" t="s">
        <v>976</v>
      </c>
      <c r="I667" s="1">
        <v>230</v>
      </c>
      <c r="J667" s="20">
        <v>1</v>
      </c>
      <c r="K667" s="1">
        <v>35.15</v>
      </c>
      <c r="L667" s="1">
        <v>35.15</v>
      </c>
      <c r="M667" s="42" t="s">
        <v>2820</v>
      </c>
      <c r="O667" s="2" t="s">
        <v>2459</v>
      </c>
      <c r="Q667" t="s">
        <v>804</v>
      </c>
    </row>
    <row r="668" spans="1:17" ht="15" customHeight="1" x14ac:dyDescent="0.25">
      <c r="A668" s="3" t="s">
        <v>1329</v>
      </c>
      <c r="B668" s="4" t="s">
        <v>257</v>
      </c>
      <c r="C668" t="s">
        <v>1266</v>
      </c>
      <c r="D668">
        <v>1</v>
      </c>
      <c r="E668" t="s">
        <v>974</v>
      </c>
      <c r="F668" t="s">
        <v>975</v>
      </c>
      <c r="G668" t="s">
        <v>180</v>
      </c>
      <c r="H668" s="1" t="s">
        <v>976</v>
      </c>
      <c r="I668" s="1">
        <v>230</v>
      </c>
      <c r="J668" s="20">
        <v>8</v>
      </c>
      <c r="K668" s="1">
        <v>33.76</v>
      </c>
      <c r="L668" s="1">
        <v>270.08</v>
      </c>
      <c r="M668" s="42" t="s">
        <v>2820</v>
      </c>
      <c r="P668" t="s">
        <v>24</v>
      </c>
      <c r="Q668" t="s">
        <v>257</v>
      </c>
    </row>
    <row r="669" spans="1:17" ht="15" customHeight="1" x14ac:dyDescent="0.25">
      <c r="A669" s="3" t="s">
        <v>1330</v>
      </c>
      <c r="B669" s="4" t="s">
        <v>258</v>
      </c>
      <c r="C669" t="s">
        <v>1266</v>
      </c>
      <c r="D669">
        <v>1</v>
      </c>
      <c r="E669" t="s">
        <v>974</v>
      </c>
      <c r="F669" t="s">
        <v>975</v>
      </c>
      <c r="G669" t="s">
        <v>180</v>
      </c>
      <c r="H669" s="1" t="s">
        <v>976</v>
      </c>
      <c r="I669" s="1">
        <v>230</v>
      </c>
      <c r="J669" s="20">
        <v>2</v>
      </c>
      <c r="K669" s="1">
        <v>33.76</v>
      </c>
      <c r="L669" s="1">
        <v>67.52</v>
      </c>
      <c r="M669" s="42" t="s">
        <v>2820</v>
      </c>
      <c r="P669" t="s">
        <v>25</v>
      </c>
      <c r="Q669" t="s">
        <v>258</v>
      </c>
    </row>
    <row r="670" spans="1:17" ht="15" customHeight="1" x14ac:dyDescent="0.25">
      <c r="A670" s="3" t="s">
        <v>1331</v>
      </c>
      <c r="B670" s="4" t="s">
        <v>259</v>
      </c>
      <c r="C670" t="s">
        <v>1266</v>
      </c>
      <c r="D670">
        <v>1</v>
      </c>
      <c r="E670" t="s">
        <v>974</v>
      </c>
      <c r="F670" t="s">
        <v>975</v>
      </c>
      <c r="G670" t="s">
        <v>180</v>
      </c>
      <c r="H670" s="1" t="s">
        <v>976</v>
      </c>
      <c r="I670" s="1">
        <v>230</v>
      </c>
      <c r="J670" s="20">
        <v>-1</v>
      </c>
      <c r="K670" s="1">
        <v>33.76</v>
      </c>
      <c r="L670" s="1">
        <v>-33.76</v>
      </c>
      <c r="M670" s="42" t="s">
        <v>2820</v>
      </c>
      <c r="P670" t="s">
        <v>23</v>
      </c>
      <c r="Q670" t="s">
        <v>259</v>
      </c>
    </row>
    <row r="671" spans="1:17" ht="15" customHeight="1" x14ac:dyDescent="0.25">
      <c r="A671" s="3" t="s">
        <v>1332</v>
      </c>
      <c r="B671" s="4" t="s">
        <v>260</v>
      </c>
      <c r="C671" t="s">
        <v>1266</v>
      </c>
      <c r="D671">
        <v>1</v>
      </c>
      <c r="E671" t="s">
        <v>974</v>
      </c>
      <c r="F671" t="s">
        <v>975</v>
      </c>
      <c r="G671" t="s">
        <v>180</v>
      </c>
      <c r="H671" s="1" t="s">
        <v>976</v>
      </c>
      <c r="I671" s="1">
        <v>230</v>
      </c>
      <c r="J671" s="20">
        <v>0</v>
      </c>
      <c r="K671" s="1">
        <v>33.76</v>
      </c>
      <c r="L671" s="1">
        <v>0</v>
      </c>
      <c r="M671" s="42" t="s">
        <v>2820</v>
      </c>
      <c r="P671" t="s">
        <v>22</v>
      </c>
      <c r="Q671" t="s">
        <v>260</v>
      </c>
    </row>
    <row r="672" spans="1:17" ht="15" customHeight="1" x14ac:dyDescent="0.25">
      <c r="A672" s="41" t="s">
        <v>1332</v>
      </c>
      <c r="B672" s="3" t="s">
        <v>260</v>
      </c>
      <c r="C672" s="41" t="s">
        <v>1266</v>
      </c>
      <c r="D672">
        <v>2</v>
      </c>
      <c r="E672" t="s">
        <v>1017</v>
      </c>
      <c r="F672" t="s">
        <v>975</v>
      </c>
      <c r="G672" t="s">
        <v>180</v>
      </c>
      <c r="H672" s="1" t="s">
        <v>976</v>
      </c>
      <c r="I672" s="1">
        <v>230</v>
      </c>
      <c r="J672" s="20">
        <v>0</v>
      </c>
      <c r="K672" s="1">
        <v>0</v>
      </c>
      <c r="L672" s="1">
        <v>0</v>
      </c>
      <c r="M672" s="42" t="s">
        <v>2820</v>
      </c>
      <c r="P672" t="s">
        <v>22</v>
      </c>
      <c r="Q672" t="s">
        <v>260</v>
      </c>
    </row>
    <row r="673" spans="1:17" ht="15" customHeight="1" x14ac:dyDescent="0.25">
      <c r="A673" s="3" t="s">
        <v>1333</v>
      </c>
      <c r="B673" s="4" t="s">
        <v>261</v>
      </c>
      <c r="C673" t="s">
        <v>1266</v>
      </c>
      <c r="D673">
        <v>1</v>
      </c>
      <c r="E673" t="s">
        <v>974</v>
      </c>
      <c r="F673" t="s">
        <v>975</v>
      </c>
      <c r="G673" t="s">
        <v>180</v>
      </c>
      <c r="H673" s="1" t="s">
        <v>976</v>
      </c>
      <c r="I673" s="1">
        <v>230</v>
      </c>
      <c r="J673" s="20">
        <v>0</v>
      </c>
      <c r="K673" s="1">
        <v>33.76</v>
      </c>
      <c r="L673" s="1">
        <v>0</v>
      </c>
      <c r="M673" s="42" t="s">
        <v>2820</v>
      </c>
      <c r="P673" t="s">
        <v>21</v>
      </c>
      <c r="Q673" t="s">
        <v>261</v>
      </c>
    </row>
    <row r="674" spans="1:17" ht="15" customHeight="1" x14ac:dyDescent="0.25">
      <c r="A674" s="3" t="s">
        <v>1334</v>
      </c>
      <c r="B674" s="4" t="s">
        <v>262</v>
      </c>
      <c r="C674" t="s">
        <v>1266</v>
      </c>
      <c r="D674">
        <v>1</v>
      </c>
      <c r="E674" t="s">
        <v>974</v>
      </c>
      <c r="F674" t="s">
        <v>975</v>
      </c>
      <c r="G674" t="s">
        <v>180</v>
      </c>
      <c r="H674" s="1" t="s">
        <v>976</v>
      </c>
      <c r="I674" s="1">
        <v>230</v>
      </c>
      <c r="J674" s="20">
        <v>0</v>
      </c>
      <c r="K674" s="1">
        <v>35.15</v>
      </c>
      <c r="L674" s="1">
        <v>0</v>
      </c>
      <c r="M674" s="42" t="s">
        <v>2820</v>
      </c>
      <c r="Q674" t="s">
        <v>262</v>
      </c>
    </row>
    <row r="675" spans="1:17" ht="15" customHeight="1" x14ac:dyDescent="0.25">
      <c r="A675" s="3" t="s">
        <v>2101</v>
      </c>
      <c r="B675" s="4" t="s">
        <v>485</v>
      </c>
      <c r="C675" t="s">
        <v>1266</v>
      </c>
      <c r="D675">
        <v>1</v>
      </c>
      <c r="E675" t="s">
        <v>974</v>
      </c>
      <c r="F675" t="s">
        <v>975</v>
      </c>
      <c r="G675" t="s">
        <v>180</v>
      </c>
      <c r="H675" s="1" t="s">
        <v>976</v>
      </c>
      <c r="I675" s="1">
        <v>315</v>
      </c>
      <c r="J675" s="20">
        <v>17</v>
      </c>
      <c r="K675" s="1">
        <v>45.525714000000001</v>
      </c>
      <c r="L675" s="1">
        <v>773.94</v>
      </c>
      <c r="M675" s="42" t="s">
        <v>2820</v>
      </c>
      <c r="P675" t="s">
        <v>24</v>
      </c>
      <c r="Q675" t="s">
        <v>485</v>
      </c>
    </row>
    <row r="676" spans="1:17" ht="15" customHeight="1" x14ac:dyDescent="0.25">
      <c r="A676" s="3" t="s">
        <v>2102</v>
      </c>
      <c r="B676" s="4" t="s">
        <v>486</v>
      </c>
      <c r="C676" t="s">
        <v>1266</v>
      </c>
      <c r="D676">
        <v>1</v>
      </c>
      <c r="E676" t="s">
        <v>974</v>
      </c>
      <c r="F676" t="s">
        <v>975</v>
      </c>
      <c r="G676" t="s">
        <v>180</v>
      </c>
      <c r="H676" s="1" t="s">
        <v>976</v>
      </c>
      <c r="I676" s="1">
        <v>315</v>
      </c>
      <c r="J676" s="20">
        <v>6</v>
      </c>
      <c r="K676" s="1">
        <v>46.44</v>
      </c>
      <c r="L676" s="1">
        <v>278.64</v>
      </c>
      <c r="M676" s="42" t="s">
        <v>2820</v>
      </c>
      <c r="P676" t="s">
        <v>25</v>
      </c>
      <c r="Q676" t="s">
        <v>486</v>
      </c>
    </row>
    <row r="677" spans="1:17" ht="15" customHeight="1" x14ac:dyDescent="0.25">
      <c r="A677" s="3" t="s">
        <v>2103</v>
      </c>
      <c r="B677" s="4" t="s">
        <v>487</v>
      </c>
      <c r="C677" t="s">
        <v>1266</v>
      </c>
      <c r="D677">
        <v>1</v>
      </c>
      <c r="E677" t="s">
        <v>974</v>
      </c>
      <c r="F677" t="s">
        <v>975</v>
      </c>
      <c r="G677" t="s">
        <v>180</v>
      </c>
      <c r="H677" s="1" t="s">
        <v>976</v>
      </c>
      <c r="I677" s="1">
        <v>315</v>
      </c>
      <c r="J677" s="20">
        <v>13</v>
      </c>
      <c r="K677" s="1">
        <v>45.53</v>
      </c>
      <c r="L677" s="1">
        <v>591.89</v>
      </c>
      <c r="M677" s="42" t="s">
        <v>2820</v>
      </c>
      <c r="P677" t="s">
        <v>23</v>
      </c>
      <c r="Q677" t="s">
        <v>487</v>
      </c>
    </row>
    <row r="678" spans="1:17" ht="15" customHeight="1" x14ac:dyDescent="0.25">
      <c r="A678" s="3" t="s">
        <v>2104</v>
      </c>
      <c r="B678" s="4" t="s">
        <v>488</v>
      </c>
      <c r="C678" t="s">
        <v>1266</v>
      </c>
      <c r="D678">
        <v>1</v>
      </c>
      <c r="E678" t="s">
        <v>974</v>
      </c>
      <c r="F678" t="s">
        <v>975</v>
      </c>
      <c r="G678" t="s">
        <v>180</v>
      </c>
      <c r="H678" s="1" t="s">
        <v>976</v>
      </c>
      <c r="I678" s="1">
        <v>315</v>
      </c>
      <c r="J678" s="20">
        <v>11</v>
      </c>
      <c r="K678" s="1">
        <v>46.44</v>
      </c>
      <c r="L678" s="1">
        <v>510.84</v>
      </c>
      <c r="M678" s="42" t="s">
        <v>2820</v>
      </c>
      <c r="P678" t="s">
        <v>22</v>
      </c>
      <c r="Q678" t="s">
        <v>488</v>
      </c>
    </row>
    <row r="679" spans="1:17" ht="15" customHeight="1" x14ac:dyDescent="0.25">
      <c r="A679" s="3" t="s">
        <v>2105</v>
      </c>
      <c r="B679" s="4" t="s">
        <v>489</v>
      </c>
      <c r="C679" t="s">
        <v>1266</v>
      </c>
      <c r="D679">
        <v>1</v>
      </c>
      <c r="E679" t="s">
        <v>974</v>
      </c>
      <c r="F679" t="s">
        <v>975</v>
      </c>
      <c r="G679" t="s">
        <v>180</v>
      </c>
      <c r="H679" s="1" t="s">
        <v>976</v>
      </c>
      <c r="I679" s="1">
        <v>315</v>
      </c>
      <c r="J679" s="20">
        <v>6</v>
      </c>
      <c r="K679" s="1">
        <v>45.415999999999997</v>
      </c>
      <c r="L679" s="1">
        <v>272.5</v>
      </c>
      <c r="M679" s="42" t="s">
        <v>2820</v>
      </c>
      <c r="P679" t="s">
        <v>21</v>
      </c>
      <c r="Q679" t="s">
        <v>489</v>
      </c>
    </row>
    <row r="680" spans="1:17" ht="15" customHeight="1" x14ac:dyDescent="0.25">
      <c r="A680" s="3" t="s">
        <v>2106</v>
      </c>
      <c r="B680" s="4" t="s">
        <v>490</v>
      </c>
      <c r="C680" t="s">
        <v>1266</v>
      </c>
      <c r="D680">
        <v>1</v>
      </c>
      <c r="E680" t="s">
        <v>974</v>
      </c>
      <c r="F680" t="s">
        <v>975</v>
      </c>
      <c r="G680" t="s">
        <v>180</v>
      </c>
      <c r="H680" s="1" t="s">
        <v>976</v>
      </c>
      <c r="I680" s="1">
        <v>315</v>
      </c>
      <c r="J680" s="20">
        <v>2</v>
      </c>
      <c r="K680" s="1">
        <v>46.44</v>
      </c>
      <c r="L680" s="1">
        <v>92.88</v>
      </c>
      <c r="M680" s="42" t="s">
        <v>2820</v>
      </c>
      <c r="Q680" t="s">
        <v>490</v>
      </c>
    </row>
    <row r="681" spans="1:17" ht="15" customHeight="1" x14ac:dyDescent="0.25">
      <c r="A681" s="3" t="s">
        <v>2107</v>
      </c>
      <c r="B681" s="4" t="s">
        <v>491</v>
      </c>
      <c r="C681" t="s">
        <v>1266</v>
      </c>
      <c r="D681">
        <v>1</v>
      </c>
      <c r="E681" t="s">
        <v>974</v>
      </c>
      <c r="F681" t="s">
        <v>975</v>
      </c>
      <c r="G681" t="s">
        <v>180</v>
      </c>
      <c r="H681" s="1" t="s">
        <v>976</v>
      </c>
      <c r="I681" s="1">
        <v>315</v>
      </c>
      <c r="J681" s="20">
        <v>19</v>
      </c>
      <c r="K681" s="1">
        <v>45.5</v>
      </c>
      <c r="L681" s="1">
        <v>864.5</v>
      </c>
      <c r="M681" s="42" t="s">
        <v>2820</v>
      </c>
      <c r="P681" t="s">
        <v>24</v>
      </c>
      <c r="Q681" t="s">
        <v>491</v>
      </c>
    </row>
    <row r="682" spans="1:17" ht="15" customHeight="1" x14ac:dyDescent="0.25">
      <c r="A682" s="3" t="s">
        <v>2108</v>
      </c>
      <c r="B682" s="4" t="s">
        <v>492</v>
      </c>
      <c r="C682" t="s">
        <v>1266</v>
      </c>
      <c r="D682">
        <v>1</v>
      </c>
      <c r="E682" t="s">
        <v>974</v>
      </c>
      <c r="F682" t="s">
        <v>975</v>
      </c>
      <c r="G682" t="s">
        <v>180</v>
      </c>
      <c r="H682" s="1" t="s">
        <v>976</v>
      </c>
      <c r="I682" s="1">
        <v>315</v>
      </c>
      <c r="J682" s="20">
        <v>8</v>
      </c>
      <c r="K682" s="1">
        <v>45.011111</v>
      </c>
      <c r="L682" s="1">
        <v>360.09</v>
      </c>
      <c r="M682" s="42" t="s">
        <v>2820</v>
      </c>
      <c r="P682" t="s">
        <v>25</v>
      </c>
      <c r="Q682" t="s">
        <v>492</v>
      </c>
    </row>
    <row r="683" spans="1:17" ht="15" customHeight="1" x14ac:dyDescent="0.25">
      <c r="A683" s="3" t="s">
        <v>2109</v>
      </c>
      <c r="B683" s="4" t="s">
        <v>493</v>
      </c>
      <c r="C683" t="s">
        <v>1266</v>
      </c>
      <c r="D683">
        <v>1</v>
      </c>
      <c r="E683" t="s">
        <v>974</v>
      </c>
      <c r="F683" t="s">
        <v>975</v>
      </c>
      <c r="G683" t="s">
        <v>180</v>
      </c>
      <c r="H683" s="1" t="s">
        <v>976</v>
      </c>
      <c r="I683" s="1">
        <v>315</v>
      </c>
      <c r="J683" s="20">
        <v>32</v>
      </c>
      <c r="K683" s="1">
        <v>44.4</v>
      </c>
      <c r="L683" s="1">
        <v>1420.8</v>
      </c>
      <c r="M683" s="42" t="s">
        <v>2820</v>
      </c>
      <c r="P683" t="s">
        <v>23</v>
      </c>
      <c r="Q683" t="s">
        <v>493</v>
      </c>
    </row>
    <row r="684" spans="1:17" ht="15" customHeight="1" x14ac:dyDescent="0.25">
      <c r="A684" s="41" t="s">
        <v>2109</v>
      </c>
      <c r="B684" s="3" t="s">
        <v>493</v>
      </c>
      <c r="C684" s="41" t="s">
        <v>1266</v>
      </c>
      <c r="D684">
        <v>2</v>
      </c>
      <c r="E684" t="s">
        <v>1017</v>
      </c>
      <c r="F684" t="s">
        <v>975</v>
      </c>
      <c r="G684" t="s">
        <v>180</v>
      </c>
      <c r="H684" s="1" t="s">
        <v>976</v>
      </c>
      <c r="I684" s="1">
        <v>315</v>
      </c>
      <c r="J684" s="20">
        <v>0</v>
      </c>
      <c r="K684" s="1">
        <v>43.3</v>
      </c>
      <c r="L684" s="1">
        <v>0</v>
      </c>
      <c r="M684" s="42" t="s">
        <v>2820</v>
      </c>
      <c r="P684" t="s">
        <v>23</v>
      </c>
      <c r="Q684" t="s">
        <v>493</v>
      </c>
    </row>
    <row r="685" spans="1:17" ht="15" customHeight="1" x14ac:dyDescent="0.25">
      <c r="A685" s="3" t="s">
        <v>2110</v>
      </c>
      <c r="B685" s="4" t="s">
        <v>494</v>
      </c>
      <c r="C685" t="s">
        <v>1266</v>
      </c>
      <c r="D685">
        <v>1</v>
      </c>
      <c r="E685" t="s">
        <v>974</v>
      </c>
      <c r="F685" t="s">
        <v>975</v>
      </c>
      <c r="G685" t="s">
        <v>180</v>
      </c>
      <c r="H685" s="1" t="s">
        <v>976</v>
      </c>
      <c r="I685" s="1">
        <v>315</v>
      </c>
      <c r="J685" s="20">
        <v>18</v>
      </c>
      <c r="K685" s="1">
        <v>44.36627</v>
      </c>
      <c r="L685" s="1">
        <v>798.59</v>
      </c>
      <c r="M685" s="42" t="s">
        <v>2820</v>
      </c>
      <c r="P685" t="s">
        <v>22</v>
      </c>
      <c r="Q685" t="s">
        <v>494</v>
      </c>
    </row>
    <row r="686" spans="1:17" ht="15" customHeight="1" x14ac:dyDescent="0.25">
      <c r="A686" s="41" t="s">
        <v>2110</v>
      </c>
      <c r="B686" s="3" t="s">
        <v>494</v>
      </c>
      <c r="C686" s="41" t="s">
        <v>1266</v>
      </c>
      <c r="D686">
        <v>4</v>
      </c>
      <c r="E686" t="s">
        <v>1018</v>
      </c>
      <c r="F686" t="s">
        <v>975</v>
      </c>
      <c r="G686" t="s">
        <v>180</v>
      </c>
      <c r="H686" s="1" t="s">
        <v>976</v>
      </c>
      <c r="I686" s="1">
        <v>315</v>
      </c>
      <c r="J686" s="20">
        <v>-1</v>
      </c>
      <c r="K686" s="1">
        <v>0</v>
      </c>
      <c r="L686" s="1">
        <v>0</v>
      </c>
      <c r="M686" s="42" t="s">
        <v>2820</v>
      </c>
      <c r="P686" t="s">
        <v>22</v>
      </c>
      <c r="Q686" t="s">
        <v>494</v>
      </c>
    </row>
    <row r="687" spans="1:17" ht="15" customHeight="1" x14ac:dyDescent="0.25">
      <c r="A687" s="3" t="s">
        <v>2111</v>
      </c>
      <c r="B687" s="4" t="s">
        <v>495</v>
      </c>
      <c r="C687" t="s">
        <v>1266</v>
      </c>
      <c r="D687">
        <v>1</v>
      </c>
      <c r="E687" t="s">
        <v>974</v>
      </c>
      <c r="F687" t="s">
        <v>975</v>
      </c>
      <c r="G687" t="s">
        <v>180</v>
      </c>
      <c r="H687" s="1" t="s">
        <v>976</v>
      </c>
      <c r="I687" s="1">
        <v>315</v>
      </c>
      <c r="J687" s="20">
        <v>5</v>
      </c>
      <c r="K687" s="1">
        <v>44.95</v>
      </c>
      <c r="L687" s="1">
        <v>224.75</v>
      </c>
      <c r="M687" s="42" t="s">
        <v>2820</v>
      </c>
      <c r="P687" t="s">
        <v>21</v>
      </c>
      <c r="Q687" t="s">
        <v>495</v>
      </c>
    </row>
    <row r="688" spans="1:17" ht="15" customHeight="1" x14ac:dyDescent="0.25">
      <c r="A688" s="3" t="s">
        <v>2112</v>
      </c>
      <c r="B688" s="4" t="s">
        <v>496</v>
      </c>
      <c r="C688" t="s">
        <v>1266</v>
      </c>
      <c r="D688">
        <v>1</v>
      </c>
      <c r="E688" t="s">
        <v>974</v>
      </c>
      <c r="F688" t="s">
        <v>975</v>
      </c>
      <c r="G688" t="s">
        <v>180</v>
      </c>
      <c r="H688" s="1" t="s">
        <v>976</v>
      </c>
      <c r="I688" s="1">
        <v>315</v>
      </c>
      <c r="J688" s="20">
        <v>3</v>
      </c>
      <c r="K688" s="1">
        <v>43.3</v>
      </c>
      <c r="L688" s="1">
        <v>129.9</v>
      </c>
      <c r="M688" s="42" t="s">
        <v>2820</v>
      </c>
      <c r="Q688" t="s">
        <v>496</v>
      </c>
    </row>
    <row r="689" spans="1:17" ht="15" customHeight="1" x14ac:dyDescent="0.25">
      <c r="A689" s="3" t="s">
        <v>2113</v>
      </c>
      <c r="B689" s="4" t="s">
        <v>2822</v>
      </c>
      <c r="C689" t="s">
        <v>1266</v>
      </c>
      <c r="D689">
        <v>1</v>
      </c>
      <c r="E689" t="s">
        <v>974</v>
      </c>
      <c r="F689" t="s">
        <v>975</v>
      </c>
      <c r="G689" t="s">
        <v>976</v>
      </c>
      <c r="H689" s="1" t="s">
        <v>976</v>
      </c>
      <c r="I689" s="1">
        <v>315</v>
      </c>
      <c r="J689" s="20">
        <v>4</v>
      </c>
      <c r="K689" s="1">
        <v>0</v>
      </c>
      <c r="L689" s="1">
        <v>0</v>
      </c>
      <c r="M689" s="42" t="s">
        <v>2820</v>
      </c>
      <c r="O689" s="2" t="s">
        <v>2443</v>
      </c>
      <c r="P689" t="s">
        <v>24</v>
      </c>
      <c r="Q689" t="s">
        <v>805</v>
      </c>
    </row>
    <row r="690" spans="1:17" ht="15" customHeight="1" x14ac:dyDescent="0.25">
      <c r="A690" s="3" t="s">
        <v>2114</v>
      </c>
      <c r="B690" s="4" t="s">
        <v>2822</v>
      </c>
      <c r="C690" t="s">
        <v>1266</v>
      </c>
      <c r="D690">
        <v>1</v>
      </c>
      <c r="E690" t="s">
        <v>974</v>
      </c>
      <c r="F690" t="s">
        <v>975</v>
      </c>
      <c r="G690" t="s">
        <v>180</v>
      </c>
      <c r="H690" s="1" t="s">
        <v>976</v>
      </c>
      <c r="I690" s="1">
        <v>290</v>
      </c>
      <c r="J690" s="20">
        <v>0</v>
      </c>
      <c r="K690" s="1">
        <v>0</v>
      </c>
      <c r="L690" s="1">
        <v>0</v>
      </c>
      <c r="M690" s="42" t="s">
        <v>2820</v>
      </c>
      <c r="O690" s="2" t="s">
        <v>2443</v>
      </c>
      <c r="P690" t="s">
        <v>24</v>
      </c>
      <c r="Q690" t="s">
        <v>805</v>
      </c>
    </row>
    <row r="691" spans="1:17" ht="15" customHeight="1" x14ac:dyDescent="0.25">
      <c r="A691" s="3" t="s">
        <v>2115</v>
      </c>
      <c r="B691" s="4" t="s">
        <v>2822</v>
      </c>
      <c r="C691" t="s">
        <v>1266</v>
      </c>
      <c r="D691">
        <v>1</v>
      </c>
      <c r="E691" t="s">
        <v>974</v>
      </c>
      <c r="F691" t="s">
        <v>975</v>
      </c>
      <c r="G691" t="s">
        <v>976</v>
      </c>
      <c r="H691" s="1" t="s">
        <v>976</v>
      </c>
      <c r="I691" s="1">
        <v>315</v>
      </c>
      <c r="J691" s="20">
        <v>3</v>
      </c>
      <c r="K691" s="1">
        <v>0</v>
      </c>
      <c r="L691" s="1">
        <v>0</v>
      </c>
      <c r="M691" s="42" t="s">
        <v>2820</v>
      </c>
      <c r="O691" s="2" t="s">
        <v>2443</v>
      </c>
      <c r="P691" t="s">
        <v>25</v>
      </c>
      <c r="Q691" t="s">
        <v>805</v>
      </c>
    </row>
    <row r="692" spans="1:17" ht="15" customHeight="1" x14ac:dyDescent="0.25">
      <c r="A692" s="3" t="s">
        <v>2116</v>
      </c>
      <c r="B692" s="4" t="s">
        <v>2822</v>
      </c>
      <c r="C692" t="s">
        <v>1266</v>
      </c>
      <c r="D692">
        <v>1</v>
      </c>
      <c r="E692" t="s">
        <v>974</v>
      </c>
      <c r="F692" t="s">
        <v>975</v>
      </c>
      <c r="G692" t="s">
        <v>180</v>
      </c>
      <c r="H692" s="1" t="s">
        <v>976</v>
      </c>
      <c r="I692" s="1">
        <v>290</v>
      </c>
      <c r="J692" s="20">
        <v>0</v>
      </c>
      <c r="K692" s="1">
        <v>0</v>
      </c>
      <c r="L692" s="1">
        <v>0</v>
      </c>
      <c r="M692" s="42" t="s">
        <v>2820</v>
      </c>
      <c r="O692" s="2" t="s">
        <v>2443</v>
      </c>
      <c r="P692" t="s">
        <v>25</v>
      </c>
      <c r="Q692" t="s">
        <v>805</v>
      </c>
    </row>
    <row r="693" spans="1:17" ht="15" customHeight="1" x14ac:dyDescent="0.25">
      <c r="A693" s="3" t="s">
        <v>2117</v>
      </c>
      <c r="B693" s="4" t="s">
        <v>2822</v>
      </c>
      <c r="C693" t="s">
        <v>1266</v>
      </c>
      <c r="D693">
        <v>1</v>
      </c>
      <c r="E693" t="s">
        <v>974</v>
      </c>
      <c r="F693" t="s">
        <v>975</v>
      </c>
      <c r="G693" t="s">
        <v>976</v>
      </c>
      <c r="H693" s="1" t="s">
        <v>976</v>
      </c>
      <c r="I693" s="1">
        <v>315</v>
      </c>
      <c r="J693" s="20">
        <v>13</v>
      </c>
      <c r="K693" s="1">
        <v>0</v>
      </c>
      <c r="L693" s="1">
        <v>0</v>
      </c>
      <c r="M693" s="42" t="s">
        <v>2820</v>
      </c>
      <c r="O693" s="2" t="s">
        <v>2443</v>
      </c>
      <c r="P693" t="s">
        <v>23</v>
      </c>
      <c r="Q693" t="s">
        <v>805</v>
      </c>
    </row>
    <row r="694" spans="1:17" ht="15" customHeight="1" x14ac:dyDescent="0.25">
      <c r="A694" s="3" t="s">
        <v>2118</v>
      </c>
      <c r="B694" s="4" t="s">
        <v>2822</v>
      </c>
      <c r="C694" t="s">
        <v>1266</v>
      </c>
      <c r="D694">
        <v>1</v>
      </c>
      <c r="E694" t="s">
        <v>974</v>
      </c>
      <c r="F694" t="s">
        <v>975</v>
      </c>
      <c r="G694" t="s">
        <v>180</v>
      </c>
      <c r="H694" s="1" t="s">
        <v>976</v>
      </c>
      <c r="I694" s="1">
        <v>290</v>
      </c>
      <c r="J694" s="20">
        <v>-1</v>
      </c>
      <c r="K694" s="1">
        <v>47.18</v>
      </c>
      <c r="L694" s="1">
        <v>-47.18</v>
      </c>
      <c r="M694" s="42" t="s">
        <v>2820</v>
      </c>
      <c r="O694" s="2" t="s">
        <v>2443</v>
      </c>
      <c r="P694" t="s">
        <v>23</v>
      </c>
      <c r="Q694" t="s">
        <v>805</v>
      </c>
    </row>
    <row r="695" spans="1:17" ht="15" customHeight="1" x14ac:dyDescent="0.25">
      <c r="A695" s="3" t="s">
        <v>2119</v>
      </c>
      <c r="B695" s="4" t="s">
        <v>2822</v>
      </c>
      <c r="C695" t="s">
        <v>1266</v>
      </c>
      <c r="D695">
        <v>1</v>
      </c>
      <c r="E695" t="s">
        <v>974</v>
      </c>
      <c r="F695" t="s">
        <v>975</v>
      </c>
      <c r="G695" t="s">
        <v>976</v>
      </c>
      <c r="H695" s="1" t="s">
        <v>976</v>
      </c>
      <c r="I695" s="1">
        <v>315</v>
      </c>
      <c r="J695" s="20">
        <v>13</v>
      </c>
      <c r="K695" s="1">
        <v>0</v>
      </c>
      <c r="L695" s="1">
        <v>0</v>
      </c>
      <c r="M695" s="42" t="s">
        <v>2820</v>
      </c>
      <c r="O695" s="2" t="s">
        <v>2443</v>
      </c>
      <c r="P695" t="s">
        <v>22</v>
      </c>
      <c r="Q695" t="s">
        <v>805</v>
      </c>
    </row>
    <row r="696" spans="1:17" ht="15" customHeight="1" x14ac:dyDescent="0.25">
      <c r="A696" s="3" t="s">
        <v>2120</v>
      </c>
      <c r="B696" s="4" t="s">
        <v>2822</v>
      </c>
      <c r="C696" t="s">
        <v>1266</v>
      </c>
      <c r="D696">
        <v>1</v>
      </c>
      <c r="E696" t="s">
        <v>974</v>
      </c>
      <c r="F696" t="s">
        <v>975</v>
      </c>
      <c r="G696" t="s">
        <v>976</v>
      </c>
      <c r="H696" s="1" t="s">
        <v>976</v>
      </c>
      <c r="I696" s="1">
        <v>315</v>
      </c>
      <c r="J696" s="20">
        <v>0</v>
      </c>
      <c r="K696" s="1">
        <v>0</v>
      </c>
      <c r="L696" s="1">
        <v>0</v>
      </c>
      <c r="M696" s="42" t="s">
        <v>2820</v>
      </c>
      <c r="O696" s="2" t="s">
        <v>2443</v>
      </c>
      <c r="P696" t="s">
        <v>21</v>
      </c>
      <c r="Q696" t="s">
        <v>805</v>
      </c>
    </row>
    <row r="697" spans="1:17" ht="15" customHeight="1" x14ac:dyDescent="0.25">
      <c r="A697" s="3" t="s">
        <v>2121</v>
      </c>
      <c r="B697" s="4" t="s">
        <v>2822</v>
      </c>
      <c r="C697" t="s">
        <v>1266</v>
      </c>
      <c r="D697">
        <v>1</v>
      </c>
      <c r="E697" t="s">
        <v>974</v>
      </c>
      <c r="F697" t="s">
        <v>975</v>
      </c>
      <c r="G697" t="s">
        <v>976</v>
      </c>
      <c r="H697" s="1" t="s">
        <v>976</v>
      </c>
      <c r="I697" s="1">
        <v>315</v>
      </c>
      <c r="J697" s="20">
        <v>2</v>
      </c>
      <c r="K697" s="1">
        <v>0</v>
      </c>
      <c r="L697" s="1">
        <v>0</v>
      </c>
      <c r="M697" s="42" t="s">
        <v>2820</v>
      </c>
      <c r="O697" s="2" t="s">
        <v>2443</v>
      </c>
      <c r="Q697" t="s">
        <v>805</v>
      </c>
    </row>
    <row r="698" spans="1:17" ht="15" customHeight="1" x14ac:dyDescent="0.25">
      <c r="A698" s="3" t="s">
        <v>2122</v>
      </c>
      <c r="B698" s="4" t="s">
        <v>497</v>
      </c>
      <c r="C698" t="s">
        <v>1266</v>
      </c>
      <c r="D698">
        <v>1</v>
      </c>
      <c r="E698" t="s">
        <v>974</v>
      </c>
      <c r="F698" t="s">
        <v>975</v>
      </c>
      <c r="G698" t="s">
        <v>180</v>
      </c>
      <c r="H698" s="1" t="s">
        <v>976</v>
      </c>
      <c r="I698" s="1">
        <v>315</v>
      </c>
      <c r="J698" s="20">
        <v>12</v>
      </c>
      <c r="K698" s="1">
        <v>52.725000000000001</v>
      </c>
      <c r="L698" s="1">
        <v>632.70000000000005</v>
      </c>
      <c r="M698" s="42" t="s">
        <v>2820</v>
      </c>
      <c r="P698" t="s">
        <v>24</v>
      </c>
      <c r="Q698" t="s">
        <v>497</v>
      </c>
    </row>
    <row r="699" spans="1:17" ht="15" customHeight="1" x14ac:dyDescent="0.25">
      <c r="A699" s="3" t="s">
        <v>2123</v>
      </c>
      <c r="B699" s="4" t="s">
        <v>498</v>
      </c>
      <c r="C699" t="s">
        <v>1266</v>
      </c>
      <c r="D699">
        <v>1</v>
      </c>
      <c r="E699" t="s">
        <v>974</v>
      </c>
      <c r="F699" t="s">
        <v>975</v>
      </c>
      <c r="G699" t="s">
        <v>180</v>
      </c>
      <c r="H699" s="1" t="s">
        <v>976</v>
      </c>
      <c r="I699" s="1">
        <v>315</v>
      </c>
      <c r="J699" s="20">
        <v>3</v>
      </c>
      <c r="K699" s="1">
        <v>50.704000000000001</v>
      </c>
      <c r="L699" s="1">
        <v>152.11000000000001</v>
      </c>
      <c r="M699" s="42" t="s">
        <v>2820</v>
      </c>
      <c r="Q699" t="s">
        <v>498</v>
      </c>
    </row>
    <row r="700" spans="1:17" ht="15" customHeight="1" x14ac:dyDescent="0.25">
      <c r="A700" s="3" t="s">
        <v>2124</v>
      </c>
      <c r="B700" s="4" t="s">
        <v>499</v>
      </c>
      <c r="C700" t="s">
        <v>1266</v>
      </c>
      <c r="D700">
        <v>1</v>
      </c>
      <c r="E700" t="s">
        <v>974</v>
      </c>
      <c r="F700" t="s">
        <v>975</v>
      </c>
      <c r="G700" t="s">
        <v>180</v>
      </c>
      <c r="H700" s="1" t="s">
        <v>976</v>
      </c>
      <c r="I700" s="1">
        <v>315</v>
      </c>
      <c r="J700" s="20">
        <v>16</v>
      </c>
      <c r="K700" s="1">
        <v>52.894736000000002</v>
      </c>
      <c r="L700" s="1">
        <v>846.32</v>
      </c>
      <c r="M700" s="42" t="s">
        <v>2820</v>
      </c>
      <c r="P700" t="s">
        <v>23</v>
      </c>
      <c r="Q700" t="s">
        <v>499</v>
      </c>
    </row>
    <row r="701" spans="1:17" ht="15" customHeight="1" x14ac:dyDescent="0.25">
      <c r="A701" s="3" t="s">
        <v>2125</v>
      </c>
      <c r="B701" s="4" t="s">
        <v>500</v>
      </c>
      <c r="C701" t="s">
        <v>1266</v>
      </c>
      <c r="D701">
        <v>1</v>
      </c>
      <c r="E701" t="s">
        <v>974</v>
      </c>
      <c r="F701" t="s">
        <v>975</v>
      </c>
      <c r="G701" t="s">
        <v>180</v>
      </c>
      <c r="H701" s="1" t="s">
        <v>976</v>
      </c>
      <c r="I701" s="1">
        <v>315</v>
      </c>
      <c r="J701" s="20">
        <v>11</v>
      </c>
      <c r="K701" s="1">
        <v>54.43</v>
      </c>
      <c r="L701" s="1">
        <v>598.73</v>
      </c>
      <c r="M701" s="42" t="s">
        <v>2820</v>
      </c>
      <c r="P701" t="s">
        <v>22</v>
      </c>
      <c r="Q701" t="s">
        <v>500</v>
      </c>
    </row>
    <row r="702" spans="1:17" ht="15" customHeight="1" x14ac:dyDescent="0.25">
      <c r="A702" s="3" t="s">
        <v>2126</v>
      </c>
      <c r="B702" s="4" t="s">
        <v>501</v>
      </c>
      <c r="C702" t="s">
        <v>1266</v>
      </c>
      <c r="D702">
        <v>1</v>
      </c>
      <c r="E702" t="s">
        <v>974</v>
      </c>
      <c r="F702" t="s">
        <v>975</v>
      </c>
      <c r="G702" t="s">
        <v>180</v>
      </c>
      <c r="H702" s="1" t="s">
        <v>976</v>
      </c>
      <c r="I702" s="1">
        <v>315</v>
      </c>
      <c r="J702" s="20">
        <v>4</v>
      </c>
      <c r="K702" s="1">
        <v>50.36</v>
      </c>
      <c r="L702" s="1">
        <v>201.44</v>
      </c>
      <c r="M702" s="42" t="s">
        <v>2820</v>
      </c>
      <c r="P702" t="s">
        <v>21</v>
      </c>
      <c r="Q702" t="s">
        <v>501</v>
      </c>
    </row>
    <row r="703" spans="1:17" ht="15" customHeight="1" x14ac:dyDescent="0.25">
      <c r="A703" s="3" t="s">
        <v>2127</v>
      </c>
      <c r="B703" s="4" t="s">
        <v>502</v>
      </c>
      <c r="C703" t="s">
        <v>1266</v>
      </c>
      <c r="D703">
        <v>1</v>
      </c>
      <c r="E703" t="s">
        <v>974</v>
      </c>
      <c r="F703" t="s">
        <v>975</v>
      </c>
      <c r="G703" t="s">
        <v>180</v>
      </c>
      <c r="H703" s="1" t="s">
        <v>976</v>
      </c>
      <c r="I703" s="1">
        <v>315</v>
      </c>
      <c r="J703" s="20">
        <v>2</v>
      </c>
      <c r="K703" s="1">
        <v>50.36</v>
      </c>
      <c r="L703" s="1">
        <v>100.72</v>
      </c>
      <c r="M703" s="42" t="s">
        <v>2820</v>
      </c>
      <c r="Q703" t="s">
        <v>502</v>
      </c>
    </row>
    <row r="704" spans="1:17" ht="15" customHeight="1" x14ac:dyDescent="0.25">
      <c r="A704" s="3" t="s">
        <v>2128</v>
      </c>
      <c r="B704" s="4" t="s">
        <v>503</v>
      </c>
      <c r="C704" t="s">
        <v>1266</v>
      </c>
      <c r="D704">
        <v>1</v>
      </c>
      <c r="E704" t="s">
        <v>974</v>
      </c>
      <c r="F704" t="s">
        <v>975</v>
      </c>
      <c r="G704" t="s">
        <v>180</v>
      </c>
      <c r="H704" s="1" t="s">
        <v>976</v>
      </c>
      <c r="I704" s="1">
        <v>290</v>
      </c>
      <c r="J704" s="20">
        <v>-1</v>
      </c>
      <c r="K704" s="1">
        <v>47.18</v>
      </c>
      <c r="L704" s="1">
        <v>-47.18</v>
      </c>
      <c r="M704" s="42" t="s">
        <v>2820</v>
      </c>
      <c r="P704" t="s">
        <v>24</v>
      </c>
      <c r="Q704" t="s">
        <v>503</v>
      </c>
    </row>
    <row r="705" spans="1:17" ht="15" customHeight="1" x14ac:dyDescent="0.25">
      <c r="A705" s="3" t="s">
        <v>2129</v>
      </c>
      <c r="B705" s="4" t="s">
        <v>504</v>
      </c>
      <c r="C705" t="s">
        <v>1266</v>
      </c>
      <c r="D705">
        <v>1</v>
      </c>
      <c r="E705" t="s">
        <v>974</v>
      </c>
      <c r="F705" t="s">
        <v>975</v>
      </c>
      <c r="G705" t="s">
        <v>180</v>
      </c>
      <c r="H705" s="1" t="s">
        <v>976</v>
      </c>
      <c r="I705" s="1">
        <v>290</v>
      </c>
      <c r="J705" s="20">
        <v>0</v>
      </c>
      <c r="K705" s="1">
        <v>47.18</v>
      </c>
      <c r="L705" s="1">
        <v>0</v>
      </c>
      <c r="M705" s="42" t="s">
        <v>2820</v>
      </c>
      <c r="P705" t="s">
        <v>25</v>
      </c>
      <c r="Q705" t="s">
        <v>504</v>
      </c>
    </row>
    <row r="706" spans="1:17" ht="15" customHeight="1" x14ac:dyDescent="0.25">
      <c r="A706" s="3" t="s">
        <v>2130</v>
      </c>
      <c r="B706" s="4" t="s">
        <v>505</v>
      </c>
      <c r="C706" t="s">
        <v>1266</v>
      </c>
      <c r="D706">
        <v>1</v>
      </c>
      <c r="E706" t="s">
        <v>974</v>
      </c>
      <c r="F706" t="s">
        <v>975</v>
      </c>
      <c r="G706" t="s">
        <v>180</v>
      </c>
      <c r="H706" s="1" t="s">
        <v>976</v>
      </c>
      <c r="I706" s="1">
        <v>290</v>
      </c>
      <c r="J706" s="20">
        <v>0</v>
      </c>
      <c r="K706" s="1">
        <v>47.18</v>
      </c>
      <c r="L706" s="1">
        <v>0</v>
      </c>
      <c r="M706" s="42" t="s">
        <v>2820</v>
      </c>
      <c r="P706" t="s">
        <v>23</v>
      </c>
      <c r="Q706" t="s">
        <v>505</v>
      </c>
    </row>
    <row r="707" spans="1:17" ht="15" customHeight="1" x14ac:dyDescent="0.25">
      <c r="A707" s="3" t="s">
        <v>2131</v>
      </c>
      <c r="B707" s="4" t="s">
        <v>506</v>
      </c>
      <c r="C707" t="s">
        <v>1266</v>
      </c>
      <c r="D707">
        <v>1</v>
      </c>
      <c r="E707" t="s">
        <v>974</v>
      </c>
      <c r="F707" t="s">
        <v>975</v>
      </c>
      <c r="G707" t="s">
        <v>180</v>
      </c>
      <c r="H707" s="1" t="s">
        <v>976</v>
      </c>
      <c r="I707" s="1">
        <v>290</v>
      </c>
      <c r="J707" s="20">
        <v>0</v>
      </c>
      <c r="K707" s="1">
        <v>47.18</v>
      </c>
      <c r="L707" s="1">
        <v>0</v>
      </c>
      <c r="M707" s="42" t="s">
        <v>2820</v>
      </c>
      <c r="P707" t="s">
        <v>22</v>
      </c>
      <c r="Q707" t="s">
        <v>506</v>
      </c>
    </row>
    <row r="708" spans="1:17" ht="15" customHeight="1" x14ac:dyDescent="0.25">
      <c r="A708" s="3" t="s">
        <v>2132</v>
      </c>
      <c r="B708" s="4" t="s">
        <v>507</v>
      </c>
      <c r="C708" t="s">
        <v>1266</v>
      </c>
      <c r="D708">
        <v>1</v>
      </c>
      <c r="E708" t="s">
        <v>974</v>
      </c>
      <c r="F708" t="s">
        <v>975</v>
      </c>
      <c r="G708" t="s">
        <v>180</v>
      </c>
      <c r="H708" s="1" t="s">
        <v>976</v>
      </c>
      <c r="I708" s="1">
        <v>270</v>
      </c>
      <c r="J708" s="20">
        <v>0</v>
      </c>
      <c r="K708" s="1">
        <v>33</v>
      </c>
      <c r="L708" s="1">
        <v>0</v>
      </c>
      <c r="M708" s="42" t="s">
        <v>2820</v>
      </c>
      <c r="P708" t="s">
        <v>24</v>
      </c>
      <c r="Q708" t="s">
        <v>507</v>
      </c>
    </row>
    <row r="709" spans="1:17" ht="15" customHeight="1" x14ac:dyDescent="0.25">
      <c r="A709" s="3" t="s">
        <v>2133</v>
      </c>
      <c r="B709" s="4" t="s">
        <v>508</v>
      </c>
      <c r="C709" t="s">
        <v>1266</v>
      </c>
      <c r="D709">
        <v>1</v>
      </c>
      <c r="E709" t="s">
        <v>974</v>
      </c>
      <c r="F709" t="s">
        <v>975</v>
      </c>
      <c r="G709" t="s">
        <v>180</v>
      </c>
      <c r="H709" s="1" t="s">
        <v>976</v>
      </c>
      <c r="I709" s="1">
        <v>270</v>
      </c>
      <c r="J709" s="20">
        <v>0</v>
      </c>
      <c r="K709" s="1">
        <v>0</v>
      </c>
      <c r="L709" s="1">
        <v>0</v>
      </c>
      <c r="M709" s="42" t="s">
        <v>2820</v>
      </c>
      <c r="P709" t="s">
        <v>25</v>
      </c>
      <c r="Q709" t="s">
        <v>508</v>
      </c>
    </row>
    <row r="710" spans="1:17" ht="15" customHeight="1" x14ac:dyDescent="0.25">
      <c r="A710" s="3" t="s">
        <v>1335</v>
      </c>
      <c r="B710" s="4" t="s">
        <v>263</v>
      </c>
      <c r="C710" t="s">
        <v>1266</v>
      </c>
      <c r="D710">
        <v>1</v>
      </c>
      <c r="E710" t="s">
        <v>974</v>
      </c>
      <c r="F710" t="s">
        <v>975</v>
      </c>
      <c r="G710" t="s">
        <v>180</v>
      </c>
      <c r="H710" s="1" t="s">
        <v>976</v>
      </c>
      <c r="I710" s="1">
        <v>270</v>
      </c>
      <c r="J710" s="20">
        <v>0</v>
      </c>
      <c r="K710" s="1">
        <v>33</v>
      </c>
      <c r="L710" s="1">
        <v>0</v>
      </c>
      <c r="M710" s="42" t="s">
        <v>2820</v>
      </c>
      <c r="P710" t="s">
        <v>23</v>
      </c>
      <c r="Q710" t="s">
        <v>263</v>
      </c>
    </row>
    <row r="711" spans="1:17" ht="15" customHeight="1" x14ac:dyDescent="0.25">
      <c r="A711" s="3" t="s">
        <v>2134</v>
      </c>
      <c r="B711" s="4" t="s">
        <v>509</v>
      </c>
      <c r="C711" t="s">
        <v>1266</v>
      </c>
      <c r="D711">
        <v>1</v>
      </c>
      <c r="E711" t="s">
        <v>974</v>
      </c>
      <c r="F711" t="s">
        <v>975</v>
      </c>
      <c r="G711" t="s">
        <v>180</v>
      </c>
      <c r="H711" s="1" t="s">
        <v>976</v>
      </c>
      <c r="I711" s="1">
        <v>270</v>
      </c>
      <c r="J711" s="20">
        <v>0</v>
      </c>
      <c r="K711" s="1">
        <v>33</v>
      </c>
      <c r="L711" s="1">
        <v>0</v>
      </c>
      <c r="M711" s="42" t="s">
        <v>2820</v>
      </c>
      <c r="P711" t="s">
        <v>22</v>
      </c>
      <c r="Q711" t="s">
        <v>509</v>
      </c>
    </row>
    <row r="712" spans="1:17" ht="15" customHeight="1" x14ac:dyDescent="0.25">
      <c r="A712" s="3" t="s">
        <v>2135</v>
      </c>
      <c r="B712" s="4" t="s">
        <v>510</v>
      </c>
      <c r="C712" t="s">
        <v>1266</v>
      </c>
      <c r="D712">
        <v>1</v>
      </c>
      <c r="E712" t="s">
        <v>974</v>
      </c>
      <c r="F712" t="s">
        <v>975</v>
      </c>
      <c r="G712" t="s">
        <v>180</v>
      </c>
      <c r="H712" s="1" t="s">
        <v>976</v>
      </c>
      <c r="I712" s="1">
        <v>270</v>
      </c>
      <c r="J712" s="20">
        <v>4</v>
      </c>
      <c r="K712" s="1">
        <v>40</v>
      </c>
      <c r="L712" s="1">
        <v>160</v>
      </c>
      <c r="M712" s="42" t="s">
        <v>2820</v>
      </c>
      <c r="P712" t="s">
        <v>24</v>
      </c>
      <c r="Q712" t="s">
        <v>510</v>
      </c>
    </row>
    <row r="713" spans="1:17" ht="15" customHeight="1" x14ac:dyDescent="0.25">
      <c r="A713" s="3" t="s">
        <v>2136</v>
      </c>
      <c r="B713" s="4" t="s">
        <v>511</v>
      </c>
      <c r="C713" t="s">
        <v>1266</v>
      </c>
      <c r="D713">
        <v>1</v>
      </c>
      <c r="E713" t="s">
        <v>974</v>
      </c>
      <c r="F713" t="s">
        <v>975</v>
      </c>
      <c r="G713" t="s">
        <v>180</v>
      </c>
      <c r="H713" s="1" t="s">
        <v>976</v>
      </c>
      <c r="I713" s="1">
        <v>270</v>
      </c>
      <c r="J713" s="20">
        <v>3</v>
      </c>
      <c r="K713" s="1">
        <v>40</v>
      </c>
      <c r="L713" s="1">
        <v>120</v>
      </c>
      <c r="M713" s="42" t="s">
        <v>2820</v>
      </c>
      <c r="P713" t="s">
        <v>25</v>
      </c>
      <c r="Q713" t="s">
        <v>511</v>
      </c>
    </row>
    <row r="714" spans="1:17" ht="15" customHeight="1" x14ac:dyDescent="0.25">
      <c r="A714" s="3" t="s">
        <v>2137</v>
      </c>
      <c r="B714" s="4" t="s">
        <v>512</v>
      </c>
      <c r="C714" t="s">
        <v>1266</v>
      </c>
      <c r="D714">
        <v>1</v>
      </c>
      <c r="E714" t="s">
        <v>974</v>
      </c>
      <c r="F714" t="s">
        <v>975</v>
      </c>
      <c r="G714" t="s">
        <v>180</v>
      </c>
      <c r="H714" s="1" t="s">
        <v>976</v>
      </c>
      <c r="I714" s="1">
        <v>270</v>
      </c>
      <c r="J714" s="20">
        <v>10</v>
      </c>
      <c r="K714" s="1">
        <v>36.363636</v>
      </c>
      <c r="L714" s="1">
        <v>363.64</v>
      </c>
      <c r="M714" s="42" t="s">
        <v>2820</v>
      </c>
      <c r="P714" t="s">
        <v>23</v>
      </c>
      <c r="Q714" t="s">
        <v>512</v>
      </c>
    </row>
    <row r="715" spans="1:17" ht="15" customHeight="1" x14ac:dyDescent="0.25">
      <c r="A715" s="3" t="s">
        <v>2138</v>
      </c>
      <c r="B715" s="4" t="s">
        <v>513</v>
      </c>
      <c r="C715" t="s">
        <v>1266</v>
      </c>
      <c r="D715">
        <v>1</v>
      </c>
      <c r="E715" t="s">
        <v>974</v>
      </c>
      <c r="F715" t="s">
        <v>975</v>
      </c>
      <c r="G715" t="s">
        <v>180</v>
      </c>
      <c r="H715" s="1" t="s">
        <v>976</v>
      </c>
      <c r="I715" s="1">
        <v>270</v>
      </c>
      <c r="J715" s="20">
        <v>4</v>
      </c>
      <c r="K715" s="1">
        <v>40</v>
      </c>
      <c r="L715" s="1">
        <v>160</v>
      </c>
      <c r="M715" s="42" t="s">
        <v>2820</v>
      </c>
      <c r="P715" t="s">
        <v>22</v>
      </c>
      <c r="Q715" t="s">
        <v>513</v>
      </c>
    </row>
    <row r="716" spans="1:17" ht="15" customHeight="1" x14ac:dyDescent="0.25">
      <c r="A716" s="3" t="s">
        <v>2139</v>
      </c>
      <c r="B716" s="4" t="s">
        <v>514</v>
      </c>
      <c r="C716" t="s">
        <v>1266</v>
      </c>
      <c r="D716">
        <v>1</v>
      </c>
      <c r="E716" t="s">
        <v>974</v>
      </c>
      <c r="F716" t="s">
        <v>975</v>
      </c>
      <c r="G716" t="s">
        <v>180</v>
      </c>
      <c r="H716" s="1" t="s">
        <v>976</v>
      </c>
      <c r="I716" s="1">
        <v>270</v>
      </c>
      <c r="J716" s="20">
        <v>3</v>
      </c>
      <c r="K716" s="1">
        <v>40</v>
      </c>
      <c r="L716" s="1">
        <v>120</v>
      </c>
      <c r="M716" s="42" t="s">
        <v>2820</v>
      </c>
      <c r="P716" t="s">
        <v>21</v>
      </c>
      <c r="Q716" t="s">
        <v>514</v>
      </c>
    </row>
    <row r="717" spans="1:17" ht="15" customHeight="1" x14ac:dyDescent="0.25">
      <c r="A717" s="3" t="s">
        <v>2140</v>
      </c>
      <c r="B717" s="4" t="s">
        <v>515</v>
      </c>
      <c r="C717" t="s">
        <v>1266</v>
      </c>
      <c r="D717">
        <v>1</v>
      </c>
      <c r="E717" t="s">
        <v>974</v>
      </c>
      <c r="F717" t="s">
        <v>975</v>
      </c>
      <c r="G717" t="s">
        <v>180</v>
      </c>
      <c r="H717" s="1" t="s">
        <v>976</v>
      </c>
      <c r="I717" s="1">
        <v>270</v>
      </c>
      <c r="J717" s="20">
        <v>2</v>
      </c>
      <c r="K717" s="1">
        <v>40</v>
      </c>
      <c r="L717" s="1">
        <v>80</v>
      </c>
      <c r="M717" s="42" t="s">
        <v>2820</v>
      </c>
      <c r="Q717" t="s">
        <v>515</v>
      </c>
    </row>
    <row r="718" spans="1:17" ht="15" customHeight="1" x14ac:dyDescent="0.25">
      <c r="A718" s="3" t="s">
        <v>2141</v>
      </c>
      <c r="B718" s="4" t="s">
        <v>516</v>
      </c>
      <c r="C718" t="s">
        <v>1266</v>
      </c>
      <c r="D718">
        <v>1</v>
      </c>
      <c r="E718" t="s">
        <v>974</v>
      </c>
      <c r="F718" t="s">
        <v>975</v>
      </c>
      <c r="G718" t="s">
        <v>180</v>
      </c>
      <c r="H718" s="1" t="s">
        <v>976</v>
      </c>
      <c r="I718" s="1">
        <v>270</v>
      </c>
      <c r="J718" s="20">
        <v>0</v>
      </c>
      <c r="K718" s="1">
        <v>33</v>
      </c>
      <c r="L718" s="1">
        <v>0</v>
      </c>
      <c r="M718" s="42" t="s">
        <v>2820</v>
      </c>
      <c r="P718" t="s">
        <v>24</v>
      </c>
      <c r="Q718" t="s">
        <v>516</v>
      </c>
    </row>
    <row r="719" spans="1:17" ht="15" customHeight="1" x14ac:dyDescent="0.25">
      <c r="A719" s="3" t="s">
        <v>2142</v>
      </c>
      <c r="B719" s="4" t="s">
        <v>517</v>
      </c>
      <c r="C719" t="s">
        <v>1266</v>
      </c>
      <c r="D719">
        <v>1</v>
      </c>
      <c r="E719" t="s">
        <v>974</v>
      </c>
      <c r="F719" t="s">
        <v>975</v>
      </c>
      <c r="G719" t="s">
        <v>180</v>
      </c>
      <c r="H719" s="1" t="s">
        <v>976</v>
      </c>
      <c r="I719" s="1">
        <v>270</v>
      </c>
      <c r="J719" s="20">
        <v>0</v>
      </c>
      <c r="K719" s="1">
        <v>0</v>
      </c>
      <c r="L719" s="1">
        <v>0</v>
      </c>
      <c r="M719" s="42" t="s">
        <v>2820</v>
      </c>
      <c r="P719" t="s">
        <v>25</v>
      </c>
      <c r="Q719" t="s">
        <v>517</v>
      </c>
    </row>
    <row r="720" spans="1:17" ht="15" customHeight="1" x14ac:dyDescent="0.25">
      <c r="A720" s="3" t="s">
        <v>2143</v>
      </c>
      <c r="B720" s="4" t="s">
        <v>518</v>
      </c>
      <c r="C720" t="s">
        <v>1266</v>
      </c>
      <c r="D720">
        <v>1</v>
      </c>
      <c r="E720" t="s">
        <v>974</v>
      </c>
      <c r="F720" t="s">
        <v>975</v>
      </c>
      <c r="G720" t="s">
        <v>180</v>
      </c>
      <c r="H720" s="1" t="s">
        <v>976</v>
      </c>
      <c r="I720" s="1">
        <v>270</v>
      </c>
      <c r="J720" s="20">
        <v>1</v>
      </c>
      <c r="K720" s="1">
        <v>33</v>
      </c>
      <c r="L720" s="1">
        <v>33</v>
      </c>
      <c r="M720" s="42" t="s">
        <v>2820</v>
      </c>
      <c r="P720" t="s">
        <v>23</v>
      </c>
      <c r="Q720" t="s">
        <v>518</v>
      </c>
    </row>
    <row r="721" spans="1:17" ht="15" customHeight="1" x14ac:dyDescent="0.25">
      <c r="A721" s="3" t="s">
        <v>2144</v>
      </c>
      <c r="B721" s="4" t="s">
        <v>519</v>
      </c>
      <c r="C721" t="s">
        <v>1266</v>
      </c>
      <c r="D721">
        <v>1</v>
      </c>
      <c r="E721" t="s">
        <v>974</v>
      </c>
      <c r="F721" t="s">
        <v>975</v>
      </c>
      <c r="G721" t="s">
        <v>180</v>
      </c>
      <c r="H721" s="1" t="s">
        <v>976</v>
      </c>
      <c r="I721" s="1">
        <v>270</v>
      </c>
      <c r="J721" s="20">
        <v>2</v>
      </c>
      <c r="K721" s="1">
        <v>33</v>
      </c>
      <c r="L721" s="1">
        <v>66</v>
      </c>
      <c r="M721" s="42" t="s">
        <v>2820</v>
      </c>
      <c r="P721" t="s">
        <v>22</v>
      </c>
      <c r="Q721" t="s">
        <v>519</v>
      </c>
    </row>
    <row r="722" spans="1:17" ht="15" customHeight="1" x14ac:dyDescent="0.25">
      <c r="A722" s="3" t="s">
        <v>2145</v>
      </c>
      <c r="B722" s="4" t="s">
        <v>520</v>
      </c>
      <c r="C722" t="s">
        <v>1266</v>
      </c>
      <c r="D722">
        <v>1</v>
      </c>
      <c r="E722" t="s">
        <v>974</v>
      </c>
      <c r="F722" t="s">
        <v>975</v>
      </c>
      <c r="G722" t="s">
        <v>180</v>
      </c>
      <c r="H722" s="1" t="s">
        <v>976</v>
      </c>
      <c r="I722" s="1">
        <v>270</v>
      </c>
      <c r="J722" s="20">
        <v>3</v>
      </c>
      <c r="K722" s="1">
        <v>45</v>
      </c>
      <c r="L722" s="1">
        <v>135</v>
      </c>
      <c r="M722" s="42" t="s">
        <v>2820</v>
      </c>
      <c r="P722" t="s">
        <v>24</v>
      </c>
      <c r="Q722" t="s">
        <v>520</v>
      </c>
    </row>
    <row r="723" spans="1:17" ht="15" customHeight="1" x14ac:dyDescent="0.25">
      <c r="A723" s="3" t="s">
        <v>2146</v>
      </c>
      <c r="B723" s="4" t="s">
        <v>521</v>
      </c>
      <c r="C723" t="s">
        <v>1266</v>
      </c>
      <c r="D723">
        <v>1</v>
      </c>
      <c r="E723" t="s">
        <v>974</v>
      </c>
      <c r="F723" t="s">
        <v>975</v>
      </c>
      <c r="G723" t="s">
        <v>180</v>
      </c>
      <c r="H723" s="1" t="s">
        <v>976</v>
      </c>
      <c r="I723" s="1">
        <v>270</v>
      </c>
      <c r="J723" s="20">
        <v>2</v>
      </c>
      <c r="K723" s="1">
        <v>45</v>
      </c>
      <c r="L723" s="1">
        <v>90</v>
      </c>
      <c r="M723" s="42" t="s">
        <v>2820</v>
      </c>
      <c r="P723" t="s">
        <v>25</v>
      </c>
      <c r="Q723" t="s">
        <v>521</v>
      </c>
    </row>
    <row r="724" spans="1:17" ht="15" customHeight="1" x14ac:dyDescent="0.25">
      <c r="A724" s="3" t="s">
        <v>2147</v>
      </c>
      <c r="B724" s="4" t="s">
        <v>522</v>
      </c>
      <c r="C724" t="s">
        <v>1266</v>
      </c>
      <c r="D724">
        <v>1</v>
      </c>
      <c r="E724" t="s">
        <v>974</v>
      </c>
      <c r="F724" t="s">
        <v>975</v>
      </c>
      <c r="G724" t="s">
        <v>180</v>
      </c>
      <c r="H724" s="1" t="s">
        <v>976</v>
      </c>
      <c r="I724" s="1">
        <v>270</v>
      </c>
      <c r="J724" s="20">
        <v>9</v>
      </c>
      <c r="K724" s="1">
        <v>45</v>
      </c>
      <c r="L724" s="1">
        <v>405</v>
      </c>
      <c r="M724" s="42" t="s">
        <v>2820</v>
      </c>
      <c r="P724" t="s">
        <v>23</v>
      </c>
      <c r="Q724" t="s">
        <v>522</v>
      </c>
    </row>
    <row r="725" spans="1:17" ht="15" customHeight="1" x14ac:dyDescent="0.25">
      <c r="A725" s="3" t="s">
        <v>2148</v>
      </c>
      <c r="B725" s="4" t="s">
        <v>523</v>
      </c>
      <c r="C725" t="s">
        <v>1266</v>
      </c>
      <c r="D725">
        <v>1</v>
      </c>
      <c r="E725" t="s">
        <v>974</v>
      </c>
      <c r="F725" t="s">
        <v>975</v>
      </c>
      <c r="G725" t="s">
        <v>180</v>
      </c>
      <c r="H725" s="1" t="s">
        <v>976</v>
      </c>
      <c r="I725" s="1">
        <v>270</v>
      </c>
      <c r="J725" s="20">
        <v>4</v>
      </c>
      <c r="K725" s="1">
        <v>39</v>
      </c>
      <c r="L725" s="1">
        <v>156</v>
      </c>
      <c r="M725" s="42" t="s">
        <v>2820</v>
      </c>
      <c r="P725" t="s">
        <v>22</v>
      </c>
      <c r="Q725" t="s">
        <v>523</v>
      </c>
    </row>
    <row r="726" spans="1:17" ht="15" customHeight="1" x14ac:dyDescent="0.25">
      <c r="A726" s="3" t="s">
        <v>2149</v>
      </c>
      <c r="B726" s="4" t="s">
        <v>524</v>
      </c>
      <c r="C726" t="s">
        <v>1266</v>
      </c>
      <c r="D726">
        <v>1</v>
      </c>
      <c r="E726" t="s">
        <v>974</v>
      </c>
      <c r="F726" t="s">
        <v>975</v>
      </c>
      <c r="G726" t="s">
        <v>180</v>
      </c>
      <c r="H726" s="1" t="s">
        <v>976</v>
      </c>
      <c r="I726" s="1">
        <v>270</v>
      </c>
      <c r="J726" s="20">
        <v>2</v>
      </c>
      <c r="K726" s="1">
        <v>45</v>
      </c>
      <c r="L726" s="1">
        <v>90</v>
      </c>
      <c r="M726" s="42" t="s">
        <v>2820</v>
      </c>
      <c r="P726" t="s">
        <v>21</v>
      </c>
      <c r="Q726" t="s">
        <v>524</v>
      </c>
    </row>
    <row r="727" spans="1:17" ht="15" customHeight="1" x14ac:dyDescent="0.25">
      <c r="A727" s="3" t="s">
        <v>2150</v>
      </c>
      <c r="B727" s="4" t="s">
        <v>525</v>
      </c>
      <c r="C727" t="s">
        <v>1266</v>
      </c>
      <c r="D727">
        <v>1</v>
      </c>
      <c r="E727" t="s">
        <v>974</v>
      </c>
      <c r="F727" t="s">
        <v>975</v>
      </c>
      <c r="G727" t="s">
        <v>180</v>
      </c>
      <c r="H727" s="1" t="s">
        <v>976</v>
      </c>
      <c r="I727" s="1">
        <v>270</v>
      </c>
      <c r="J727" s="20">
        <v>1</v>
      </c>
      <c r="K727" s="1">
        <v>45</v>
      </c>
      <c r="L727" s="1">
        <v>45</v>
      </c>
      <c r="M727" s="42" t="s">
        <v>2820</v>
      </c>
      <c r="Q727" t="s">
        <v>525</v>
      </c>
    </row>
    <row r="728" spans="1:17" ht="15" customHeight="1" x14ac:dyDescent="0.25">
      <c r="A728" s="3" t="s">
        <v>1336</v>
      </c>
      <c r="B728" s="4" t="s">
        <v>2825</v>
      </c>
      <c r="C728" t="s">
        <v>1266</v>
      </c>
      <c r="D728">
        <v>1</v>
      </c>
      <c r="E728" t="s">
        <v>974</v>
      </c>
      <c r="F728" t="s">
        <v>975</v>
      </c>
      <c r="G728" t="s">
        <v>180</v>
      </c>
      <c r="H728" s="1" t="s">
        <v>976</v>
      </c>
      <c r="I728" s="1">
        <v>230</v>
      </c>
      <c r="J728" s="20">
        <v>0</v>
      </c>
      <c r="K728" s="1">
        <v>35.15</v>
      </c>
      <c r="L728" s="1">
        <v>0</v>
      </c>
      <c r="M728" s="42" t="s">
        <v>2820</v>
      </c>
      <c r="O728" s="2" t="s">
        <v>2824</v>
      </c>
      <c r="P728" t="s">
        <v>24</v>
      </c>
      <c r="Q728" t="s">
        <v>806</v>
      </c>
    </row>
    <row r="729" spans="1:17" ht="15" customHeight="1" x14ac:dyDescent="0.25">
      <c r="A729" s="3" t="s">
        <v>1337</v>
      </c>
      <c r="B729" s="4" t="s">
        <v>2825</v>
      </c>
      <c r="C729" t="s">
        <v>1266</v>
      </c>
      <c r="D729">
        <v>1</v>
      </c>
      <c r="E729" t="s">
        <v>974</v>
      </c>
      <c r="F729" t="s">
        <v>975</v>
      </c>
      <c r="G729" t="s">
        <v>180</v>
      </c>
      <c r="H729" s="1" t="s">
        <v>976</v>
      </c>
      <c r="I729" s="1">
        <v>230</v>
      </c>
      <c r="J729" s="20">
        <v>0</v>
      </c>
      <c r="K729" s="1">
        <v>35.15</v>
      </c>
      <c r="L729" s="1">
        <v>0</v>
      </c>
      <c r="M729" s="42" t="s">
        <v>2820</v>
      </c>
      <c r="O729" s="2" t="s">
        <v>2824</v>
      </c>
      <c r="P729" t="s">
        <v>25</v>
      </c>
      <c r="Q729" t="s">
        <v>806</v>
      </c>
    </row>
    <row r="730" spans="1:17" ht="15" customHeight="1" x14ac:dyDescent="0.25">
      <c r="A730" s="3" t="s">
        <v>1338</v>
      </c>
      <c r="B730" s="4" t="s">
        <v>2825</v>
      </c>
      <c r="C730" t="s">
        <v>1266</v>
      </c>
      <c r="D730">
        <v>1</v>
      </c>
      <c r="E730" t="s">
        <v>974</v>
      </c>
      <c r="F730" t="s">
        <v>975</v>
      </c>
      <c r="G730" t="s">
        <v>180</v>
      </c>
      <c r="H730" s="1" t="s">
        <v>976</v>
      </c>
      <c r="I730" s="1">
        <v>230</v>
      </c>
      <c r="J730" s="20">
        <v>0</v>
      </c>
      <c r="K730" s="1">
        <v>35.15</v>
      </c>
      <c r="L730" s="1">
        <v>0</v>
      </c>
      <c r="M730" s="42" t="s">
        <v>2820</v>
      </c>
      <c r="O730" s="2" t="s">
        <v>2824</v>
      </c>
      <c r="P730" t="s">
        <v>23</v>
      </c>
      <c r="Q730" t="s">
        <v>806</v>
      </c>
    </row>
    <row r="731" spans="1:17" ht="15" customHeight="1" x14ac:dyDescent="0.25">
      <c r="A731" s="3" t="s">
        <v>1339</v>
      </c>
      <c r="B731" s="4" t="s">
        <v>2825</v>
      </c>
      <c r="C731" t="s">
        <v>1266</v>
      </c>
      <c r="D731">
        <v>1</v>
      </c>
      <c r="E731" t="s">
        <v>974</v>
      </c>
      <c r="F731" t="s">
        <v>975</v>
      </c>
      <c r="G731" t="s">
        <v>180</v>
      </c>
      <c r="H731" s="1" t="s">
        <v>976</v>
      </c>
      <c r="I731" s="1">
        <v>230</v>
      </c>
      <c r="J731" s="20">
        <v>0</v>
      </c>
      <c r="K731" s="1">
        <v>35.15</v>
      </c>
      <c r="L731" s="1">
        <v>0</v>
      </c>
      <c r="M731" s="42" t="s">
        <v>2820</v>
      </c>
      <c r="O731" s="2" t="s">
        <v>2824</v>
      </c>
      <c r="P731" t="s">
        <v>22</v>
      </c>
      <c r="Q731" t="s">
        <v>806</v>
      </c>
    </row>
    <row r="732" spans="1:17" ht="15" customHeight="1" x14ac:dyDescent="0.25">
      <c r="A732" s="3" t="s">
        <v>1340</v>
      </c>
      <c r="B732" s="4" t="s">
        <v>2825</v>
      </c>
      <c r="C732" t="s">
        <v>1266</v>
      </c>
      <c r="D732">
        <v>1</v>
      </c>
      <c r="E732" t="s">
        <v>974</v>
      </c>
      <c r="F732" t="s">
        <v>975</v>
      </c>
      <c r="G732" t="s">
        <v>180</v>
      </c>
      <c r="H732" s="1" t="s">
        <v>976</v>
      </c>
      <c r="I732" s="1">
        <v>230</v>
      </c>
      <c r="J732" s="20">
        <v>0</v>
      </c>
      <c r="K732" s="1">
        <v>35.15</v>
      </c>
      <c r="L732" s="1">
        <v>0</v>
      </c>
      <c r="M732" s="42" t="s">
        <v>2820</v>
      </c>
      <c r="O732" s="2" t="s">
        <v>2824</v>
      </c>
      <c r="P732" t="s">
        <v>21</v>
      </c>
      <c r="Q732" t="s">
        <v>806</v>
      </c>
    </row>
    <row r="733" spans="1:17" ht="15" customHeight="1" x14ac:dyDescent="0.25">
      <c r="A733" s="3" t="s">
        <v>1341</v>
      </c>
      <c r="B733" s="4" t="s">
        <v>2825</v>
      </c>
      <c r="C733" t="s">
        <v>1266</v>
      </c>
      <c r="D733">
        <v>1</v>
      </c>
      <c r="E733" t="s">
        <v>974</v>
      </c>
      <c r="F733" t="s">
        <v>975</v>
      </c>
      <c r="G733" t="s">
        <v>180</v>
      </c>
      <c r="H733" s="1" t="s">
        <v>976</v>
      </c>
      <c r="I733" s="1">
        <v>230</v>
      </c>
      <c r="J733" s="20">
        <v>1</v>
      </c>
      <c r="K733" s="1">
        <v>0</v>
      </c>
      <c r="L733" s="1">
        <v>0</v>
      </c>
      <c r="M733" s="42" t="s">
        <v>2820</v>
      </c>
      <c r="O733" s="2" t="s">
        <v>2824</v>
      </c>
      <c r="Q733" t="s">
        <v>806</v>
      </c>
    </row>
    <row r="734" spans="1:17" ht="15" customHeight="1" x14ac:dyDescent="0.25">
      <c r="A734" s="3" t="s">
        <v>2227</v>
      </c>
      <c r="B734" s="4" t="s">
        <v>2826</v>
      </c>
      <c r="C734" t="s">
        <v>1266</v>
      </c>
      <c r="D734">
        <v>1</v>
      </c>
      <c r="E734" t="s">
        <v>974</v>
      </c>
      <c r="F734" t="s">
        <v>975</v>
      </c>
      <c r="G734" t="s">
        <v>180</v>
      </c>
      <c r="H734" s="1" t="s">
        <v>976</v>
      </c>
      <c r="I734" s="1">
        <v>340</v>
      </c>
      <c r="J734" s="20">
        <v>2</v>
      </c>
      <c r="K734" s="1">
        <v>30</v>
      </c>
      <c r="L734" s="1">
        <v>60</v>
      </c>
      <c r="M734" s="42" t="s">
        <v>2820</v>
      </c>
      <c r="O734" s="2" t="s">
        <v>2472</v>
      </c>
      <c r="P734" t="s">
        <v>23</v>
      </c>
      <c r="Q734" t="s">
        <v>807</v>
      </c>
    </row>
    <row r="735" spans="1:17" ht="15" customHeight="1" x14ac:dyDescent="0.25">
      <c r="A735" s="41" t="s">
        <v>2227</v>
      </c>
      <c r="B735" s="3" t="s">
        <v>2826</v>
      </c>
      <c r="C735" s="41" t="s">
        <v>1266</v>
      </c>
      <c r="D735">
        <v>3</v>
      </c>
      <c r="E735" t="s">
        <v>1179</v>
      </c>
      <c r="F735" t="s">
        <v>1180</v>
      </c>
      <c r="G735" t="s">
        <v>180</v>
      </c>
      <c r="H735" s="1" t="s">
        <v>976</v>
      </c>
      <c r="I735" s="1">
        <v>340</v>
      </c>
      <c r="J735" s="20">
        <v>0</v>
      </c>
      <c r="K735" s="1">
        <v>30</v>
      </c>
      <c r="L735" s="1">
        <v>0</v>
      </c>
      <c r="M735" s="42" t="s">
        <v>2820</v>
      </c>
      <c r="O735" s="2" t="s">
        <v>2472</v>
      </c>
      <c r="P735" t="s">
        <v>23</v>
      </c>
      <c r="Q735" t="s">
        <v>807</v>
      </c>
    </row>
    <row r="736" spans="1:17" ht="15" customHeight="1" x14ac:dyDescent="0.25">
      <c r="A736" s="3" t="s">
        <v>2228</v>
      </c>
      <c r="B736" s="4" t="s">
        <v>2826</v>
      </c>
      <c r="C736" t="s">
        <v>1266</v>
      </c>
      <c r="D736">
        <v>1</v>
      </c>
      <c r="E736" t="s">
        <v>974</v>
      </c>
      <c r="F736" t="s">
        <v>975</v>
      </c>
      <c r="G736" t="s">
        <v>180</v>
      </c>
      <c r="H736" s="1" t="s">
        <v>976</v>
      </c>
      <c r="I736" s="1">
        <v>340</v>
      </c>
      <c r="J736" s="20">
        <v>1</v>
      </c>
      <c r="K736" s="1">
        <v>30</v>
      </c>
      <c r="L736" s="1">
        <v>30</v>
      </c>
      <c r="M736" s="42" t="s">
        <v>2820</v>
      </c>
      <c r="O736" s="2" t="s">
        <v>2508</v>
      </c>
      <c r="P736" t="s">
        <v>23</v>
      </c>
      <c r="Q736" t="s">
        <v>808</v>
      </c>
    </row>
    <row r="737" spans="1:17" ht="15" customHeight="1" x14ac:dyDescent="0.25">
      <c r="A737" s="41" t="s">
        <v>2228</v>
      </c>
      <c r="B737" s="3" t="s">
        <v>2826</v>
      </c>
      <c r="C737" s="41" t="s">
        <v>1266</v>
      </c>
      <c r="D737">
        <v>3</v>
      </c>
      <c r="E737" t="s">
        <v>1179</v>
      </c>
      <c r="F737" t="s">
        <v>1180</v>
      </c>
      <c r="G737" t="s">
        <v>180</v>
      </c>
      <c r="H737" s="1" t="s">
        <v>976</v>
      </c>
      <c r="I737" s="1">
        <v>340</v>
      </c>
      <c r="J737" s="20">
        <v>0</v>
      </c>
      <c r="K737" s="1">
        <v>30</v>
      </c>
      <c r="L737" s="1">
        <v>0</v>
      </c>
      <c r="M737" s="42" t="s">
        <v>2820</v>
      </c>
      <c r="O737" s="2" t="s">
        <v>2508</v>
      </c>
      <c r="P737" t="s">
        <v>23</v>
      </c>
      <c r="Q737" t="s">
        <v>808</v>
      </c>
    </row>
    <row r="738" spans="1:17" ht="15" customHeight="1" x14ac:dyDescent="0.25">
      <c r="A738" s="3" t="s">
        <v>2229</v>
      </c>
      <c r="B738" s="4" t="s">
        <v>2826</v>
      </c>
      <c r="C738" t="s">
        <v>1266</v>
      </c>
      <c r="D738">
        <v>1</v>
      </c>
      <c r="E738" t="s">
        <v>974</v>
      </c>
      <c r="F738" t="s">
        <v>975</v>
      </c>
      <c r="G738" t="s">
        <v>180</v>
      </c>
      <c r="H738" s="1" t="s">
        <v>976</v>
      </c>
      <c r="I738" s="1">
        <v>340</v>
      </c>
      <c r="J738" s="20">
        <v>3</v>
      </c>
      <c r="K738" s="1">
        <v>30</v>
      </c>
      <c r="L738" s="1">
        <v>90</v>
      </c>
      <c r="M738" s="42" t="s">
        <v>2820</v>
      </c>
      <c r="O738" s="2" t="s">
        <v>2827</v>
      </c>
      <c r="P738" t="s">
        <v>23</v>
      </c>
      <c r="Q738" t="s">
        <v>809</v>
      </c>
    </row>
    <row r="739" spans="1:17" ht="15" customHeight="1" x14ac:dyDescent="0.25">
      <c r="A739" s="41" t="s">
        <v>2229</v>
      </c>
      <c r="B739" s="3" t="s">
        <v>2826</v>
      </c>
      <c r="C739" s="41" t="s">
        <v>1266</v>
      </c>
      <c r="D739">
        <v>3</v>
      </c>
      <c r="E739" t="s">
        <v>1179</v>
      </c>
      <c r="F739" t="s">
        <v>1180</v>
      </c>
      <c r="G739" t="s">
        <v>180</v>
      </c>
      <c r="H739" s="1" t="s">
        <v>976</v>
      </c>
      <c r="I739" s="1">
        <v>340</v>
      </c>
      <c r="J739" s="20">
        <v>0</v>
      </c>
      <c r="K739" s="1">
        <v>30</v>
      </c>
      <c r="L739" s="1">
        <v>0</v>
      </c>
      <c r="M739" s="42" t="s">
        <v>2820</v>
      </c>
      <c r="O739" s="2" t="s">
        <v>2827</v>
      </c>
      <c r="P739" t="s">
        <v>23</v>
      </c>
      <c r="Q739" t="s">
        <v>809</v>
      </c>
    </row>
    <row r="740" spans="1:17" ht="15" customHeight="1" x14ac:dyDescent="0.25">
      <c r="A740" s="3" t="s">
        <v>1342</v>
      </c>
      <c r="B740" s="4" t="s">
        <v>2823</v>
      </c>
      <c r="C740" t="s">
        <v>1266</v>
      </c>
      <c r="D740">
        <v>1</v>
      </c>
      <c r="E740" t="s">
        <v>974</v>
      </c>
      <c r="F740" t="s">
        <v>975</v>
      </c>
      <c r="G740" t="s">
        <v>180</v>
      </c>
      <c r="H740" s="1" t="s">
        <v>976</v>
      </c>
      <c r="I740" s="1">
        <v>230</v>
      </c>
      <c r="J740" s="20">
        <v>5</v>
      </c>
      <c r="K740" s="1">
        <v>35.15</v>
      </c>
      <c r="L740" s="1">
        <v>175.75</v>
      </c>
      <c r="M740" s="42" t="s">
        <v>2820</v>
      </c>
      <c r="O740" s="2" t="s">
        <v>2447</v>
      </c>
      <c r="P740" t="s">
        <v>24</v>
      </c>
      <c r="Q740" t="s">
        <v>810</v>
      </c>
    </row>
    <row r="741" spans="1:17" ht="15" customHeight="1" x14ac:dyDescent="0.25">
      <c r="A741" s="3" t="s">
        <v>1343</v>
      </c>
      <c r="B741" s="4" t="s">
        <v>2823</v>
      </c>
      <c r="C741" t="s">
        <v>1266</v>
      </c>
      <c r="D741">
        <v>1</v>
      </c>
      <c r="E741" t="s">
        <v>974</v>
      </c>
      <c r="F741" t="s">
        <v>975</v>
      </c>
      <c r="G741" t="s">
        <v>180</v>
      </c>
      <c r="H741" s="1" t="s">
        <v>976</v>
      </c>
      <c r="I741" s="1">
        <v>230</v>
      </c>
      <c r="J741" s="20">
        <v>2</v>
      </c>
      <c r="K741" s="1">
        <v>35.15</v>
      </c>
      <c r="L741" s="1">
        <v>70.3</v>
      </c>
      <c r="M741" s="42" t="s">
        <v>2820</v>
      </c>
      <c r="O741" s="2" t="s">
        <v>2447</v>
      </c>
      <c r="P741" t="s">
        <v>25</v>
      </c>
      <c r="Q741" t="s">
        <v>810</v>
      </c>
    </row>
    <row r="742" spans="1:17" ht="15" customHeight="1" x14ac:dyDescent="0.25">
      <c r="A742" s="3" t="s">
        <v>1344</v>
      </c>
      <c r="B742" s="4" t="s">
        <v>2823</v>
      </c>
      <c r="C742" t="s">
        <v>1266</v>
      </c>
      <c r="D742">
        <v>1</v>
      </c>
      <c r="E742" t="s">
        <v>974</v>
      </c>
      <c r="F742" t="s">
        <v>975</v>
      </c>
      <c r="G742" t="s">
        <v>180</v>
      </c>
      <c r="H742" s="1" t="s">
        <v>976</v>
      </c>
      <c r="I742" s="1">
        <v>230</v>
      </c>
      <c r="J742" s="20">
        <v>6</v>
      </c>
      <c r="K742" s="1">
        <v>35.15</v>
      </c>
      <c r="L742" s="1">
        <v>210.9</v>
      </c>
      <c r="M742" s="42" t="s">
        <v>2820</v>
      </c>
      <c r="O742" s="2" t="s">
        <v>2447</v>
      </c>
      <c r="P742" t="s">
        <v>23</v>
      </c>
      <c r="Q742" t="s">
        <v>810</v>
      </c>
    </row>
    <row r="743" spans="1:17" ht="15" customHeight="1" x14ac:dyDescent="0.25">
      <c r="A743" s="3" t="s">
        <v>1345</v>
      </c>
      <c r="B743" s="4" t="s">
        <v>2823</v>
      </c>
      <c r="C743" t="s">
        <v>1266</v>
      </c>
      <c r="D743">
        <v>1</v>
      </c>
      <c r="E743" t="s">
        <v>974</v>
      </c>
      <c r="F743" t="s">
        <v>975</v>
      </c>
      <c r="G743" t="s">
        <v>180</v>
      </c>
      <c r="H743" s="1" t="s">
        <v>976</v>
      </c>
      <c r="I743" s="1">
        <v>230</v>
      </c>
      <c r="J743" s="20">
        <v>0</v>
      </c>
      <c r="K743" s="1">
        <v>35.15</v>
      </c>
      <c r="L743" s="1">
        <v>0</v>
      </c>
      <c r="M743" s="42" t="s">
        <v>2820</v>
      </c>
      <c r="O743" s="2" t="s">
        <v>2447</v>
      </c>
      <c r="P743" t="s">
        <v>22</v>
      </c>
      <c r="Q743" t="s">
        <v>810</v>
      </c>
    </row>
    <row r="744" spans="1:17" ht="15" customHeight="1" x14ac:dyDescent="0.25">
      <c r="A744" s="3" t="s">
        <v>1346</v>
      </c>
      <c r="B744" s="4" t="s">
        <v>2823</v>
      </c>
      <c r="C744" t="s">
        <v>1266</v>
      </c>
      <c r="D744">
        <v>1</v>
      </c>
      <c r="E744" t="s">
        <v>974</v>
      </c>
      <c r="F744" t="s">
        <v>975</v>
      </c>
      <c r="G744" t="s">
        <v>180</v>
      </c>
      <c r="H744" s="1" t="s">
        <v>976</v>
      </c>
      <c r="I744" s="1">
        <v>230</v>
      </c>
      <c r="J744" s="20">
        <v>0</v>
      </c>
      <c r="K744" s="1">
        <v>35.15</v>
      </c>
      <c r="L744" s="1">
        <v>0</v>
      </c>
      <c r="M744" s="42" t="s">
        <v>2820</v>
      </c>
      <c r="O744" s="2" t="s">
        <v>2447</v>
      </c>
      <c r="P744" t="s">
        <v>21</v>
      </c>
      <c r="Q744" t="s">
        <v>810</v>
      </c>
    </row>
    <row r="745" spans="1:17" ht="15" customHeight="1" x14ac:dyDescent="0.25">
      <c r="A745" s="3" t="s">
        <v>1347</v>
      </c>
      <c r="B745" s="4" t="s">
        <v>2823</v>
      </c>
      <c r="C745" t="s">
        <v>1266</v>
      </c>
      <c r="D745">
        <v>1</v>
      </c>
      <c r="E745" t="s">
        <v>974</v>
      </c>
      <c r="F745" t="s">
        <v>975</v>
      </c>
      <c r="G745" t="s">
        <v>180</v>
      </c>
      <c r="H745" s="1" t="s">
        <v>976</v>
      </c>
      <c r="I745" s="1">
        <v>230</v>
      </c>
      <c r="J745" s="20">
        <v>1</v>
      </c>
      <c r="K745" s="1">
        <v>35.15</v>
      </c>
      <c r="L745" s="1">
        <v>35.15</v>
      </c>
      <c r="M745" s="42" t="s">
        <v>2820</v>
      </c>
      <c r="O745" s="2" t="s">
        <v>2447</v>
      </c>
      <c r="Q745" t="s">
        <v>810</v>
      </c>
    </row>
    <row r="746" spans="1:17" ht="15" customHeight="1" x14ac:dyDescent="0.25">
      <c r="A746" s="3" t="s">
        <v>1348</v>
      </c>
      <c r="B746" s="4" t="s">
        <v>264</v>
      </c>
      <c r="C746" t="s">
        <v>1266</v>
      </c>
      <c r="D746">
        <v>1</v>
      </c>
      <c r="E746" t="s">
        <v>974</v>
      </c>
      <c r="F746" t="s">
        <v>975</v>
      </c>
      <c r="G746" t="s">
        <v>180</v>
      </c>
      <c r="H746" s="1" t="s">
        <v>976</v>
      </c>
      <c r="I746" s="1">
        <v>230</v>
      </c>
      <c r="J746" s="20">
        <v>1</v>
      </c>
      <c r="K746" s="1">
        <v>35.15</v>
      </c>
      <c r="L746" s="1">
        <v>35.15</v>
      </c>
      <c r="M746" s="42" t="s">
        <v>2820</v>
      </c>
      <c r="P746" t="s">
        <v>24</v>
      </c>
      <c r="Q746" t="s">
        <v>264</v>
      </c>
    </row>
    <row r="747" spans="1:17" ht="15" customHeight="1" x14ac:dyDescent="0.25">
      <c r="A747" s="3" t="s">
        <v>1349</v>
      </c>
      <c r="B747" s="4" t="s">
        <v>265</v>
      </c>
      <c r="C747" t="s">
        <v>1266</v>
      </c>
      <c r="D747">
        <v>1</v>
      </c>
      <c r="E747" t="s">
        <v>974</v>
      </c>
      <c r="F747" t="s">
        <v>975</v>
      </c>
      <c r="G747" t="s">
        <v>180</v>
      </c>
      <c r="H747" s="1" t="s">
        <v>976</v>
      </c>
      <c r="I747" s="1">
        <v>230</v>
      </c>
      <c r="J747" s="20">
        <v>0</v>
      </c>
      <c r="K747" s="1">
        <v>0</v>
      </c>
      <c r="L747" s="1">
        <v>0</v>
      </c>
      <c r="M747" s="42" t="s">
        <v>2820</v>
      </c>
      <c r="P747" t="s">
        <v>25</v>
      </c>
      <c r="Q747" t="s">
        <v>265</v>
      </c>
    </row>
    <row r="748" spans="1:17" ht="15" customHeight="1" x14ac:dyDescent="0.25">
      <c r="A748" s="3" t="s">
        <v>1350</v>
      </c>
      <c r="B748" s="4" t="s">
        <v>266</v>
      </c>
      <c r="C748" t="s">
        <v>1266</v>
      </c>
      <c r="D748">
        <v>1</v>
      </c>
      <c r="E748" t="s">
        <v>974</v>
      </c>
      <c r="F748" t="s">
        <v>975</v>
      </c>
      <c r="G748" t="s">
        <v>180</v>
      </c>
      <c r="H748" s="1" t="s">
        <v>976</v>
      </c>
      <c r="I748" s="1">
        <v>230</v>
      </c>
      <c r="J748" s="20">
        <v>0</v>
      </c>
      <c r="K748" s="1">
        <v>35.15</v>
      </c>
      <c r="L748" s="1">
        <v>0</v>
      </c>
      <c r="M748" s="42" t="s">
        <v>2820</v>
      </c>
      <c r="P748" t="s">
        <v>23</v>
      </c>
      <c r="Q748" t="s">
        <v>266</v>
      </c>
    </row>
    <row r="749" spans="1:17" ht="15" customHeight="1" x14ac:dyDescent="0.25">
      <c r="A749" s="3" t="s">
        <v>1351</v>
      </c>
      <c r="B749" s="4" t="s">
        <v>267</v>
      </c>
      <c r="C749" t="s">
        <v>1266</v>
      </c>
      <c r="D749">
        <v>1</v>
      </c>
      <c r="E749" t="s">
        <v>974</v>
      </c>
      <c r="F749" t="s">
        <v>975</v>
      </c>
      <c r="G749" t="s">
        <v>180</v>
      </c>
      <c r="H749" s="1" t="s">
        <v>976</v>
      </c>
      <c r="I749" s="1">
        <v>230</v>
      </c>
      <c r="J749" s="20">
        <v>0</v>
      </c>
      <c r="K749" s="1">
        <v>35.15</v>
      </c>
      <c r="L749" s="1">
        <v>0</v>
      </c>
      <c r="M749" s="42" t="s">
        <v>2820</v>
      </c>
      <c r="P749" t="s">
        <v>22</v>
      </c>
      <c r="Q749" t="s">
        <v>267</v>
      </c>
    </row>
    <row r="750" spans="1:17" ht="15" customHeight="1" x14ac:dyDescent="0.25">
      <c r="A750" s="3" t="s">
        <v>1352</v>
      </c>
      <c r="B750" s="4" t="s">
        <v>268</v>
      </c>
      <c r="C750" t="s">
        <v>1266</v>
      </c>
      <c r="D750">
        <v>1</v>
      </c>
      <c r="E750" t="s">
        <v>974</v>
      </c>
      <c r="F750" t="s">
        <v>975</v>
      </c>
      <c r="G750" t="s">
        <v>180</v>
      </c>
      <c r="H750" s="1" t="s">
        <v>976</v>
      </c>
      <c r="I750" s="1">
        <v>230</v>
      </c>
      <c r="J750" s="20">
        <v>0</v>
      </c>
      <c r="K750" s="1">
        <v>35.15</v>
      </c>
      <c r="L750" s="1">
        <v>0</v>
      </c>
      <c r="M750" s="42" t="s">
        <v>2820</v>
      </c>
      <c r="P750" t="s">
        <v>21</v>
      </c>
      <c r="Q750" t="s">
        <v>268</v>
      </c>
    </row>
    <row r="751" spans="1:17" ht="15" customHeight="1" x14ac:dyDescent="0.25">
      <c r="A751" s="3" t="s">
        <v>1353</v>
      </c>
      <c r="B751" s="4" t="s">
        <v>269</v>
      </c>
      <c r="C751" t="s">
        <v>1266</v>
      </c>
      <c r="D751">
        <v>1</v>
      </c>
      <c r="E751" t="s">
        <v>974</v>
      </c>
      <c r="F751" t="s">
        <v>975</v>
      </c>
      <c r="G751" t="s">
        <v>180</v>
      </c>
      <c r="H751" s="1" t="s">
        <v>976</v>
      </c>
      <c r="I751" s="1">
        <v>230</v>
      </c>
      <c r="J751" s="20">
        <v>0</v>
      </c>
      <c r="K751" s="1">
        <v>0</v>
      </c>
      <c r="L751" s="1">
        <v>0</v>
      </c>
      <c r="M751" s="42" t="s">
        <v>2820</v>
      </c>
      <c r="Q751" t="s">
        <v>269</v>
      </c>
    </row>
    <row r="752" spans="1:17" ht="15" customHeight="1" x14ac:dyDescent="0.25">
      <c r="A752" s="3" t="s">
        <v>1354</v>
      </c>
      <c r="B752" s="4" t="s">
        <v>2829</v>
      </c>
      <c r="C752" t="s">
        <v>1355</v>
      </c>
      <c r="D752">
        <v>1</v>
      </c>
      <c r="E752" t="s">
        <v>974</v>
      </c>
      <c r="F752" t="s">
        <v>975</v>
      </c>
      <c r="G752" t="s">
        <v>976</v>
      </c>
      <c r="H752" s="1" t="s">
        <v>976</v>
      </c>
      <c r="I752" s="1">
        <v>2300</v>
      </c>
      <c r="J752" s="20">
        <v>0</v>
      </c>
      <c r="K752" s="1">
        <v>474.03</v>
      </c>
      <c r="L752" s="1">
        <v>0</v>
      </c>
      <c r="M752" s="42" t="s">
        <v>2828</v>
      </c>
      <c r="O752" s="2" t="s">
        <v>2447</v>
      </c>
      <c r="P752" t="s">
        <v>24</v>
      </c>
      <c r="Q752" t="s">
        <v>811</v>
      </c>
    </row>
    <row r="753" spans="1:17" ht="15" customHeight="1" x14ac:dyDescent="0.25">
      <c r="A753" s="3" t="s">
        <v>1356</v>
      </c>
      <c r="B753" s="4" t="s">
        <v>2829</v>
      </c>
      <c r="C753" t="s">
        <v>1355</v>
      </c>
      <c r="D753">
        <v>1</v>
      </c>
      <c r="E753" t="s">
        <v>974</v>
      </c>
      <c r="F753" t="s">
        <v>975</v>
      </c>
      <c r="G753" t="s">
        <v>180</v>
      </c>
      <c r="H753" s="1" t="s">
        <v>976</v>
      </c>
      <c r="I753" s="1">
        <v>2300</v>
      </c>
      <c r="J753" s="20">
        <v>1</v>
      </c>
      <c r="K753" s="1">
        <v>474.03</v>
      </c>
      <c r="L753" s="1">
        <v>474.03</v>
      </c>
      <c r="M753" s="42" t="s">
        <v>2828</v>
      </c>
      <c r="O753" s="2" t="s">
        <v>2447</v>
      </c>
      <c r="P753" t="s">
        <v>23</v>
      </c>
      <c r="Q753" t="s">
        <v>811</v>
      </c>
    </row>
    <row r="754" spans="1:17" ht="15" customHeight="1" x14ac:dyDescent="0.25">
      <c r="A754" s="3" t="s">
        <v>1357</v>
      </c>
      <c r="B754" s="4" t="s">
        <v>2829</v>
      </c>
      <c r="C754" t="s">
        <v>1355</v>
      </c>
      <c r="D754">
        <v>1</v>
      </c>
      <c r="E754" t="s">
        <v>974</v>
      </c>
      <c r="F754" t="s">
        <v>975</v>
      </c>
      <c r="G754" t="s">
        <v>976</v>
      </c>
      <c r="H754" s="1" t="s">
        <v>976</v>
      </c>
      <c r="I754" s="1">
        <v>2300</v>
      </c>
      <c r="J754" s="20">
        <v>1</v>
      </c>
      <c r="K754" s="1">
        <v>474.03</v>
      </c>
      <c r="L754" s="1">
        <v>474.03</v>
      </c>
      <c r="M754" s="42" t="s">
        <v>2828</v>
      </c>
      <c r="O754" s="2" t="s">
        <v>2447</v>
      </c>
      <c r="P754" t="s">
        <v>22</v>
      </c>
      <c r="Q754" t="s">
        <v>811</v>
      </c>
    </row>
    <row r="755" spans="1:17" ht="15" customHeight="1" x14ac:dyDescent="0.25">
      <c r="A755" s="3" t="s">
        <v>1358</v>
      </c>
      <c r="B755" s="4" t="s">
        <v>2829</v>
      </c>
      <c r="C755" t="s">
        <v>1355</v>
      </c>
      <c r="D755">
        <v>1</v>
      </c>
      <c r="E755" t="s">
        <v>974</v>
      </c>
      <c r="F755" t="s">
        <v>975</v>
      </c>
      <c r="G755" t="s">
        <v>976</v>
      </c>
      <c r="H755" s="1" t="s">
        <v>976</v>
      </c>
      <c r="I755" s="1">
        <v>2300</v>
      </c>
      <c r="J755" s="20">
        <v>1</v>
      </c>
      <c r="K755" s="1">
        <v>474.03</v>
      </c>
      <c r="L755" s="1">
        <v>474.03</v>
      </c>
      <c r="M755" s="42" t="s">
        <v>2828</v>
      </c>
      <c r="O755" s="2" t="s">
        <v>2447</v>
      </c>
      <c r="P755" t="s">
        <v>21</v>
      </c>
      <c r="Q755" t="s">
        <v>811</v>
      </c>
    </row>
    <row r="756" spans="1:17" ht="15" customHeight="1" x14ac:dyDescent="0.25">
      <c r="A756" s="3" t="s">
        <v>1359</v>
      </c>
      <c r="B756" s="4" t="s">
        <v>2829</v>
      </c>
      <c r="C756" t="s">
        <v>1355</v>
      </c>
      <c r="D756">
        <v>1</v>
      </c>
      <c r="E756" t="s">
        <v>974</v>
      </c>
      <c r="F756" t="s">
        <v>975</v>
      </c>
      <c r="G756" t="s">
        <v>976</v>
      </c>
      <c r="H756" s="1" t="s">
        <v>976</v>
      </c>
      <c r="I756" s="1">
        <v>2300</v>
      </c>
      <c r="J756" s="20">
        <v>0</v>
      </c>
      <c r="K756" s="1">
        <v>378.33</v>
      </c>
      <c r="L756" s="1">
        <v>0</v>
      </c>
      <c r="M756" s="42" t="s">
        <v>2828</v>
      </c>
      <c r="O756" s="2" t="s">
        <v>2579</v>
      </c>
      <c r="P756" t="s">
        <v>23</v>
      </c>
      <c r="Q756" t="s">
        <v>812</v>
      </c>
    </row>
    <row r="757" spans="1:17" ht="15" customHeight="1" x14ac:dyDescent="0.25">
      <c r="A757" s="3" t="s">
        <v>1360</v>
      </c>
      <c r="B757" s="4" t="s">
        <v>2829</v>
      </c>
      <c r="C757" t="s">
        <v>1355</v>
      </c>
      <c r="D757">
        <v>1</v>
      </c>
      <c r="E757" t="s">
        <v>974</v>
      </c>
      <c r="F757" t="s">
        <v>975</v>
      </c>
      <c r="G757" t="s">
        <v>976</v>
      </c>
      <c r="H757" s="1" t="s">
        <v>976</v>
      </c>
      <c r="I757" s="1">
        <v>2300</v>
      </c>
      <c r="J757" s="20">
        <v>0</v>
      </c>
      <c r="K757" s="1">
        <v>378.33</v>
      </c>
      <c r="L757" s="1">
        <v>0</v>
      </c>
      <c r="M757" s="42" t="s">
        <v>2828</v>
      </c>
      <c r="O757" s="2" t="s">
        <v>2579</v>
      </c>
      <c r="P757" t="s">
        <v>22</v>
      </c>
      <c r="Q757" t="s">
        <v>812</v>
      </c>
    </row>
    <row r="758" spans="1:17" ht="15" customHeight="1" x14ac:dyDescent="0.25">
      <c r="A758" s="3" t="s">
        <v>1361</v>
      </c>
      <c r="B758" s="4" t="s">
        <v>2829</v>
      </c>
      <c r="C758" t="s">
        <v>1355</v>
      </c>
      <c r="D758">
        <v>1</v>
      </c>
      <c r="E758" t="s">
        <v>974</v>
      </c>
      <c r="F758" t="s">
        <v>975</v>
      </c>
      <c r="G758" t="s">
        <v>976</v>
      </c>
      <c r="H758" s="1" t="s">
        <v>976</v>
      </c>
      <c r="I758" s="1">
        <v>2300</v>
      </c>
      <c r="J758" s="20">
        <v>1</v>
      </c>
      <c r="K758" s="1">
        <v>378.33</v>
      </c>
      <c r="L758" s="1">
        <v>378.33</v>
      </c>
      <c r="M758" s="42" t="s">
        <v>2828</v>
      </c>
      <c r="O758" s="2" t="s">
        <v>2579</v>
      </c>
      <c r="P758" t="s">
        <v>21</v>
      </c>
      <c r="Q758" t="s">
        <v>812</v>
      </c>
    </row>
    <row r="759" spans="1:17" ht="15" customHeight="1" x14ac:dyDescent="0.25">
      <c r="A759" s="3" t="s">
        <v>1362</v>
      </c>
      <c r="B759" s="4" t="s">
        <v>2830</v>
      </c>
      <c r="C759" t="s">
        <v>1355</v>
      </c>
      <c r="D759">
        <v>1</v>
      </c>
      <c r="E759" t="s">
        <v>974</v>
      </c>
      <c r="F759" t="s">
        <v>975</v>
      </c>
      <c r="G759" t="s">
        <v>976</v>
      </c>
      <c r="H759" s="1" t="s">
        <v>976</v>
      </c>
      <c r="I759" s="1">
        <v>2300</v>
      </c>
      <c r="J759" s="20">
        <v>0</v>
      </c>
      <c r="K759" s="1">
        <v>0</v>
      </c>
      <c r="L759" s="1">
        <v>0</v>
      </c>
      <c r="M759" s="42" t="s">
        <v>2828</v>
      </c>
      <c r="O759" s="2" t="s">
        <v>2472</v>
      </c>
      <c r="Q759" t="s">
        <v>813</v>
      </c>
    </row>
    <row r="760" spans="1:17" ht="15" customHeight="1" x14ac:dyDescent="0.25">
      <c r="A760" s="3" t="s">
        <v>1363</v>
      </c>
      <c r="B760" s="4" t="s">
        <v>2829</v>
      </c>
      <c r="C760" t="s">
        <v>1355</v>
      </c>
      <c r="D760">
        <v>1</v>
      </c>
      <c r="E760" t="s">
        <v>974</v>
      </c>
      <c r="F760" t="s">
        <v>975</v>
      </c>
      <c r="G760" t="s">
        <v>976</v>
      </c>
      <c r="H760" s="1" t="s">
        <v>976</v>
      </c>
      <c r="I760" s="1">
        <v>2300</v>
      </c>
      <c r="J760" s="20">
        <v>3</v>
      </c>
      <c r="K760" s="1">
        <v>474.03</v>
      </c>
      <c r="L760" s="1">
        <v>1422.09</v>
      </c>
      <c r="M760" s="42" t="s">
        <v>2828</v>
      </c>
      <c r="O760" s="2" t="s">
        <v>2472</v>
      </c>
      <c r="P760" t="s">
        <v>24</v>
      </c>
      <c r="Q760" t="s">
        <v>814</v>
      </c>
    </row>
    <row r="761" spans="1:17" ht="15" customHeight="1" x14ac:dyDescent="0.25">
      <c r="A761" s="3" t="s">
        <v>1364</v>
      </c>
      <c r="B761" s="4" t="s">
        <v>2829</v>
      </c>
      <c r="C761" t="s">
        <v>1355</v>
      </c>
      <c r="D761">
        <v>1</v>
      </c>
      <c r="E761" t="s">
        <v>974</v>
      </c>
      <c r="F761" t="s">
        <v>975</v>
      </c>
      <c r="G761" t="s">
        <v>976</v>
      </c>
      <c r="H761" s="1" t="s">
        <v>976</v>
      </c>
      <c r="I761" s="1">
        <v>2300</v>
      </c>
      <c r="J761" s="20">
        <v>0</v>
      </c>
      <c r="K761" s="1">
        <v>474.03</v>
      </c>
      <c r="L761" s="1">
        <v>0</v>
      </c>
      <c r="M761" s="42" t="s">
        <v>2828</v>
      </c>
      <c r="O761" s="2" t="s">
        <v>2472</v>
      </c>
      <c r="P761" t="s">
        <v>25</v>
      </c>
      <c r="Q761" t="s">
        <v>814</v>
      </c>
    </row>
    <row r="762" spans="1:17" ht="15" customHeight="1" x14ac:dyDescent="0.25">
      <c r="A762" s="3" t="s">
        <v>1365</v>
      </c>
      <c r="B762" s="4" t="s">
        <v>2829</v>
      </c>
      <c r="C762" t="s">
        <v>1355</v>
      </c>
      <c r="D762">
        <v>1</v>
      </c>
      <c r="E762" t="s">
        <v>974</v>
      </c>
      <c r="F762" t="s">
        <v>975</v>
      </c>
      <c r="G762" t="s">
        <v>976</v>
      </c>
      <c r="H762" s="1" t="s">
        <v>976</v>
      </c>
      <c r="I762" s="1">
        <v>2300</v>
      </c>
      <c r="J762" s="20">
        <v>4</v>
      </c>
      <c r="K762" s="1">
        <v>474.03</v>
      </c>
      <c r="L762" s="1">
        <v>1896.12</v>
      </c>
      <c r="M762" s="42" t="s">
        <v>2828</v>
      </c>
      <c r="O762" s="2" t="s">
        <v>2472</v>
      </c>
      <c r="P762" t="s">
        <v>23</v>
      </c>
      <c r="Q762" t="s">
        <v>814</v>
      </c>
    </row>
    <row r="763" spans="1:17" ht="15" customHeight="1" x14ac:dyDescent="0.25">
      <c r="A763" s="3" t="s">
        <v>1366</v>
      </c>
      <c r="B763" s="4" t="s">
        <v>2829</v>
      </c>
      <c r="C763" t="s">
        <v>1355</v>
      </c>
      <c r="D763">
        <v>1</v>
      </c>
      <c r="E763" t="s">
        <v>974</v>
      </c>
      <c r="F763" t="s">
        <v>975</v>
      </c>
      <c r="G763" t="s">
        <v>976</v>
      </c>
      <c r="H763" s="1" t="s">
        <v>976</v>
      </c>
      <c r="I763" s="1">
        <v>2300</v>
      </c>
      <c r="J763" s="20">
        <v>1</v>
      </c>
      <c r="K763" s="1">
        <v>474.03</v>
      </c>
      <c r="L763" s="1">
        <v>474.03</v>
      </c>
      <c r="M763" s="42" t="s">
        <v>2828</v>
      </c>
      <c r="O763" s="2" t="s">
        <v>2472</v>
      </c>
      <c r="P763" t="s">
        <v>22</v>
      </c>
      <c r="Q763" t="s">
        <v>814</v>
      </c>
    </row>
    <row r="764" spans="1:17" ht="15" customHeight="1" x14ac:dyDescent="0.25">
      <c r="A764" s="3" t="s">
        <v>1367</v>
      </c>
      <c r="B764" s="4" t="s">
        <v>2829</v>
      </c>
      <c r="C764" t="s">
        <v>1355</v>
      </c>
      <c r="D764">
        <v>1</v>
      </c>
      <c r="E764" t="s">
        <v>974</v>
      </c>
      <c r="F764" t="s">
        <v>975</v>
      </c>
      <c r="G764" t="s">
        <v>976</v>
      </c>
      <c r="H764" s="1" t="s">
        <v>976</v>
      </c>
      <c r="I764" s="1">
        <v>2300</v>
      </c>
      <c r="J764" s="20">
        <v>0</v>
      </c>
      <c r="K764" s="1">
        <v>474.03</v>
      </c>
      <c r="L764" s="1">
        <v>0</v>
      </c>
      <c r="M764" s="42" t="s">
        <v>2828</v>
      </c>
      <c r="O764" s="2" t="s">
        <v>2472</v>
      </c>
      <c r="P764" t="s">
        <v>21</v>
      </c>
      <c r="Q764" t="s">
        <v>814</v>
      </c>
    </row>
    <row r="765" spans="1:17" ht="15" customHeight="1" x14ac:dyDescent="0.25">
      <c r="A765" s="3" t="s">
        <v>1368</v>
      </c>
      <c r="B765" s="4" t="s">
        <v>2832</v>
      </c>
      <c r="C765" t="s">
        <v>1369</v>
      </c>
      <c r="D765">
        <v>1</v>
      </c>
      <c r="E765" t="s">
        <v>974</v>
      </c>
      <c r="F765" t="s">
        <v>975</v>
      </c>
      <c r="G765" t="s">
        <v>180</v>
      </c>
      <c r="H765" s="1" t="s">
        <v>976</v>
      </c>
      <c r="I765" s="1">
        <v>729</v>
      </c>
      <c r="J765" s="20">
        <v>0</v>
      </c>
      <c r="K765" s="1">
        <v>145</v>
      </c>
      <c r="L765" s="1">
        <v>0</v>
      </c>
      <c r="M765" s="42" t="s">
        <v>2831</v>
      </c>
      <c r="O765" s="2" t="s">
        <v>2447</v>
      </c>
      <c r="P765" t="s">
        <v>23</v>
      </c>
      <c r="Q765" t="s">
        <v>815</v>
      </c>
    </row>
    <row r="766" spans="1:17" ht="15" customHeight="1" x14ac:dyDescent="0.25">
      <c r="A766" s="3" t="s">
        <v>1370</v>
      </c>
      <c r="B766" s="4" t="s">
        <v>2832</v>
      </c>
      <c r="C766" t="s">
        <v>1369</v>
      </c>
      <c r="D766">
        <v>1</v>
      </c>
      <c r="E766" t="s">
        <v>974</v>
      </c>
      <c r="F766" t="s">
        <v>975</v>
      </c>
      <c r="G766" t="s">
        <v>180</v>
      </c>
      <c r="H766" s="1" t="s">
        <v>976</v>
      </c>
      <c r="I766" s="1">
        <v>729</v>
      </c>
      <c r="J766" s="20">
        <v>0</v>
      </c>
      <c r="K766" s="1">
        <v>145.80000000000001</v>
      </c>
      <c r="L766" s="1">
        <v>0</v>
      </c>
      <c r="M766" s="42" t="s">
        <v>2831</v>
      </c>
      <c r="O766" s="2" t="s">
        <v>2482</v>
      </c>
      <c r="P766" t="s">
        <v>23</v>
      </c>
      <c r="Q766" t="s">
        <v>816</v>
      </c>
    </row>
    <row r="767" spans="1:17" ht="15" customHeight="1" x14ac:dyDescent="0.25">
      <c r="A767" s="3" t="s">
        <v>1371</v>
      </c>
      <c r="B767" s="4" t="s">
        <v>2833</v>
      </c>
      <c r="C767" t="s">
        <v>1369</v>
      </c>
      <c r="D767">
        <v>1</v>
      </c>
      <c r="E767" t="s">
        <v>974</v>
      </c>
      <c r="F767" t="s">
        <v>975</v>
      </c>
      <c r="G767" t="s">
        <v>180</v>
      </c>
      <c r="H767" s="1" t="s">
        <v>976</v>
      </c>
      <c r="I767" s="1">
        <v>525</v>
      </c>
      <c r="J767" s="20">
        <v>0</v>
      </c>
      <c r="K767" s="1">
        <v>0</v>
      </c>
      <c r="L767" s="1">
        <v>0</v>
      </c>
      <c r="M767" s="42" t="s">
        <v>2831</v>
      </c>
      <c r="O767" s="2" t="s">
        <v>2508</v>
      </c>
      <c r="P767" t="s">
        <v>24</v>
      </c>
      <c r="Q767" t="s">
        <v>817</v>
      </c>
    </row>
    <row r="768" spans="1:17" ht="15" customHeight="1" x14ac:dyDescent="0.25">
      <c r="A768" s="3" t="s">
        <v>1372</v>
      </c>
      <c r="B768" s="4" t="s">
        <v>2833</v>
      </c>
      <c r="C768" t="s">
        <v>1369</v>
      </c>
      <c r="D768">
        <v>1</v>
      </c>
      <c r="E768" t="s">
        <v>974</v>
      </c>
      <c r="F768" t="s">
        <v>975</v>
      </c>
      <c r="G768" t="s">
        <v>180</v>
      </c>
      <c r="H768" s="1" t="s">
        <v>976</v>
      </c>
      <c r="I768" s="1">
        <v>525</v>
      </c>
      <c r="J768" s="20">
        <v>0</v>
      </c>
      <c r="K768" s="1">
        <v>76.92</v>
      </c>
      <c r="L768" s="1">
        <v>0</v>
      </c>
      <c r="M768" s="42" t="s">
        <v>2831</v>
      </c>
      <c r="O768" s="2" t="s">
        <v>2508</v>
      </c>
      <c r="P768" t="s">
        <v>23</v>
      </c>
      <c r="Q768" t="s">
        <v>817</v>
      </c>
    </row>
    <row r="769" spans="1:17" ht="15" customHeight="1" x14ac:dyDescent="0.25">
      <c r="A769" s="41" t="s">
        <v>1372</v>
      </c>
      <c r="B769" s="3" t="s">
        <v>2833</v>
      </c>
      <c r="C769" s="41" t="s">
        <v>1369</v>
      </c>
      <c r="D769">
        <v>3</v>
      </c>
      <c r="E769" t="s">
        <v>1179</v>
      </c>
      <c r="F769" t="s">
        <v>1180</v>
      </c>
      <c r="G769" t="s">
        <v>180</v>
      </c>
      <c r="H769" s="1" t="s">
        <v>976</v>
      </c>
      <c r="I769" s="1">
        <v>525</v>
      </c>
      <c r="J769" s="20">
        <v>0</v>
      </c>
      <c r="K769" s="1">
        <v>76.92</v>
      </c>
      <c r="L769" s="1">
        <v>0</v>
      </c>
      <c r="M769" s="42" t="s">
        <v>2831</v>
      </c>
      <c r="O769" s="2" t="s">
        <v>2508</v>
      </c>
      <c r="P769" t="s">
        <v>23</v>
      </c>
      <c r="Q769" t="s">
        <v>817</v>
      </c>
    </row>
    <row r="770" spans="1:17" ht="15" customHeight="1" x14ac:dyDescent="0.25">
      <c r="A770" s="3" t="s">
        <v>1373</v>
      </c>
      <c r="B770" s="4" t="s">
        <v>2833</v>
      </c>
      <c r="C770" t="s">
        <v>1369</v>
      </c>
      <c r="D770">
        <v>1</v>
      </c>
      <c r="E770" t="s">
        <v>974</v>
      </c>
      <c r="F770" t="s">
        <v>975</v>
      </c>
      <c r="G770" t="s">
        <v>180</v>
      </c>
      <c r="H770" s="1" t="s">
        <v>976</v>
      </c>
      <c r="I770" s="1">
        <v>525</v>
      </c>
      <c r="J770" s="20">
        <v>0</v>
      </c>
      <c r="K770" s="1">
        <v>0</v>
      </c>
      <c r="L770" s="1">
        <v>0</v>
      </c>
      <c r="M770" s="42" t="s">
        <v>2831</v>
      </c>
      <c r="O770" s="2" t="s">
        <v>2508</v>
      </c>
      <c r="P770" t="s">
        <v>22</v>
      </c>
      <c r="Q770" t="s">
        <v>817</v>
      </c>
    </row>
    <row r="771" spans="1:17" ht="15" customHeight="1" x14ac:dyDescent="0.25">
      <c r="A771" s="3" t="s">
        <v>1374</v>
      </c>
      <c r="B771" s="4" t="s">
        <v>2834</v>
      </c>
      <c r="C771" t="s">
        <v>1369</v>
      </c>
      <c r="D771">
        <v>1</v>
      </c>
      <c r="E771" t="s">
        <v>974</v>
      </c>
      <c r="F771" t="s">
        <v>975</v>
      </c>
      <c r="G771" t="s">
        <v>180</v>
      </c>
      <c r="H771" s="1" t="s">
        <v>976</v>
      </c>
      <c r="I771" s="1">
        <v>1150</v>
      </c>
      <c r="J771" s="20">
        <v>0</v>
      </c>
      <c r="K771" s="1">
        <v>0</v>
      </c>
      <c r="L771" s="1">
        <v>0</v>
      </c>
      <c r="M771" s="42" t="s">
        <v>2831</v>
      </c>
      <c r="O771" s="2" t="s">
        <v>2508</v>
      </c>
      <c r="P771" t="s">
        <v>24</v>
      </c>
      <c r="Q771" t="s">
        <v>818</v>
      </c>
    </row>
    <row r="772" spans="1:17" ht="15" customHeight="1" x14ac:dyDescent="0.25">
      <c r="A772" s="3" t="s">
        <v>1375</v>
      </c>
      <c r="B772" s="4" t="s">
        <v>2834</v>
      </c>
      <c r="C772" t="s">
        <v>1369</v>
      </c>
      <c r="D772">
        <v>1</v>
      </c>
      <c r="E772" t="s">
        <v>974</v>
      </c>
      <c r="F772" t="s">
        <v>975</v>
      </c>
      <c r="G772" t="s">
        <v>180</v>
      </c>
      <c r="H772" s="1" t="s">
        <v>976</v>
      </c>
      <c r="I772" s="1">
        <v>1150</v>
      </c>
      <c r="J772" s="20">
        <v>0</v>
      </c>
      <c r="K772" s="1">
        <v>0</v>
      </c>
      <c r="L772" s="1">
        <v>0</v>
      </c>
      <c r="M772" s="42" t="s">
        <v>2831</v>
      </c>
      <c r="O772" s="2" t="s">
        <v>2508</v>
      </c>
      <c r="P772" t="s">
        <v>22</v>
      </c>
      <c r="Q772" t="s">
        <v>818</v>
      </c>
    </row>
    <row r="773" spans="1:17" ht="15" customHeight="1" x14ac:dyDescent="0.25">
      <c r="A773" s="3" t="s">
        <v>1376</v>
      </c>
      <c r="B773" s="4" t="s">
        <v>2834</v>
      </c>
      <c r="C773" t="s">
        <v>1369</v>
      </c>
      <c r="D773">
        <v>1</v>
      </c>
      <c r="E773" t="s">
        <v>974</v>
      </c>
      <c r="F773" t="s">
        <v>975</v>
      </c>
      <c r="G773" t="s">
        <v>180</v>
      </c>
      <c r="H773" s="1" t="s">
        <v>976</v>
      </c>
      <c r="I773" s="1">
        <v>1150</v>
      </c>
      <c r="J773" s="20">
        <v>3</v>
      </c>
      <c r="K773" s="1">
        <v>76.92</v>
      </c>
      <c r="L773" s="1">
        <v>230.76</v>
      </c>
      <c r="M773" s="42" t="s">
        <v>2831</v>
      </c>
      <c r="O773" s="2" t="s">
        <v>2508</v>
      </c>
      <c r="P773" t="s">
        <v>23</v>
      </c>
      <c r="Q773" t="s">
        <v>818</v>
      </c>
    </row>
    <row r="774" spans="1:17" ht="15" customHeight="1" x14ac:dyDescent="0.25">
      <c r="A774" s="41" t="s">
        <v>1376</v>
      </c>
      <c r="B774" s="3" t="s">
        <v>2834</v>
      </c>
      <c r="C774" s="41" t="s">
        <v>1369</v>
      </c>
      <c r="D774">
        <v>3</v>
      </c>
      <c r="E774" t="s">
        <v>1179</v>
      </c>
      <c r="F774" t="s">
        <v>1180</v>
      </c>
      <c r="G774" t="s">
        <v>180</v>
      </c>
      <c r="H774" s="1" t="s">
        <v>976</v>
      </c>
      <c r="I774" s="1">
        <v>1150</v>
      </c>
      <c r="J774" s="20">
        <v>0</v>
      </c>
      <c r="K774" s="1">
        <v>76.92</v>
      </c>
      <c r="L774" s="1">
        <v>0</v>
      </c>
      <c r="M774" s="42" t="s">
        <v>2831</v>
      </c>
      <c r="O774" s="2" t="s">
        <v>2508</v>
      </c>
      <c r="P774" t="s">
        <v>23</v>
      </c>
      <c r="Q774" t="s">
        <v>818</v>
      </c>
    </row>
    <row r="775" spans="1:17" ht="15" customHeight="1" x14ac:dyDescent="0.25">
      <c r="A775" s="3" t="s">
        <v>1377</v>
      </c>
      <c r="B775" s="4" t="s">
        <v>2834</v>
      </c>
      <c r="C775" t="s">
        <v>1369</v>
      </c>
      <c r="D775">
        <v>1</v>
      </c>
      <c r="E775" t="s">
        <v>974</v>
      </c>
      <c r="F775" t="s">
        <v>975</v>
      </c>
      <c r="G775" t="s">
        <v>180</v>
      </c>
      <c r="H775" s="1" t="s">
        <v>976</v>
      </c>
      <c r="I775" s="1">
        <v>1150</v>
      </c>
      <c r="J775" s="20">
        <v>0</v>
      </c>
      <c r="K775" s="1">
        <v>120</v>
      </c>
      <c r="L775" s="1">
        <v>0</v>
      </c>
      <c r="M775" s="42" t="s">
        <v>2831</v>
      </c>
      <c r="O775" s="2" t="s">
        <v>2508</v>
      </c>
      <c r="Q775" t="s">
        <v>818</v>
      </c>
    </row>
    <row r="776" spans="1:17" ht="15" customHeight="1" x14ac:dyDescent="0.25">
      <c r="A776" s="3" t="s">
        <v>1378</v>
      </c>
      <c r="B776" s="4" t="s">
        <v>2834</v>
      </c>
      <c r="C776" t="s">
        <v>1369</v>
      </c>
      <c r="D776">
        <v>1</v>
      </c>
      <c r="E776" t="s">
        <v>974</v>
      </c>
      <c r="F776" t="s">
        <v>975</v>
      </c>
      <c r="G776" t="s">
        <v>180</v>
      </c>
      <c r="H776" s="1" t="s">
        <v>976</v>
      </c>
      <c r="I776" s="1">
        <v>860</v>
      </c>
      <c r="J776" s="20">
        <v>0</v>
      </c>
      <c r="K776" s="1">
        <v>310</v>
      </c>
      <c r="L776" s="1">
        <v>0</v>
      </c>
      <c r="M776" s="42" t="s">
        <v>2831</v>
      </c>
      <c r="O776" s="2" t="s">
        <v>2443</v>
      </c>
      <c r="P776" t="s">
        <v>23</v>
      </c>
      <c r="Q776" t="s">
        <v>819</v>
      </c>
    </row>
    <row r="777" spans="1:17" ht="15" customHeight="1" x14ac:dyDescent="0.25">
      <c r="A777" s="3" t="s">
        <v>1379</v>
      </c>
      <c r="B777" s="4" t="s">
        <v>2834</v>
      </c>
      <c r="C777" t="s">
        <v>1369</v>
      </c>
      <c r="D777">
        <v>1</v>
      </c>
      <c r="E777" t="s">
        <v>974</v>
      </c>
      <c r="F777" t="s">
        <v>975</v>
      </c>
      <c r="G777" t="s">
        <v>180</v>
      </c>
      <c r="H777" s="1" t="s">
        <v>976</v>
      </c>
      <c r="I777" s="1">
        <v>845</v>
      </c>
      <c r="J777" s="20">
        <v>9</v>
      </c>
      <c r="K777" s="1">
        <v>135.11000000000001</v>
      </c>
      <c r="L777" s="1">
        <v>1215.99</v>
      </c>
      <c r="M777" s="42" t="s">
        <v>2831</v>
      </c>
      <c r="O777" s="2" t="s">
        <v>2508</v>
      </c>
      <c r="Q777" t="s">
        <v>818</v>
      </c>
    </row>
    <row r="778" spans="1:17" ht="15" customHeight="1" x14ac:dyDescent="0.25">
      <c r="A778" s="3" t="s">
        <v>1380</v>
      </c>
      <c r="B778" s="4" t="s">
        <v>2835</v>
      </c>
      <c r="C778" t="s">
        <v>1369</v>
      </c>
      <c r="D778">
        <v>1</v>
      </c>
      <c r="E778" t="s">
        <v>974</v>
      </c>
      <c r="F778" t="s">
        <v>975</v>
      </c>
      <c r="G778" t="s">
        <v>180</v>
      </c>
      <c r="H778" s="1" t="s">
        <v>976</v>
      </c>
      <c r="I778" s="1">
        <v>810</v>
      </c>
      <c r="J778" s="20">
        <v>0</v>
      </c>
      <c r="K778" s="1">
        <v>162</v>
      </c>
      <c r="L778" s="1">
        <v>0</v>
      </c>
      <c r="M778" s="42" t="s">
        <v>2831</v>
      </c>
      <c r="O778" s="2" t="s">
        <v>2443</v>
      </c>
      <c r="P778" t="s">
        <v>23</v>
      </c>
      <c r="Q778" t="s">
        <v>820</v>
      </c>
    </row>
    <row r="779" spans="1:17" ht="15" customHeight="1" x14ac:dyDescent="0.25">
      <c r="A779" s="3" t="s">
        <v>1381</v>
      </c>
      <c r="B779" s="4" t="s">
        <v>2833</v>
      </c>
      <c r="C779" t="s">
        <v>1369</v>
      </c>
      <c r="D779">
        <v>1</v>
      </c>
      <c r="E779" t="s">
        <v>974</v>
      </c>
      <c r="F779" t="s">
        <v>975</v>
      </c>
      <c r="G779" t="s">
        <v>180</v>
      </c>
      <c r="H779" s="1" t="s">
        <v>976</v>
      </c>
      <c r="I779" s="1">
        <v>860</v>
      </c>
      <c r="J779" s="20">
        <v>1</v>
      </c>
      <c r="K779" s="1">
        <v>120</v>
      </c>
      <c r="L779" s="1">
        <v>120</v>
      </c>
      <c r="M779" s="42" t="s">
        <v>2831</v>
      </c>
      <c r="O779" s="2" t="s">
        <v>2447</v>
      </c>
      <c r="P779" t="s">
        <v>23</v>
      </c>
      <c r="Q779" t="s">
        <v>821</v>
      </c>
    </row>
    <row r="780" spans="1:17" ht="15" customHeight="1" x14ac:dyDescent="0.25">
      <c r="A780" s="3" t="s">
        <v>1382</v>
      </c>
      <c r="B780" s="4" t="s">
        <v>2837</v>
      </c>
      <c r="C780" t="s">
        <v>1383</v>
      </c>
      <c r="D780">
        <v>1</v>
      </c>
      <c r="E780" t="s">
        <v>974</v>
      </c>
      <c r="F780" t="s">
        <v>975</v>
      </c>
      <c r="G780" t="s">
        <v>976</v>
      </c>
      <c r="H780" s="1" t="s">
        <v>976</v>
      </c>
      <c r="I780" s="1">
        <v>830</v>
      </c>
      <c r="J780" s="20">
        <v>2</v>
      </c>
      <c r="K780" s="1">
        <v>229</v>
      </c>
      <c r="L780" s="1">
        <v>458</v>
      </c>
      <c r="M780" s="42" t="s">
        <v>2836</v>
      </c>
      <c r="O780" s="2" t="s">
        <v>2443</v>
      </c>
      <c r="P780">
        <v>35</v>
      </c>
      <c r="Q780" t="s">
        <v>822</v>
      </c>
    </row>
    <row r="781" spans="1:17" ht="15" customHeight="1" x14ac:dyDescent="0.25">
      <c r="A781" s="3" t="s">
        <v>1384</v>
      </c>
      <c r="B781" s="4" t="s">
        <v>2837</v>
      </c>
      <c r="C781" t="s">
        <v>1383</v>
      </c>
      <c r="D781">
        <v>1</v>
      </c>
      <c r="E781" t="s">
        <v>974</v>
      </c>
      <c r="F781" t="s">
        <v>975</v>
      </c>
      <c r="G781" t="s">
        <v>976</v>
      </c>
      <c r="H781" s="1" t="s">
        <v>976</v>
      </c>
      <c r="I781" s="1">
        <v>830</v>
      </c>
      <c r="J781" s="20">
        <v>2</v>
      </c>
      <c r="K781" s="1">
        <v>229</v>
      </c>
      <c r="L781" s="1">
        <v>458</v>
      </c>
      <c r="M781" s="42" t="s">
        <v>2836</v>
      </c>
      <c r="O781" s="2" t="s">
        <v>2443</v>
      </c>
      <c r="P781">
        <v>36</v>
      </c>
      <c r="Q781" t="s">
        <v>822</v>
      </c>
    </row>
    <row r="782" spans="1:17" ht="15" customHeight="1" x14ac:dyDescent="0.25">
      <c r="A782" s="3" t="s">
        <v>1385</v>
      </c>
      <c r="B782" s="4" t="s">
        <v>2837</v>
      </c>
      <c r="C782" t="s">
        <v>1383</v>
      </c>
      <c r="D782">
        <v>1</v>
      </c>
      <c r="E782" t="s">
        <v>974</v>
      </c>
      <c r="F782" t="s">
        <v>975</v>
      </c>
      <c r="G782" t="s">
        <v>976</v>
      </c>
      <c r="H782" s="1" t="s">
        <v>976</v>
      </c>
      <c r="I782" s="1">
        <v>830</v>
      </c>
      <c r="J782" s="20">
        <v>3</v>
      </c>
      <c r="K782" s="1">
        <v>229</v>
      </c>
      <c r="L782" s="1">
        <v>687</v>
      </c>
      <c r="M782" s="42" t="s">
        <v>2836</v>
      </c>
      <c r="O782" s="2" t="s">
        <v>2443</v>
      </c>
      <c r="P782">
        <v>37</v>
      </c>
      <c r="Q782" t="s">
        <v>822</v>
      </c>
    </row>
    <row r="783" spans="1:17" ht="15" customHeight="1" x14ac:dyDescent="0.25">
      <c r="A783" s="3" t="s">
        <v>1386</v>
      </c>
      <c r="B783" s="4" t="s">
        <v>2837</v>
      </c>
      <c r="C783" t="s">
        <v>1383</v>
      </c>
      <c r="D783">
        <v>1</v>
      </c>
      <c r="E783" t="s">
        <v>974</v>
      </c>
      <c r="F783" t="s">
        <v>975</v>
      </c>
      <c r="G783" t="s">
        <v>976</v>
      </c>
      <c r="H783" s="1" t="s">
        <v>976</v>
      </c>
      <c r="I783" s="1">
        <v>830</v>
      </c>
      <c r="J783" s="20">
        <v>3</v>
      </c>
      <c r="K783" s="1">
        <v>229</v>
      </c>
      <c r="L783" s="1">
        <v>687</v>
      </c>
      <c r="M783" s="42" t="s">
        <v>2836</v>
      </c>
      <c r="O783" s="2" t="s">
        <v>2443</v>
      </c>
      <c r="P783">
        <v>38</v>
      </c>
      <c r="Q783" t="s">
        <v>822</v>
      </c>
    </row>
    <row r="784" spans="1:17" ht="15" customHeight="1" x14ac:dyDescent="0.25">
      <c r="A784" s="3" t="s">
        <v>1387</v>
      </c>
      <c r="B784" s="4" t="s">
        <v>2837</v>
      </c>
      <c r="C784" t="s">
        <v>1383</v>
      </c>
      <c r="D784">
        <v>1</v>
      </c>
      <c r="E784" t="s">
        <v>974</v>
      </c>
      <c r="F784" t="s">
        <v>975</v>
      </c>
      <c r="G784" t="s">
        <v>976</v>
      </c>
      <c r="H784" s="1" t="s">
        <v>976</v>
      </c>
      <c r="I784" s="1">
        <v>830</v>
      </c>
      <c r="J784" s="20">
        <v>3</v>
      </c>
      <c r="K784" s="1">
        <v>229</v>
      </c>
      <c r="L784" s="1">
        <v>687</v>
      </c>
      <c r="M784" s="42" t="s">
        <v>2836</v>
      </c>
      <c r="O784" s="2" t="s">
        <v>2443</v>
      </c>
      <c r="P784">
        <v>39</v>
      </c>
      <c r="Q784" t="s">
        <v>822</v>
      </c>
    </row>
    <row r="785" spans="1:17" ht="15" customHeight="1" x14ac:dyDescent="0.25">
      <c r="A785" s="3" t="s">
        <v>1388</v>
      </c>
      <c r="B785" s="4" t="s">
        <v>2837</v>
      </c>
      <c r="C785" t="s">
        <v>1383</v>
      </c>
      <c r="D785">
        <v>1</v>
      </c>
      <c r="E785" t="s">
        <v>974</v>
      </c>
      <c r="F785" t="s">
        <v>975</v>
      </c>
      <c r="G785" t="s">
        <v>976</v>
      </c>
      <c r="H785" s="1" t="s">
        <v>976</v>
      </c>
      <c r="I785" s="1">
        <v>830</v>
      </c>
      <c r="J785" s="20">
        <v>3</v>
      </c>
      <c r="K785" s="1">
        <v>229</v>
      </c>
      <c r="L785" s="1">
        <v>687</v>
      </c>
      <c r="M785" s="42" t="s">
        <v>2836</v>
      </c>
      <c r="O785" s="2" t="s">
        <v>2443</v>
      </c>
      <c r="P785">
        <v>40</v>
      </c>
      <c r="Q785" t="s">
        <v>822</v>
      </c>
    </row>
    <row r="786" spans="1:17" ht="15" customHeight="1" x14ac:dyDescent="0.25">
      <c r="A786" s="3" t="s">
        <v>1389</v>
      </c>
      <c r="B786" s="4" t="s">
        <v>2837</v>
      </c>
      <c r="C786" t="s">
        <v>1383</v>
      </c>
      <c r="D786">
        <v>1</v>
      </c>
      <c r="E786" t="s">
        <v>974</v>
      </c>
      <c r="F786" t="s">
        <v>975</v>
      </c>
      <c r="G786" t="s">
        <v>976</v>
      </c>
      <c r="H786" s="1" t="s">
        <v>976</v>
      </c>
      <c r="I786" s="1">
        <v>830</v>
      </c>
      <c r="J786" s="20">
        <v>4</v>
      </c>
      <c r="K786" s="1">
        <v>229</v>
      </c>
      <c r="L786" s="1">
        <v>916</v>
      </c>
      <c r="M786" s="42" t="s">
        <v>2836</v>
      </c>
      <c r="O786" s="2" t="s">
        <v>2443</v>
      </c>
      <c r="Q786" t="s">
        <v>822</v>
      </c>
    </row>
    <row r="787" spans="1:17" ht="15" customHeight="1" x14ac:dyDescent="0.25">
      <c r="A787" s="3" t="s">
        <v>1390</v>
      </c>
      <c r="B787" s="4" t="s">
        <v>2837</v>
      </c>
      <c r="C787" t="s">
        <v>1383</v>
      </c>
      <c r="D787">
        <v>1</v>
      </c>
      <c r="E787" t="s">
        <v>974</v>
      </c>
      <c r="F787" t="s">
        <v>975</v>
      </c>
      <c r="G787" t="s">
        <v>976</v>
      </c>
      <c r="H787" s="1" t="s">
        <v>976</v>
      </c>
      <c r="I787" s="1">
        <v>830</v>
      </c>
      <c r="J787" s="20">
        <v>4</v>
      </c>
      <c r="K787" s="1">
        <v>229</v>
      </c>
      <c r="L787" s="1">
        <v>916</v>
      </c>
      <c r="M787" s="42" t="s">
        <v>2836</v>
      </c>
      <c r="O787" s="2" t="s">
        <v>2443</v>
      </c>
      <c r="P787">
        <v>42</v>
      </c>
      <c r="Q787" t="s">
        <v>822</v>
      </c>
    </row>
    <row r="788" spans="1:17" ht="15" customHeight="1" x14ac:dyDescent="0.25">
      <c r="A788" s="3" t="s">
        <v>1391</v>
      </c>
      <c r="B788" s="4" t="s">
        <v>2837</v>
      </c>
      <c r="C788" t="s">
        <v>1383</v>
      </c>
      <c r="D788">
        <v>1</v>
      </c>
      <c r="E788" t="s">
        <v>974</v>
      </c>
      <c r="F788" t="s">
        <v>975</v>
      </c>
      <c r="G788" t="s">
        <v>976</v>
      </c>
      <c r="H788" s="1" t="s">
        <v>976</v>
      </c>
      <c r="I788" s="1">
        <v>830</v>
      </c>
      <c r="J788" s="20">
        <v>3</v>
      </c>
      <c r="K788" s="1">
        <v>229</v>
      </c>
      <c r="L788" s="1">
        <v>687</v>
      </c>
      <c r="M788" s="42" t="s">
        <v>2836</v>
      </c>
      <c r="O788" s="2" t="s">
        <v>2443</v>
      </c>
      <c r="Q788" t="s">
        <v>822</v>
      </c>
    </row>
    <row r="789" spans="1:17" ht="15" customHeight="1" x14ac:dyDescent="0.25">
      <c r="A789" s="3" t="s">
        <v>1392</v>
      </c>
      <c r="B789" s="4" t="s">
        <v>2837</v>
      </c>
      <c r="C789" t="s">
        <v>1383</v>
      </c>
      <c r="D789">
        <v>1</v>
      </c>
      <c r="E789" t="s">
        <v>974</v>
      </c>
      <c r="F789" t="s">
        <v>975</v>
      </c>
      <c r="G789" t="s">
        <v>976</v>
      </c>
      <c r="H789" s="1" t="s">
        <v>976</v>
      </c>
      <c r="I789" s="1">
        <v>830</v>
      </c>
      <c r="J789" s="20">
        <v>2</v>
      </c>
      <c r="K789" s="1">
        <v>229</v>
      </c>
      <c r="L789" s="1">
        <v>458</v>
      </c>
      <c r="M789" s="42" t="s">
        <v>2836</v>
      </c>
      <c r="O789" s="2" t="s">
        <v>2443</v>
      </c>
      <c r="P789">
        <v>44</v>
      </c>
      <c r="Q789" t="s">
        <v>822</v>
      </c>
    </row>
    <row r="790" spans="1:17" ht="15" customHeight="1" x14ac:dyDescent="0.25">
      <c r="A790" s="3" t="s">
        <v>1393</v>
      </c>
      <c r="B790" s="4" t="s">
        <v>2837</v>
      </c>
      <c r="C790" t="s">
        <v>1383</v>
      </c>
      <c r="D790">
        <v>1</v>
      </c>
      <c r="E790" t="s">
        <v>974</v>
      </c>
      <c r="F790" t="s">
        <v>975</v>
      </c>
      <c r="G790" t="s">
        <v>976</v>
      </c>
      <c r="H790" s="1" t="s">
        <v>976</v>
      </c>
      <c r="I790" s="1">
        <v>0.1</v>
      </c>
      <c r="J790" s="20">
        <v>0</v>
      </c>
      <c r="K790" s="1">
        <v>0</v>
      </c>
      <c r="L790" s="1">
        <v>0</v>
      </c>
      <c r="M790" s="42" t="s">
        <v>2836</v>
      </c>
      <c r="O790" s="2" t="s">
        <v>2443</v>
      </c>
      <c r="Q790" t="s">
        <v>822</v>
      </c>
    </row>
    <row r="791" spans="1:17" ht="15" customHeight="1" x14ac:dyDescent="0.25">
      <c r="A791" s="3" t="s">
        <v>1394</v>
      </c>
      <c r="B791" s="4" t="s">
        <v>270</v>
      </c>
      <c r="C791" t="s">
        <v>1383</v>
      </c>
      <c r="D791">
        <v>1</v>
      </c>
      <c r="E791" t="s">
        <v>974</v>
      </c>
      <c r="F791" t="s">
        <v>975</v>
      </c>
      <c r="G791" t="s">
        <v>976</v>
      </c>
      <c r="H791" s="1" t="s">
        <v>976</v>
      </c>
      <c r="I791" s="1">
        <v>830</v>
      </c>
      <c r="J791" s="20">
        <v>0</v>
      </c>
      <c r="K791" s="1">
        <v>229</v>
      </c>
      <c r="L791" s="1">
        <v>0</v>
      </c>
      <c r="M791" s="42" t="s">
        <v>2836</v>
      </c>
      <c r="P791">
        <v>35</v>
      </c>
      <c r="Q791" t="s">
        <v>270</v>
      </c>
    </row>
    <row r="792" spans="1:17" ht="15" customHeight="1" x14ac:dyDescent="0.25">
      <c r="A792" s="3" t="s">
        <v>1395</v>
      </c>
      <c r="B792" s="4" t="s">
        <v>271</v>
      </c>
      <c r="C792" t="s">
        <v>1383</v>
      </c>
      <c r="D792">
        <v>1</v>
      </c>
      <c r="E792" t="s">
        <v>974</v>
      </c>
      <c r="F792" t="s">
        <v>975</v>
      </c>
      <c r="G792" t="s">
        <v>976</v>
      </c>
      <c r="H792" s="1" t="s">
        <v>976</v>
      </c>
      <c r="I792" s="1">
        <v>830</v>
      </c>
      <c r="J792" s="20">
        <v>1</v>
      </c>
      <c r="K792" s="1">
        <v>229</v>
      </c>
      <c r="L792" s="1">
        <v>229</v>
      </c>
      <c r="M792" s="42" t="s">
        <v>2836</v>
      </c>
      <c r="P792">
        <v>36</v>
      </c>
      <c r="Q792" t="s">
        <v>271</v>
      </c>
    </row>
    <row r="793" spans="1:17" ht="15" customHeight="1" x14ac:dyDescent="0.25">
      <c r="A793" s="3" t="s">
        <v>1396</v>
      </c>
      <c r="B793" s="4" t="s">
        <v>272</v>
      </c>
      <c r="C793" t="s">
        <v>1383</v>
      </c>
      <c r="D793">
        <v>1</v>
      </c>
      <c r="E793" t="s">
        <v>974</v>
      </c>
      <c r="F793" t="s">
        <v>975</v>
      </c>
      <c r="G793" t="s">
        <v>976</v>
      </c>
      <c r="H793" s="1" t="s">
        <v>976</v>
      </c>
      <c r="I793" s="1">
        <v>830</v>
      </c>
      <c r="J793" s="20">
        <v>1</v>
      </c>
      <c r="K793" s="1">
        <v>229</v>
      </c>
      <c r="L793" s="1">
        <v>229</v>
      </c>
      <c r="M793" s="42" t="s">
        <v>2836</v>
      </c>
      <c r="P793">
        <v>37</v>
      </c>
      <c r="Q793" t="s">
        <v>272</v>
      </c>
    </row>
    <row r="794" spans="1:17" ht="15" customHeight="1" x14ac:dyDescent="0.25">
      <c r="A794" s="3" t="s">
        <v>1397</v>
      </c>
      <c r="B794" s="4" t="s">
        <v>273</v>
      </c>
      <c r="C794" t="s">
        <v>1383</v>
      </c>
      <c r="D794">
        <v>1</v>
      </c>
      <c r="E794" t="s">
        <v>974</v>
      </c>
      <c r="F794" t="s">
        <v>975</v>
      </c>
      <c r="G794" t="s">
        <v>976</v>
      </c>
      <c r="H794" s="1" t="s">
        <v>976</v>
      </c>
      <c r="I794" s="1">
        <v>830</v>
      </c>
      <c r="J794" s="20">
        <v>1</v>
      </c>
      <c r="K794" s="1">
        <v>229</v>
      </c>
      <c r="L794" s="1">
        <v>229</v>
      </c>
      <c r="M794" s="42" t="s">
        <v>2836</v>
      </c>
      <c r="P794">
        <v>38</v>
      </c>
      <c r="Q794" t="s">
        <v>273</v>
      </c>
    </row>
    <row r="795" spans="1:17" ht="15" customHeight="1" x14ac:dyDescent="0.25">
      <c r="A795" s="3" t="s">
        <v>1398</v>
      </c>
      <c r="B795" s="4" t="s">
        <v>274</v>
      </c>
      <c r="C795" t="s">
        <v>1383</v>
      </c>
      <c r="D795">
        <v>1</v>
      </c>
      <c r="E795" t="s">
        <v>974</v>
      </c>
      <c r="F795" t="s">
        <v>975</v>
      </c>
      <c r="G795" t="s">
        <v>976</v>
      </c>
      <c r="H795" s="1" t="s">
        <v>976</v>
      </c>
      <c r="I795" s="1">
        <v>830</v>
      </c>
      <c r="J795" s="20">
        <v>3</v>
      </c>
      <c r="K795" s="1">
        <v>229</v>
      </c>
      <c r="L795" s="1">
        <v>687</v>
      </c>
      <c r="M795" s="42" t="s">
        <v>2836</v>
      </c>
      <c r="P795">
        <v>39</v>
      </c>
      <c r="Q795" t="s">
        <v>274</v>
      </c>
    </row>
    <row r="796" spans="1:17" ht="15" customHeight="1" x14ac:dyDescent="0.25">
      <c r="A796" s="3" t="s">
        <v>1399</v>
      </c>
      <c r="B796" s="4" t="s">
        <v>275</v>
      </c>
      <c r="C796" t="s">
        <v>1383</v>
      </c>
      <c r="D796">
        <v>1</v>
      </c>
      <c r="E796" t="s">
        <v>974</v>
      </c>
      <c r="F796" t="s">
        <v>975</v>
      </c>
      <c r="G796" t="s">
        <v>976</v>
      </c>
      <c r="H796" s="1" t="s">
        <v>976</v>
      </c>
      <c r="I796" s="1">
        <v>830</v>
      </c>
      <c r="J796" s="20">
        <v>2</v>
      </c>
      <c r="K796" s="1">
        <v>229</v>
      </c>
      <c r="L796" s="1">
        <v>458</v>
      </c>
      <c r="M796" s="42" t="s">
        <v>2836</v>
      </c>
      <c r="P796">
        <v>40</v>
      </c>
      <c r="Q796" t="s">
        <v>275</v>
      </c>
    </row>
    <row r="797" spans="1:17" ht="15" customHeight="1" x14ac:dyDescent="0.25">
      <c r="A797" s="3" t="s">
        <v>1400</v>
      </c>
      <c r="B797" s="4" t="s">
        <v>276</v>
      </c>
      <c r="C797" t="s">
        <v>1383</v>
      </c>
      <c r="D797">
        <v>1</v>
      </c>
      <c r="E797" t="s">
        <v>974</v>
      </c>
      <c r="F797" t="s">
        <v>975</v>
      </c>
      <c r="G797" t="s">
        <v>976</v>
      </c>
      <c r="H797" s="1" t="s">
        <v>976</v>
      </c>
      <c r="I797" s="1">
        <v>830</v>
      </c>
      <c r="J797" s="20">
        <v>2</v>
      </c>
      <c r="K797" s="1">
        <v>229</v>
      </c>
      <c r="L797" s="1">
        <v>458</v>
      </c>
      <c r="M797" s="42" t="s">
        <v>2836</v>
      </c>
      <c r="Q797" t="s">
        <v>276</v>
      </c>
    </row>
    <row r="798" spans="1:17" ht="15" customHeight="1" x14ac:dyDescent="0.25">
      <c r="A798" s="3" t="s">
        <v>1401</v>
      </c>
      <c r="B798" s="4" t="s">
        <v>277</v>
      </c>
      <c r="C798" t="s">
        <v>1383</v>
      </c>
      <c r="D798">
        <v>1</v>
      </c>
      <c r="E798" t="s">
        <v>974</v>
      </c>
      <c r="F798" t="s">
        <v>975</v>
      </c>
      <c r="G798" t="s">
        <v>976</v>
      </c>
      <c r="H798" s="1" t="s">
        <v>976</v>
      </c>
      <c r="I798" s="1">
        <v>830</v>
      </c>
      <c r="J798" s="20">
        <v>2</v>
      </c>
      <c r="K798" s="1">
        <v>229</v>
      </c>
      <c r="L798" s="1">
        <v>458</v>
      </c>
      <c r="M798" s="42" t="s">
        <v>2836</v>
      </c>
      <c r="P798">
        <v>42</v>
      </c>
      <c r="Q798" t="s">
        <v>277</v>
      </c>
    </row>
    <row r="799" spans="1:17" ht="15" customHeight="1" x14ac:dyDescent="0.25">
      <c r="A799" s="3" t="s">
        <v>1402</v>
      </c>
      <c r="B799" s="4" t="s">
        <v>278</v>
      </c>
      <c r="C799" t="s">
        <v>1383</v>
      </c>
      <c r="D799">
        <v>1</v>
      </c>
      <c r="E799" t="s">
        <v>974</v>
      </c>
      <c r="F799" t="s">
        <v>975</v>
      </c>
      <c r="G799" t="s">
        <v>976</v>
      </c>
      <c r="H799" s="1" t="s">
        <v>976</v>
      </c>
      <c r="I799" s="1">
        <v>830</v>
      </c>
      <c r="J799" s="20">
        <v>2</v>
      </c>
      <c r="K799" s="1">
        <v>229</v>
      </c>
      <c r="L799" s="1">
        <v>458</v>
      </c>
      <c r="M799" s="42" t="s">
        <v>2836</v>
      </c>
      <c r="Q799" t="s">
        <v>278</v>
      </c>
    </row>
    <row r="800" spans="1:17" ht="15" customHeight="1" x14ac:dyDescent="0.25">
      <c r="A800" s="3" t="s">
        <v>1403</v>
      </c>
      <c r="B800" s="4" t="s">
        <v>279</v>
      </c>
      <c r="C800" t="s">
        <v>1383</v>
      </c>
      <c r="D800">
        <v>1</v>
      </c>
      <c r="E800" t="s">
        <v>974</v>
      </c>
      <c r="F800" t="s">
        <v>975</v>
      </c>
      <c r="G800" t="s">
        <v>976</v>
      </c>
      <c r="H800" s="1" t="s">
        <v>976</v>
      </c>
      <c r="I800" s="1">
        <v>830</v>
      </c>
      <c r="J800" s="20">
        <v>1</v>
      </c>
      <c r="K800" s="1">
        <v>229</v>
      </c>
      <c r="L800" s="1">
        <v>229</v>
      </c>
      <c r="M800" s="42" t="s">
        <v>2836</v>
      </c>
      <c r="P800">
        <v>44</v>
      </c>
      <c r="Q800" t="s">
        <v>279</v>
      </c>
    </row>
    <row r="801" spans="1:17" ht="15" customHeight="1" x14ac:dyDescent="0.25">
      <c r="A801" s="3" t="s">
        <v>2230</v>
      </c>
      <c r="B801" s="4" t="s">
        <v>2838</v>
      </c>
      <c r="C801" t="s">
        <v>1383</v>
      </c>
      <c r="D801">
        <v>1</v>
      </c>
      <c r="E801" t="s">
        <v>974</v>
      </c>
      <c r="F801" t="s">
        <v>975</v>
      </c>
      <c r="G801" t="s">
        <v>180</v>
      </c>
      <c r="H801" s="1" t="s">
        <v>976</v>
      </c>
      <c r="I801" s="1">
        <v>89</v>
      </c>
      <c r="J801" s="20">
        <v>20</v>
      </c>
      <c r="K801" s="1">
        <v>24</v>
      </c>
      <c r="L801" s="1">
        <v>480</v>
      </c>
      <c r="M801" s="42" t="s">
        <v>2836</v>
      </c>
      <c r="O801" s="2" t="s">
        <v>2443</v>
      </c>
      <c r="Q801" t="s">
        <v>823</v>
      </c>
    </row>
    <row r="802" spans="1:17" ht="15" customHeight="1" x14ac:dyDescent="0.25">
      <c r="A802" s="3" t="s">
        <v>2231</v>
      </c>
      <c r="B802" s="4" t="s">
        <v>2838</v>
      </c>
      <c r="C802" t="s">
        <v>1383</v>
      </c>
      <c r="D802">
        <v>1</v>
      </c>
      <c r="E802" t="s">
        <v>974</v>
      </c>
      <c r="F802" t="s">
        <v>975</v>
      </c>
      <c r="G802" t="s">
        <v>180</v>
      </c>
      <c r="H802" s="1" t="s">
        <v>976</v>
      </c>
      <c r="I802" s="1">
        <v>89</v>
      </c>
      <c r="J802" s="20">
        <v>18</v>
      </c>
      <c r="K802" s="1">
        <v>89</v>
      </c>
      <c r="L802" s="1">
        <v>1602</v>
      </c>
      <c r="M802" s="42" t="s">
        <v>2836</v>
      </c>
      <c r="O802" s="2" t="s">
        <v>2443</v>
      </c>
      <c r="Q802" t="s">
        <v>823</v>
      </c>
    </row>
    <row r="803" spans="1:17" ht="15" customHeight="1" x14ac:dyDescent="0.25">
      <c r="A803" s="3" t="s">
        <v>2232</v>
      </c>
      <c r="B803" s="4" t="s">
        <v>2839</v>
      </c>
      <c r="C803" t="s">
        <v>1383</v>
      </c>
      <c r="D803">
        <v>1</v>
      </c>
      <c r="E803" t="s">
        <v>974</v>
      </c>
      <c r="F803" t="s">
        <v>975</v>
      </c>
      <c r="G803" t="s">
        <v>180</v>
      </c>
      <c r="H803" s="1" t="s">
        <v>976</v>
      </c>
      <c r="I803" s="1">
        <v>89</v>
      </c>
      <c r="J803" s="20">
        <v>10</v>
      </c>
      <c r="K803" s="1">
        <v>24</v>
      </c>
      <c r="L803" s="1">
        <v>240</v>
      </c>
      <c r="M803" s="42" t="s">
        <v>2836</v>
      </c>
      <c r="O803" s="2" t="s">
        <v>2447</v>
      </c>
      <c r="Q803" t="s">
        <v>824</v>
      </c>
    </row>
    <row r="804" spans="1:17" ht="15" customHeight="1" x14ac:dyDescent="0.25">
      <c r="A804" s="3" t="s">
        <v>2233</v>
      </c>
      <c r="B804" s="4" t="s">
        <v>2839</v>
      </c>
      <c r="C804" t="s">
        <v>1383</v>
      </c>
      <c r="D804">
        <v>1</v>
      </c>
      <c r="E804" t="s">
        <v>974</v>
      </c>
      <c r="F804" t="s">
        <v>975</v>
      </c>
      <c r="G804" t="s">
        <v>180</v>
      </c>
      <c r="H804" s="1" t="s">
        <v>976</v>
      </c>
      <c r="I804" s="1">
        <v>89</v>
      </c>
      <c r="J804" s="20">
        <v>17</v>
      </c>
      <c r="K804" s="1">
        <v>24</v>
      </c>
      <c r="L804" s="1">
        <v>408</v>
      </c>
      <c r="M804" s="42" t="s">
        <v>2836</v>
      </c>
      <c r="O804" s="2" t="s">
        <v>2447</v>
      </c>
      <c r="Q804" t="s">
        <v>824</v>
      </c>
    </row>
    <row r="805" spans="1:17" ht="15" customHeight="1" x14ac:dyDescent="0.25">
      <c r="A805" s="3" t="s">
        <v>2234</v>
      </c>
      <c r="B805" s="4" t="s">
        <v>2839</v>
      </c>
      <c r="C805" t="s">
        <v>1383</v>
      </c>
      <c r="D805">
        <v>1</v>
      </c>
      <c r="E805" t="s">
        <v>974</v>
      </c>
      <c r="F805" t="s">
        <v>975</v>
      </c>
      <c r="G805" t="s">
        <v>180</v>
      </c>
      <c r="H805" s="1" t="s">
        <v>976</v>
      </c>
      <c r="I805" s="1">
        <v>89</v>
      </c>
      <c r="J805" s="20">
        <v>1</v>
      </c>
      <c r="K805" s="1">
        <v>24</v>
      </c>
      <c r="L805" s="1">
        <v>24</v>
      </c>
      <c r="M805" s="42" t="s">
        <v>2836</v>
      </c>
      <c r="O805" s="2" t="s">
        <v>2447</v>
      </c>
      <c r="Q805" t="s">
        <v>824</v>
      </c>
    </row>
    <row r="806" spans="1:17" ht="15" customHeight="1" x14ac:dyDescent="0.25">
      <c r="A806" s="3" t="s">
        <v>2235</v>
      </c>
      <c r="B806" s="4" t="s">
        <v>2840</v>
      </c>
      <c r="C806" t="s">
        <v>1383</v>
      </c>
      <c r="D806">
        <v>1</v>
      </c>
      <c r="E806" t="s">
        <v>974</v>
      </c>
      <c r="F806" t="s">
        <v>975</v>
      </c>
      <c r="G806" t="s">
        <v>180</v>
      </c>
      <c r="H806" s="1" t="s">
        <v>976</v>
      </c>
      <c r="I806" s="1">
        <v>89</v>
      </c>
      <c r="J806" s="20">
        <v>23</v>
      </c>
      <c r="K806" s="1">
        <v>24</v>
      </c>
      <c r="L806" s="1">
        <v>552</v>
      </c>
      <c r="M806" s="42" t="s">
        <v>2836</v>
      </c>
      <c r="O806" s="2" t="s">
        <v>2472</v>
      </c>
      <c r="Q806" t="s">
        <v>825</v>
      </c>
    </row>
    <row r="807" spans="1:17" ht="15" customHeight="1" x14ac:dyDescent="0.25">
      <c r="A807" s="3" t="s">
        <v>2236</v>
      </c>
      <c r="B807" s="4" t="s">
        <v>2840</v>
      </c>
      <c r="C807" t="s">
        <v>1383</v>
      </c>
      <c r="D807">
        <v>1</v>
      </c>
      <c r="E807" t="s">
        <v>974</v>
      </c>
      <c r="F807" t="s">
        <v>975</v>
      </c>
      <c r="G807" t="s">
        <v>180</v>
      </c>
      <c r="H807" s="1" t="s">
        <v>976</v>
      </c>
      <c r="I807" s="1">
        <v>89</v>
      </c>
      <c r="J807" s="20">
        <v>63</v>
      </c>
      <c r="K807" s="1">
        <v>24</v>
      </c>
      <c r="L807" s="1">
        <v>1512</v>
      </c>
      <c r="M807" s="42" t="s">
        <v>2836</v>
      </c>
      <c r="O807" s="2" t="s">
        <v>2472</v>
      </c>
      <c r="Q807" t="s">
        <v>825</v>
      </c>
    </row>
    <row r="808" spans="1:17" ht="15" customHeight="1" x14ac:dyDescent="0.25">
      <c r="A808" s="3" t="s">
        <v>2237</v>
      </c>
      <c r="B808" s="4" t="s">
        <v>2840</v>
      </c>
      <c r="C808" t="s">
        <v>1383</v>
      </c>
      <c r="D808">
        <v>1</v>
      </c>
      <c r="E808" t="s">
        <v>974</v>
      </c>
      <c r="F808" t="s">
        <v>975</v>
      </c>
      <c r="G808" t="s">
        <v>180</v>
      </c>
      <c r="H808" s="1" t="s">
        <v>976</v>
      </c>
      <c r="I808" s="1">
        <v>89</v>
      </c>
      <c r="J808" s="20">
        <v>53</v>
      </c>
      <c r="K808" s="1">
        <v>24</v>
      </c>
      <c r="L808" s="1">
        <v>1272</v>
      </c>
      <c r="M808" s="42" t="s">
        <v>2836</v>
      </c>
      <c r="O808" s="2" t="s">
        <v>2472</v>
      </c>
      <c r="Q808" t="s">
        <v>825</v>
      </c>
    </row>
    <row r="809" spans="1:17" ht="15" customHeight="1" x14ac:dyDescent="0.25">
      <c r="A809" s="3" t="s">
        <v>2238</v>
      </c>
      <c r="B809" s="4" t="s">
        <v>2840</v>
      </c>
      <c r="C809" t="s">
        <v>1383</v>
      </c>
      <c r="D809">
        <v>1</v>
      </c>
      <c r="E809" t="s">
        <v>974</v>
      </c>
      <c r="F809" t="s">
        <v>975</v>
      </c>
      <c r="G809" t="s">
        <v>180</v>
      </c>
      <c r="H809" s="1" t="s">
        <v>976</v>
      </c>
      <c r="I809" s="1">
        <v>89</v>
      </c>
      <c r="J809" s="20">
        <v>-2</v>
      </c>
      <c r="K809" s="1">
        <v>0</v>
      </c>
      <c r="L809" s="1">
        <v>0</v>
      </c>
      <c r="M809" s="42" t="s">
        <v>2836</v>
      </c>
      <c r="O809" s="2" t="s">
        <v>2472</v>
      </c>
      <c r="Q809" t="s">
        <v>825</v>
      </c>
    </row>
    <row r="810" spans="1:17" ht="15" customHeight="1" x14ac:dyDescent="0.25">
      <c r="A810" s="3" t="s">
        <v>1404</v>
      </c>
      <c r="B810" s="4" t="s">
        <v>2841</v>
      </c>
      <c r="C810" t="s">
        <v>1383</v>
      </c>
      <c r="D810">
        <v>1</v>
      </c>
      <c r="E810" t="s">
        <v>974</v>
      </c>
      <c r="F810" t="s">
        <v>975</v>
      </c>
      <c r="G810" t="s">
        <v>180</v>
      </c>
      <c r="H810" s="1" t="s">
        <v>976</v>
      </c>
      <c r="I810" s="1">
        <v>59.9</v>
      </c>
      <c r="J810" s="20">
        <v>22</v>
      </c>
      <c r="K810" s="1">
        <v>19</v>
      </c>
      <c r="L810" s="1">
        <v>418</v>
      </c>
      <c r="M810" s="42" t="s">
        <v>2836</v>
      </c>
      <c r="O810" s="2" t="s">
        <v>2472</v>
      </c>
      <c r="Q810" t="s">
        <v>826</v>
      </c>
    </row>
    <row r="811" spans="1:17" ht="15" customHeight="1" x14ac:dyDescent="0.25">
      <c r="A811" s="3" t="s">
        <v>1405</v>
      </c>
      <c r="B811" s="4" t="s">
        <v>2841</v>
      </c>
      <c r="C811" t="s">
        <v>1383</v>
      </c>
      <c r="D811">
        <v>1</v>
      </c>
      <c r="E811" t="s">
        <v>974</v>
      </c>
      <c r="F811" t="s">
        <v>975</v>
      </c>
      <c r="G811" t="s">
        <v>180</v>
      </c>
      <c r="H811" s="1" t="s">
        <v>976</v>
      </c>
      <c r="I811" s="1">
        <v>59.9</v>
      </c>
      <c r="J811" s="20">
        <v>34</v>
      </c>
      <c r="K811" s="1">
        <v>19</v>
      </c>
      <c r="L811" s="1">
        <v>646</v>
      </c>
      <c r="M811" s="42" t="s">
        <v>2836</v>
      </c>
      <c r="O811" s="2" t="s">
        <v>2472</v>
      </c>
      <c r="Q811" t="s">
        <v>826</v>
      </c>
    </row>
    <row r="812" spans="1:17" ht="15" customHeight="1" x14ac:dyDescent="0.25">
      <c r="A812" s="3" t="s">
        <v>1406</v>
      </c>
      <c r="B812" s="4" t="s">
        <v>2841</v>
      </c>
      <c r="C812" t="s">
        <v>1383</v>
      </c>
      <c r="D812">
        <v>1</v>
      </c>
      <c r="E812" t="s">
        <v>974</v>
      </c>
      <c r="F812" t="s">
        <v>975</v>
      </c>
      <c r="G812" t="s">
        <v>180</v>
      </c>
      <c r="H812" s="1" t="s">
        <v>976</v>
      </c>
      <c r="I812" s="1">
        <v>59.9</v>
      </c>
      <c r="J812" s="20">
        <v>24</v>
      </c>
      <c r="K812" s="1">
        <v>19</v>
      </c>
      <c r="L812" s="1">
        <v>456</v>
      </c>
      <c r="M812" s="42" t="s">
        <v>2836</v>
      </c>
      <c r="O812" s="2" t="s">
        <v>2472</v>
      </c>
      <c r="Q812" t="s">
        <v>826</v>
      </c>
    </row>
    <row r="813" spans="1:17" ht="15" customHeight="1" x14ac:dyDescent="0.25">
      <c r="A813" s="3" t="s">
        <v>1407</v>
      </c>
      <c r="B813" s="4" t="s">
        <v>2841</v>
      </c>
      <c r="C813" t="s">
        <v>1383</v>
      </c>
      <c r="D813">
        <v>1</v>
      </c>
      <c r="E813" t="s">
        <v>974</v>
      </c>
      <c r="F813" t="s">
        <v>975</v>
      </c>
      <c r="G813" t="s">
        <v>180</v>
      </c>
      <c r="H813" s="1" t="s">
        <v>976</v>
      </c>
      <c r="I813" s="1">
        <v>59.9</v>
      </c>
      <c r="J813" s="20">
        <v>-7</v>
      </c>
      <c r="K813" s="1">
        <v>19</v>
      </c>
      <c r="L813" s="1">
        <v>-133</v>
      </c>
      <c r="M813" s="42" t="s">
        <v>2836</v>
      </c>
      <c r="O813" s="2" t="s">
        <v>2472</v>
      </c>
      <c r="Q813" t="s">
        <v>826</v>
      </c>
    </row>
    <row r="814" spans="1:17" ht="15" customHeight="1" x14ac:dyDescent="0.25">
      <c r="A814" s="3" t="s">
        <v>1408</v>
      </c>
      <c r="B814" s="4" t="s">
        <v>2841</v>
      </c>
      <c r="C814" t="s">
        <v>1383</v>
      </c>
      <c r="D814">
        <v>1</v>
      </c>
      <c r="E814" t="s">
        <v>974</v>
      </c>
      <c r="F814" t="s">
        <v>975</v>
      </c>
      <c r="G814" t="s">
        <v>180</v>
      </c>
      <c r="H814" s="1" t="s">
        <v>976</v>
      </c>
      <c r="I814" s="1">
        <v>59.9</v>
      </c>
      <c r="J814" s="20">
        <v>9</v>
      </c>
      <c r="K814" s="1">
        <v>19</v>
      </c>
      <c r="L814" s="1">
        <v>171</v>
      </c>
      <c r="M814" s="42" t="s">
        <v>2836</v>
      </c>
      <c r="O814" s="2" t="s">
        <v>2472</v>
      </c>
      <c r="Q814" t="s">
        <v>826</v>
      </c>
    </row>
    <row r="815" spans="1:17" ht="15" customHeight="1" x14ac:dyDescent="0.25">
      <c r="A815" s="3" t="s">
        <v>1409</v>
      </c>
      <c r="B815" s="4" t="s">
        <v>2841</v>
      </c>
      <c r="C815" t="s">
        <v>1383</v>
      </c>
      <c r="D815">
        <v>1</v>
      </c>
      <c r="E815" t="s">
        <v>974</v>
      </c>
      <c r="F815" t="s">
        <v>975</v>
      </c>
      <c r="G815" t="s">
        <v>180</v>
      </c>
      <c r="H815" s="1" t="s">
        <v>976</v>
      </c>
      <c r="I815" s="1">
        <v>59.9</v>
      </c>
      <c r="J815" s="20">
        <v>23</v>
      </c>
      <c r="K815" s="1">
        <v>19</v>
      </c>
      <c r="L815" s="1">
        <v>437</v>
      </c>
      <c r="M815" s="42" t="s">
        <v>2836</v>
      </c>
      <c r="O815" s="2" t="s">
        <v>2482</v>
      </c>
      <c r="Q815" t="s">
        <v>827</v>
      </c>
    </row>
    <row r="816" spans="1:17" ht="15" customHeight="1" x14ac:dyDescent="0.25">
      <c r="A816" s="3" t="s">
        <v>1410</v>
      </c>
      <c r="B816" s="4" t="s">
        <v>2841</v>
      </c>
      <c r="C816" t="s">
        <v>1383</v>
      </c>
      <c r="D816">
        <v>1</v>
      </c>
      <c r="E816" t="s">
        <v>974</v>
      </c>
      <c r="F816" t="s">
        <v>975</v>
      </c>
      <c r="G816" t="s">
        <v>180</v>
      </c>
      <c r="H816" s="1" t="s">
        <v>976</v>
      </c>
      <c r="I816" s="1">
        <v>59.9</v>
      </c>
      <c r="J816" s="20">
        <v>22</v>
      </c>
      <c r="K816" s="1">
        <v>19</v>
      </c>
      <c r="L816" s="1">
        <v>418</v>
      </c>
      <c r="M816" s="42" t="s">
        <v>2836</v>
      </c>
      <c r="O816" s="2" t="s">
        <v>2482</v>
      </c>
      <c r="Q816" t="s">
        <v>827</v>
      </c>
    </row>
    <row r="817" spans="1:17" ht="15" customHeight="1" x14ac:dyDescent="0.25">
      <c r="A817" s="3" t="s">
        <v>1411</v>
      </c>
      <c r="B817" s="4" t="s">
        <v>2841</v>
      </c>
      <c r="C817" t="s">
        <v>1383</v>
      </c>
      <c r="D817">
        <v>1</v>
      </c>
      <c r="E817" t="s">
        <v>974</v>
      </c>
      <c r="F817" t="s">
        <v>975</v>
      </c>
      <c r="G817" t="s">
        <v>180</v>
      </c>
      <c r="H817" s="1" t="s">
        <v>976</v>
      </c>
      <c r="I817" s="1">
        <v>59.9</v>
      </c>
      <c r="J817" s="20">
        <v>30</v>
      </c>
      <c r="K817" s="1">
        <v>19</v>
      </c>
      <c r="L817" s="1">
        <v>570</v>
      </c>
      <c r="M817" s="42" t="s">
        <v>2836</v>
      </c>
      <c r="O817" s="2" t="s">
        <v>2482</v>
      </c>
      <c r="Q817" t="s">
        <v>827</v>
      </c>
    </row>
    <row r="818" spans="1:17" ht="15" customHeight="1" x14ac:dyDescent="0.25">
      <c r="A818" s="3" t="s">
        <v>1412</v>
      </c>
      <c r="B818" s="4" t="s">
        <v>2841</v>
      </c>
      <c r="C818" t="s">
        <v>1383</v>
      </c>
      <c r="D818">
        <v>1</v>
      </c>
      <c r="E818" t="s">
        <v>974</v>
      </c>
      <c r="F818" t="s">
        <v>975</v>
      </c>
      <c r="G818" t="s">
        <v>180</v>
      </c>
      <c r="H818" s="1" t="s">
        <v>976</v>
      </c>
      <c r="I818" s="1">
        <v>59.9</v>
      </c>
      <c r="J818" s="20">
        <v>15</v>
      </c>
      <c r="K818" s="1">
        <v>19</v>
      </c>
      <c r="L818" s="1">
        <v>285</v>
      </c>
      <c r="M818" s="42" t="s">
        <v>2836</v>
      </c>
      <c r="O818" s="2" t="s">
        <v>2482</v>
      </c>
      <c r="Q818" t="s">
        <v>827</v>
      </c>
    </row>
    <row r="819" spans="1:17" ht="15" customHeight="1" x14ac:dyDescent="0.25">
      <c r="A819" s="3" t="s">
        <v>1413</v>
      </c>
      <c r="B819" s="4" t="s">
        <v>2841</v>
      </c>
      <c r="C819" t="s">
        <v>1383</v>
      </c>
      <c r="D819">
        <v>1</v>
      </c>
      <c r="E819" t="s">
        <v>974</v>
      </c>
      <c r="F819" t="s">
        <v>975</v>
      </c>
      <c r="G819" t="s">
        <v>180</v>
      </c>
      <c r="H819" s="1" t="s">
        <v>976</v>
      </c>
      <c r="I819" s="1">
        <v>59.9</v>
      </c>
      <c r="J819" s="20">
        <v>14</v>
      </c>
      <c r="K819" s="1">
        <v>19</v>
      </c>
      <c r="L819" s="1">
        <v>266</v>
      </c>
      <c r="M819" s="42" t="s">
        <v>2836</v>
      </c>
      <c r="O819" s="2" t="s">
        <v>2482</v>
      </c>
      <c r="Q819" t="s">
        <v>827</v>
      </c>
    </row>
    <row r="820" spans="1:17" ht="15" customHeight="1" x14ac:dyDescent="0.25">
      <c r="A820" s="3" t="s">
        <v>2239</v>
      </c>
      <c r="B820" s="4" t="s">
        <v>2842</v>
      </c>
      <c r="C820" t="s">
        <v>1383</v>
      </c>
      <c r="D820">
        <v>1</v>
      </c>
      <c r="E820" t="s">
        <v>974</v>
      </c>
      <c r="F820" t="s">
        <v>975</v>
      </c>
      <c r="G820" t="s">
        <v>180</v>
      </c>
      <c r="H820" s="1" t="s">
        <v>976</v>
      </c>
      <c r="I820" s="1">
        <v>89</v>
      </c>
      <c r="J820" s="20">
        <v>7</v>
      </c>
      <c r="K820" s="1">
        <v>24</v>
      </c>
      <c r="L820" s="1">
        <v>168</v>
      </c>
      <c r="M820" s="42" t="s">
        <v>2836</v>
      </c>
      <c r="O820" s="2" t="s">
        <v>2472</v>
      </c>
      <c r="Q820" t="s">
        <v>828</v>
      </c>
    </row>
    <row r="821" spans="1:17" ht="15" customHeight="1" x14ac:dyDescent="0.25">
      <c r="A821" s="3" t="s">
        <v>2240</v>
      </c>
      <c r="B821" s="4" t="s">
        <v>2842</v>
      </c>
      <c r="C821" t="s">
        <v>1383</v>
      </c>
      <c r="D821">
        <v>1</v>
      </c>
      <c r="E821" t="s">
        <v>974</v>
      </c>
      <c r="F821" t="s">
        <v>975</v>
      </c>
      <c r="G821" t="s">
        <v>180</v>
      </c>
      <c r="H821" s="1" t="s">
        <v>976</v>
      </c>
      <c r="I821" s="1">
        <v>89</v>
      </c>
      <c r="J821" s="20">
        <v>4</v>
      </c>
      <c r="K821" s="1">
        <v>24</v>
      </c>
      <c r="L821" s="1">
        <v>96</v>
      </c>
      <c r="M821" s="42" t="s">
        <v>2836</v>
      </c>
      <c r="O821" s="2" t="s">
        <v>2472</v>
      </c>
      <c r="Q821" t="s">
        <v>828</v>
      </c>
    </row>
    <row r="822" spans="1:17" ht="15" customHeight="1" x14ac:dyDescent="0.25">
      <c r="A822" s="3" t="s">
        <v>2241</v>
      </c>
      <c r="B822" s="4" t="s">
        <v>2842</v>
      </c>
      <c r="C822" t="s">
        <v>1383</v>
      </c>
      <c r="D822">
        <v>1</v>
      </c>
      <c r="E822" t="s">
        <v>974</v>
      </c>
      <c r="F822" t="s">
        <v>975</v>
      </c>
      <c r="G822" t="s">
        <v>180</v>
      </c>
      <c r="H822" s="1" t="s">
        <v>976</v>
      </c>
      <c r="I822" s="1">
        <v>89</v>
      </c>
      <c r="J822" s="20">
        <v>6</v>
      </c>
      <c r="K822" s="1">
        <v>24</v>
      </c>
      <c r="L822" s="1">
        <v>144</v>
      </c>
      <c r="M822" s="42" t="s">
        <v>2836</v>
      </c>
      <c r="O822" s="2" t="s">
        <v>2472</v>
      </c>
      <c r="Q822" t="s">
        <v>828</v>
      </c>
    </row>
    <row r="823" spans="1:17" ht="15" customHeight="1" x14ac:dyDescent="0.25">
      <c r="A823" s="3" t="s">
        <v>1414</v>
      </c>
      <c r="B823" s="4" t="s">
        <v>2845</v>
      </c>
      <c r="C823" t="s">
        <v>1415</v>
      </c>
      <c r="D823">
        <v>1</v>
      </c>
      <c r="E823" t="s">
        <v>974</v>
      </c>
      <c r="F823" t="s">
        <v>975</v>
      </c>
      <c r="G823" t="s">
        <v>180</v>
      </c>
      <c r="H823" s="1" t="s">
        <v>976</v>
      </c>
      <c r="I823" s="1">
        <v>390</v>
      </c>
      <c r="J823" s="20">
        <v>10</v>
      </c>
      <c r="K823" s="1">
        <v>32</v>
      </c>
      <c r="L823" s="1">
        <v>320</v>
      </c>
      <c r="M823" s="42" t="s">
        <v>2843</v>
      </c>
      <c r="O823" s="2" t="s">
        <v>2844</v>
      </c>
      <c r="P823" t="s">
        <v>24</v>
      </c>
      <c r="Q823" t="s">
        <v>829</v>
      </c>
    </row>
    <row r="824" spans="1:17" ht="15" customHeight="1" x14ac:dyDescent="0.25">
      <c r="A824" s="3" t="s">
        <v>1416</v>
      </c>
      <c r="B824" s="4" t="s">
        <v>2845</v>
      </c>
      <c r="C824" t="s">
        <v>1415</v>
      </c>
      <c r="D824">
        <v>1</v>
      </c>
      <c r="E824" t="s">
        <v>974</v>
      </c>
      <c r="F824" t="s">
        <v>975</v>
      </c>
      <c r="G824" t="s">
        <v>180</v>
      </c>
      <c r="H824" s="1" t="s">
        <v>976</v>
      </c>
      <c r="I824" s="1">
        <v>390</v>
      </c>
      <c r="J824" s="20">
        <v>4</v>
      </c>
      <c r="K824" s="1">
        <v>32</v>
      </c>
      <c r="L824" s="1">
        <v>128</v>
      </c>
      <c r="M824" s="42" t="s">
        <v>2843</v>
      </c>
      <c r="O824" s="2" t="s">
        <v>2844</v>
      </c>
      <c r="P824" t="s">
        <v>25</v>
      </c>
      <c r="Q824" t="s">
        <v>829</v>
      </c>
    </row>
    <row r="825" spans="1:17" ht="15" customHeight="1" x14ac:dyDescent="0.25">
      <c r="A825" s="3" t="s">
        <v>1417</v>
      </c>
      <c r="B825" s="4" t="s">
        <v>2845</v>
      </c>
      <c r="C825" t="s">
        <v>1415</v>
      </c>
      <c r="D825">
        <v>1</v>
      </c>
      <c r="E825" t="s">
        <v>974</v>
      </c>
      <c r="F825" t="s">
        <v>975</v>
      </c>
      <c r="G825" t="s">
        <v>180</v>
      </c>
      <c r="H825" s="1" t="s">
        <v>976</v>
      </c>
      <c r="I825" s="1">
        <v>390</v>
      </c>
      <c r="J825" s="20">
        <v>15</v>
      </c>
      <c r="K825" s="1">
        <v>32</v>
      </c>
      <c r="L825" s="1">
        <v>480</v>
      </c>
      <c r="M825" s="42" t="s">
        <v>2843</v>
      </c>
      <c r="O825" s="2" t="s">
        <v>2844</v>
      </c>
      <c r="P825" t="s">
        <v>23</v>
      </c>
      <c r="Q825" t="s">
        <v>829</v>
      </c>
    </row>
    <row r="826" spans="1:17" ht="15" customHeight="1" x14ac:dyDescent="0.25">
      <c r="A826" s="3" t="s">
        <v>1418</v>
      </c>
      <c r="B826" s="4" t="s">
        <v>2845</v>
      </c>
      <c r="C826" t="s">
        <v>1415</v>
      </c>
      <c r="D826">
        <v>1</v>
      </c>
      <c r="E826" t="s">
        <v>974</v>
      </c>
      <c r="F826" t="s">
        <v>975</v>
      </c>
      <c r="G826" t="s">
        <v>180</v>
      </c>
      <c r="H826" s="1" t="s">
        <v>976</v>
      </c>
      <c r="I826" s="1">
        <v>390</v>
      </c>
      <c r="J826" s="20">
        <v>8</v>
      </c>
      <c r="K826" s="1">
        <v>32</v>
      </c>
      <c r="L826" s="1">
        <v>256</v>
      </c>
      <c r="M826" s="42" t="s">
        <v>2843</v>
      </c>
      <c r="O826" s="2" t="s">
        <v>2844</v>
      </c>
      <c r="P826" t="s">
        <v>22</v>
      </c>
      <c r="Q826" t="s">
        <v>829</v>
      </c>
    </row>
    <row r="827" spans="1:17" ht="15" customHeight="1" x14ac:dyDescent="0.25">
      <c r="A827" s="3" t="s">
        <v>1419</v>
      </c>
      <c r="B827" s="4" t="s">
        <v>2846</v>
      </c>
      <c r="C827" t="s">
        <v>1415</v>
      </c>
      <c r="D827">
        <v>1</v>
      </c>
      <c r="E827" t="s">
        <v>974</v>
      </c>
      <c r="F827" t="s">
        <v>975</v>
      </c>
      <c r="G827" t="s">
        <v>976</v>
      </c>
      <c r="H827" s="1" t="s">
        <v>976</v>
      </c>
      <c r="I827" s="1">
        <v>680</v>
      </c>
      <c r="J827" s="20">
        <v>4</v>
      </c>
      <c r="K827" s="1">
        <v>106</v>
      </c>
      <c r="L827" s="1">
        <v>424</v>
      </c>
      <c r="M827" s="42" t="s">
        <v>2843</v>
      </c>
      <c r="O827" s="2" t="s">
        <v>2447</v>
      </c>
      <c r="P827" t="s">
        <v>24</v>
      </c>
      <c r="Q827" t="s">
        <v>830</v>
      </c>
    </row>
    <row r="828" spans="1:17" ht="15" customHeight="1" x14ac:dyDescent="0.25">
      <c r="A828" s="3" t="s">
        <v>1420</v>
      </c>
      <c r="B828" s="4" t="s">
        <v>2846</v>
      </c>
      <c r="C828" t="s">
        <v>1415</v>
      </c>
      <c r="D828">
        <v>1</v>
      </c>
      <c r="E828" t="s">
        <v>974</v>
      </c>
      <c r="F828" t="s">
        <v>975</v>
      </c>
      <c r="G828" t="s">
        <v>976</v>
      </c>
      <c r="H828" s="1" t="s">
        <v>976</v>
      </c>
      <c r="I828" s="1">
        <v>680</v>
      </c>
      <c r="J828" s="20">
        <v>1</v>
      </c>
      <c r="K828" s="1">
        <v>106</v>
      </c>
      <c r="L828" s="1">
        <v>106</v>
      </c>
      <c r="M828" s="42" t="s">
        <v>2843</v>
      </c>
      <c r="O828" s="2" t="s">
        <v>2447</v>
      </c>
      <c r="P828" t="s">
        <v>25</v>
      </c>
      <c r="Q828" t="s">
        <v>830</v>
      </c>
    </row>
    <row r="829" spans="1:17" ht="15" customHeight="1" x14ac:dyDescent="0.25">
      <c r="A829" s="3" t="s">
        <v>1421</v>
      </c>
      <c r="B829" s="4" t="s">
        <v>2846</v>
      </c>
      <c r="C829" t="s">
        <v>1415</v>
      </c>
      <c r="D829">
        <v>1</v>
      </c>
      <c r="E829" t="s">
        <v>974</v>
      </c>
      <c r="F829" t="s">
        <v>975</v>
      </c>
      <c r="G829" t="s">
        <v>976</v>
      </c>
      <c r="H829" s="1" t="s">
        <v>976</v>
      </c>
      <c r="I829" s="1">
        <v>680</v>
      </c>
      <c r="J829" s="20">
        <v>2</v>
      </c>
      <c r="K829" s="1">
        <v>106</v>
      </c>
      <c r="L829" s="1">
        <v>212</v>
      </c>
      <c r="M829" s="42" t="s">
        <v>2843</v>
      </c>
      <c r="O829" s="2" t="s">
        <v>2447</v>
      </c>
      <c r="P829" t="s">
        <v>23</v>
      </c>
      <c r="Q829" t="s">
        <v>830</v>
      </c>
    </row>
    <row r="830" spans="1:17" ht="15" customHeight="1" x14ac:dyDescent="0.25">
      <c r="A830" s="3" t="s">
        <v>1422</v>
      </c>
      <c r="B830" s="4" t="s">
        <v>2846</v>
      </c>
      <c r="C830" t="s">
        <v>1415</v>
      </c>
      <c r="D830">
        <v>1</v>
      </c>
      <c r="E830" t="s">
        <v>974</v>
      </c>
      <c r="F830" t="s">
        <v>975</v>
      </c>
      <c r="G830" t="s">
        <v>976</v>
      </c>
      <c r="H830" s="1" t="s">
        <v>976</v>
      </c>
      <c r="I830" s="1">
        <v>680</v>
      </c>
      <c r="J830" s="20">
        <v>0</v>
      </c>
      <c r="K830" s="1">
        <v>106</v>
      </c>
      <c r="L830" s="1">
        <v>0</v>
      </c>
      <c r="M830" s="42" t="s">
        <v>2843</v>
      </c>
      <c r="O830" s="2" t="s">
        <v>2447</v>
      </c>
      <c r="P830" t="s">
        <v>22</v>
      </c>
      <c r="Q830" t="s">
        <v>830</v>
      </c>
    </row>
    <row r="831" spans="1:17" ht="15" customHeight="1" x14ac:dyDescent="0.25">
      <c r="A831" s="3" t="s">
        <v>1423</v>
      </c>
      <c r="B831" s="4" t="s">
        <v>2846</v>
      </c>
      <c r="C831" t="s">
        <v>1415</v>
      </c>
      <c r="D831">
        <v>1</v>
      </c>
      <c r="E831" t="s">
        <v>974</v>
      </c>
      <c r="F831" t="s">
        <v>975</v>
      </c>
      <c r="G831" t="s">
        <v>976</v>
      </c>
      <c r="H831" s="1" t="s">
        <v>976</v>
      </c>
      <c r="I831" s="1">
        <v>680</v>
      </c>
      <c r="J831" s="20">
        <v>0</v>
      </c>
      <c r="K831" s="1">
        <v>106</v>
      </c>
      <c r="L831" s="1">
        <v>0</v>
      </c>
      <c r="M831" s="42" t="s">
        <v>2843</v>
      </c>
      <c r="O831" s="2" t="s">
        <v>2447</v>
      </c>
      <c r="P831" t="s">
        <v>21</v>
      </c>
      <c r="Q831" t="s">
        <v>830</v>
      </c>
    </row>
    <row r="832" spans="1:17" ht="15" customHeight="1" x14ac:dyDescent="0.25">
      <c r="A832" s="3" t="s">
        <v>1424</v>
      </c>
      <c r="B832" s="4" t="s">
        <v>2846</v>
      </c>
      <c r="C832" t="s">
        <v>1415</v>
      </c>
      <c r="D832">
        <v>1</v>
      </c>
      <c r="E832" t="s">
        <v>974</v>
      </c>
      <c r="F832" t="s">
        <v>975</v>
      </c>
      <c r="G832" t="s">
        <v>976</v>
      </c>
      <c r="H832" s="1" t="s">
        <v>976</v>
      </c>
      <c r="I832" s="1">
        <v>680</v>
      </c>
      <c r="J832" s="20">
        <v>3</v>
      </c>
      <c r="K832" s="1">
        <v>106</v>
      </c>
      <c r="L832" s="1">
        <v>318</v>
      </c>
      <c r="M832" s="42" t="s">
        <v>2843</v>
      </c>
      <c r="O832" s="2" t="s">
        <v>2727</v>
      </c>
      <c r="P832" t="s">
        <v>24</v>
      </c>
      <c r="Q832" t="s">
        <v>831</v>
      </c>
    </row>
    <row r="833" spans="1:17" ht="15" customHeight="1" x14ac:dyDescent="0.25">
      <c r="A833" s="3" t="s">
        <v>1425</v>
      </c>
      <c r="B833" s="4" t="s">
        <v>2846</v>
      </c>
      <c r="C833" t="s">
        <v>1415</v>
      </c>
      <c r="D833">
        <v>1</v>
      </c>
      <c r="E833" t="s">
        <v>974</v>
      </c>
      <c r="F833" t="s">
        <v>975</v>
      </c>
      <c r="G833" t="s">
        <v>976</v>
      </c>
      <c r="H833" s="1" t="s">
        <v>976</v>
      </c>
      <c r="I833" s="1">
        <v>680</v>
      </c>
      <c r="J833" s="20">
        <v>1</v>
      </c>
      <c r="K833" s="1">
        <v>106</v>
      </c>
      <c r="L833" s="1">
        <v>106</v>
      </c>
      <c r="M833" s="42" t="s">
        <v>2843</v>
      </c>
      <c r="O833" s="2" t="s">
        <v>2727</v>
      </c>
      <c r="P833" t="s">
        <v>25</v>
      </c>
      <c r="Q833" t="s">
        <v>831</v>
      </c>
    </row>
    <row r="834" spans="1:17" ht="15" customHeight="1" x14ac:dyDescent="0.25">
      <c r="A834" s="3" t="s">
        <v>1426</v>
      </c>
      <c r="B834" s="4" t="s">
        <v>2846</v>
      </c>
      <c r="C834" t="s">
        <v>1415</v>
      </c>
      <c r="D834">
        <v>1</v>
      </c>
      <c r="E834" t="s">
        <v>974</v>
      </c>
      <c r="F834" t="s">
        <v>975</v>
      </c>
      <c r="G834" t="s">
        <v>976</v>
      </c>
      <c r="H834" s="1" t="s">
        <v>976</v>
      </c>
      <c r="I834" s="1">
        <v>680</v>
      </c>
      <c r="J834" s="20">
        <v>7</v>
      </c>
      <c r="K834" s="1">
        <v>106</v>
      </c>
      <c r="L834" s="1">
        <v>742</v>
      </c>
      <c r="M834" s="42" t="s">
        <v>2843</v>
      </c>
      <c r="O834" s="2" t="s">
        <v>2727</v>
      </c>
      <c r="P834" t="s">
        <v>23</v>
      </c>
      <c r="Q834" t="s">
        <v>831</v>
      </c>
    </row>
    <row r="835" spans="1:17" ht="15" customHeight="1" x14ac:dyDescent="0.25">
      <c r="A835" s="3" t="s">
        <v>1427</v>
      </c>
      <c r="B835" s="4" t="s">
        <v>2846</v>
      </c>
      <c r="C835" t="s">
        <v>1415</v>
      </c>
      <c r="D835">
        <v>1</v>
      </c>
      <c r="E835" t="s">
        <v>974</v>
      </c>
      <c r="F835" t="s">
        <v>975</v>
      </c>
      <c r="G835" t="s">
        <v>976</v>
      </c>
      <c r="H835" s="1" t="s">
        <v>976</v>
      </c>
      <c r="I835" s="1">
        <v>680</v>
      </c>
      <c r="J835" s="20">
        <v>0</v>
      </c>
      <c r="K835" s="1">
        <v>106</v>
      </c>
      <c r="L835" s="1">
        <v>0</v>
      </c>
      <c r="M835" s="42" t="s">
        <v>2843</v>
      </c>
      <c r="O835" s="2" t="s">
        <v>2727</v>
      </c>
      <c r="P835" t="s">
        <v>22</v>
      </c>
      <c r="Q835" t="s">
        <v>831</v>
      </c>
    </row>
    <row r="836" spans="1:17" ht="15" customHeight="1" x14ac:dyDescent="0.25">
      <c r="A836" s="3" t="s">
        <v>1428</v>
      </c>
      <c r="B836" s="4" t="s">
        <v>2846</v>
      </c>
      <c r="C836" t="s">
        <v>1415</v>
      </c>
      <c r="D836">
        <v>1</v>
      </c>
      <c r="E836" t="s">
        <v>974</v>
      </c>
      <c r="F836" t="s">
        <v>975</v>
      </c>
      <c r="G836" t="s">
        <v>976</v>
      </c>
      <c r="H836" s="1" t="s">
        <v>976</v>
      </c>
      <c r="I836" s="1">
        <v>680</v>
      </c>
      <c r="J836" s="20">
        <v>1</v>
      </c>
      <c r="K836" s="1">
        <v>106</v>
      </c>
      <c r="L836" s="1">
        <v>106</v>
      </c>
      <c r="M836" s="42" t="s">
        <v>2843</v>
      </c>
      <c r="O836" s="2" t="s">
        <v>2727</v>
      </c>
      <c r="P836" t="s">
        <v>21</v>
      </c>
      <c r="Q836" t="s">
        <v>831</v>
      </c>
    </row>
    <row r="837" spans="1:17" ht="15" customHeight="1" x14ac:dyDescent="0.25">
      <c r="A837" s="3" t="s">
        <v>1429</v>
      </c>
      <c r="B837" s="4" t="s">
        <v>2847</v>
      </c>
      <c r="C837" t="s">
        <v>1415</v>
      </c>
      <c r="D837">
        <v>1</v>
      </c>
      <c r="E837" t="s">
        <v>974</v>
      </c>
      <c r="F837" t="s">
        <v>975</v>
      </c>
      <c r="G837" t="s">
        <v>180</v>
      </c>
      <c r="H837" s="1" t="s">
        <v>976</v>
      </c>
      <c r="I837" s="1">
        <v>1160</v>
      </c>
      <c r="J837" s="20">
        <v>6</v>
      </c>
      <c r="K837" s="1">
        <v>0</v>
      </c>
      <c r="L837" s="1">
        <v>0</v>
      </c>
      <c r="M837" s="42" t="s">
        <v>2843</v>
      </c>
      <c r="O837" s="2" t="s">
        <v>2508</v>
      </c>
      <c r="P837" t="s">
        <v>23</v>
      </c>
      <c r="Q837" t="s">
        <v>832</v>
      </c>
    </row>
    <row r="838" spans="1:17" ht="15" customHeight="1" x14ac:dyDescent="0.25">
      <c r="A838" s="41" t="s">
        <v>1429</v>
      </c>
      <c r="B838" s="3" t="s">
        <v>2847</v>
      </c>
      <c r="C838" s="41" t="s">
        <v>1415</v>
      </c>
      <c r="D838">
        <v>3</v>
      </c>
      <c r="E838" t="s">
        <v>1179</v>
      </c>
      <c r="F838" t="s">
        <v>1180</v>
      </c>
      <c r="G838" t="s">
        <v>180</v>
      </c>
      <c r="H838" s="1" t="s">
        <v>976</v>
      </c>
      <c r="I838" s="1">
        <v>1160</v>
      </c>
      <c r="J838" s="20">
        <v>1</v>
      </c>
      <c r="K838" s="1">
        <v>1160</v>
      </c>
      <c r="L838" s="1">
        <v>1160</v>
      </c>
      <c r="M838" s="42" t="s">
        <v>2843</v>
      </c>
      <c r="O838" s="2" t="s">
        <v>2508</v>
      </c>
      <c r="P838" t="s">
        <v>23</v>
      </c>
      <c r="Q838" t="s">
        <v>832</v>
      </c>
    </row>
    <row r="839" spans="1:17" ht="15" customHeight="1" x14ac:dyDescent="0.25">
      <c r="A839" s="3" t="s">
        <v>1430</v>
      </c>
      <c r="B839" s="4" t="s">
        <v>2847</v>
      </c>
      <c r="C839" t="s">
        <v>1415</v>
      </c>
      <c r="D839">
        <v>1</v>
      </c>
      <c r="E839" t="s">
        <v>974</v>
      </c>
      <c r="F839" t="s">
        <v>975</v>
      </c>
      <c r="G839" t="s">
        <v>180</v>
      </c>
      <c r="H839" s="1" t="s">
        <v>976</v>
      </c>
      <c r="I839" s="1">
        <v>1160</v>
      </c>
      <c r="J839" s="20">
        <v>2</v>
      </c>
      <c r="K839" s="1">
        <v>0</v>
      </c>
      <c r="L839" s="1">
        <v>0</v>
      </c>
      <c r="M839" s="42" t="s">
        <v>2843</v>
      </c>
      <c r="O839" s="2" t="s">
        <v>2482</v>
      </c>
      <c r="P839" t="s">
        <v>23</v>
      </c>
      <c r="Q839" t="s">
        <v>833</v>
      </c>
    </row>
    <row r="840" spans="1:17" ht="15" customHeight="1" x14ac:dyDescent="0.25">
      <c r="A840" s="41" t="s">
        <v>1430</v>
      </c>
      <c r="B840" s="3" t="s">
        <v>2847</v>
      </c>
      <c r="C840" s="41" t="s">
        <v>1415</v>
      </c>
      <c r="D840">
        <v>3</v>
      </c>
      <c r="E840" t="s">
        <v>1179</v>
      </c>
      <c r="F840" t="s">
        <v>1180</v>
      </c>
      <c r="G840" t="s">
        <v>180</v>
      </c>
      <c r="H840" s="1" t="s">
        <v>976</v>
      </c>
      <c r="I840" s="1">
        <v>1160</v>
      </c>
      <c r="J840" s="20">
        <v>1</v>
      </c>
      <c r="K840" s="1">
        <v>1160</v>
      </c>
      <c r="L840" s="1">
        <v>1160</v>
      </c>
      <c r="M840" s="42" t="s">
        <v>2843</v>
      </c>
      <c r="O840" s="2" t="s">
        <v>2482</v>
      </c>
      <c r="P840" t="s">
        <v>23</v>
      </c>
      <c r="Q840" t="s">
        <v>833</v>
      </c>
    </row>
    <row r="841" spans="1:17" ht="15" customHeight="1" x14ac:dyDescent="0.25">
      <c r="A841" s="41" t="s">
        <v>1430</v>
      </c>
      <c r="B841" s="3" t="s">
        <v>2847</v>
      </c>
      <c r="C841" s="41" t="s">
        <v>1415</v>
      </c>
      <c r="D841">
        <v>4</v>
      </c>
      <c r="E841" t="s">
        <v>1018</v>
      </c>
      <c r="F841" t="s">
        <v>975</v>
      </c>
      <c r="G841" t="s">
        <v>180</v>
      </c>
      <c r="H841" s="1" t="s">
        <v>976</v>
      </c>
      <c r="I841" s="1">
        <v>1160</v>
      </c>
      <c r="J841" s="20">
        <v>1</v>
      </c>
      <c r="K841" s="1">
        <v>1200</v>
      </c>
      <c r="L841" s="1">
        <v>1200</v>
      </c>
      <c r="M841" s="42" t="s">
        <v>2843</v>
      </c>
      <c r="O841" s="2" t="s">
        <v>2482</v>
      </c>
      <c r="P841" t="s">
        <v>23</v>
      </c>
      <c r="Q841" t="s">
        <v>833</v>
      </c>
    </row>
    <row r="842" spans="1:17" ht="15" customHeight="1" x14ac:dyDescent="0.25">
      <c r="A842" s="3" t="s">
        <v>1431</v>
      </c>
      <c r="B842" s="4" t="s">
        <v>2848</v>
      </c>
      <c r="C842" t="s">
        <v>1415</v>
      </c>
      <c r="D842">
        <v>1</v>
      </c>
      <c r="E842" t="s">
        <v>974</v>
      </c>
      <c r="F842" t="s">
        <v>975</v>
      </c>
      <c r="G842" t="s">
        <v>180</v>
      </c>
      <c r="H842" s="1" t="s">
        <v>976</v>
      </c>
      <c r="I842" s="1">
        <v>710</v>
      </c>
      <c r="J842" s="20">
        <v>11</v>
      </c>
      <c r="K842" s="1">
        <v>125.44</v>
      </c>
      <c r="L842" s="1">
        <v>1379.84</v>
      </c>
      <c r="M842" s="42" t="s">
        <v>2843</v>
      </c>
      <c r="O842" s="2" t="s">
        <v>2447</v>
      </c>
      <c r="P842" t="s">
        <v>24</v>
      </c>
      <c r="Q842" t="s">
        <v>834</v>
      </c>
    </row>
    <row r="843" spans="1:17" ht="15" customHeight="1" x14ac:dyDescent="0.25">
      <c r="A843" s="3" t="s">
        <v>1432</v>
      </c>
      <c r="B843" s="4" t="s">
        <v>2848</v>
      </c>
      <c r="C843" t="s">
        <v>1415</v>
      </c>
      <c r="D843">
        <v>1</v>
      </c>
      <c r="E843" t="s">
        <v>974</v>
      </c>
      <c r="F843" t="s">
        <v>975</v>
      </c>
      <c r="G843" t="s">
        <v>180</v>
      </c>
      <c r="H843" s="1" t="s">
        <v>976</v>
      </c>
      <c r="I843" s="1">
        <v>710</v>
      </c>
      <c r="J843" s="20">
        <v>4</v>
      </c>
      <c r="K843" s="1">
        <v>125.44</v>
      </c>
      <c r="L843" s="1">
        <v>501.76</v>
      </c>
      <c r="M843" s="42" t="s">
        <v>2843</v>
      </c>
      <c r="O843" s="2" t="s">
        <v>2447</v>
      </c>
      <c r="P843" t="s">
        <v>25</v>
      </c>
      <c r="Q843" t="s">
        <v>834</v>
      </c>
    </row>
    <row r="844" spans="1:17" ht="15" customHeight="1" x14ac:dyDescent="0.25">
      <c r="A844" s="3" t="s">
        <v>1433</v>
      </c>
      <c r="B844" s="4" t="s">
        <v>2848</v>
      </c>
      <c r="C844" t="s">
        <v>1415</v>
      </c>
      <c r="D844">
        <v>1</v>
      </c>
      <c r="E844" t="s">
        <v>974</v>
      </c>
      <c r="F844" t="s">
        <v>975</v>
      </c>
      <c r="G844" t="s">
        <v>180</v>
      </c>
      <c r="H844" s="1" t="s">
        <v>976</v>
      </c>
      <c r="I844" s="1">
        <v>710</v>
      </c>
      <c r="J844" s="20">
        <v>18</v>
      </c>
      <c r="K844" s="1">
        <v>125.44</v>
      </c>
      <c r="L844" s="1">
        <v>2257.92</v>
      </c>
      <c r="M844" s="42" t="s">
        <v>2843</v>
      </c>
      <c r="O844" s="2" t="s">
        <v>2447</v>
      </c>
      <c r="P844" t="s">
        <v>23</v>
      </c>
      <c r="Q844" t="s">
        <v>834</v>
      </c>
    </row>
    <row r="845" spans="1:17" ht="15" customHeight="1" x14ac:dyDescent="0.25">
      <c r="A845" s="3" t="s">
        <v>1434</v>
      </c>
      <c r="B845" s="4" t="s">
        <v>2848</v>
      </c>
      <c r="C845" t="s">
        <v>1415</v>
      </c>
      <c r="D845">
        <v>1</v>
      </c>
      <c r="E845" t="s">
        <v>974</v>
      </c>
      <c r="F845" t="s">
        <v>975</v>
      </c>
      <c r="G845" t="s">
        <v>180</v>
      </c>
      <c r="H845" s="1" t="s">
        <v>976</v>
      </c>
      <c r="I845" s="1">
        <v>710</v>
      </c>
      <c r="J845" s="20">
        <v>5</v>
      </c>
      <c r="K845" s="1">
        <v>125.44</v>
      </c>
      <c r="L845" s="1">
        <v>627.20000000000005</v>
      </c>
      <c r="M845" s="42" t="s">
        <v>2843</v>
      </c>
      <c r="O845" s="2" t="s">
        <v>2447</v>
      </c>
      <c r="P845" t="s">
        <v>22</v>
      </c>
      <c r="Q845" t="s">
        <v>834</v>
      </c>
    </row>
    <row r="846" spans="1:17" ht="15" customHeight="1" x14ac:dyDescent="0.25">
      <c r="A846" s="3" t="s">
        <v>1435</v>
      </c>
      <c r="B846" s="4" t="s">
        <v>2848</v>
      </c>
      <c r="C846" t="s">
        <v>1415</v>
      </c>
      <c r="D846">
        <v>1</v>
      </c>
      <c r="E846" t="s">
        <v>974</v>
      </c>
      <c r="F846" t="s">
        <v>975</v>
      </c>
      <c r="G846" t="s">
        <v>180</v>
      </c>
      <c r="H846" s="1" t="s">
        <v>976</v>
      </c>
      <c r="I846" s="1">
        <v>710</v>
      </c>
      <c r="J846" s="20">
        <v>0</v>
      </c>
      <c r="K846" s="1">
        <v>125.44</v>
      </c>
      <c r="L846" s="1">
        <v>0</v>
      </c>
      <c r="M846" s="42" t="s">
        <v>2843</v>
      </c>
      <c r="O846" s="2" t="s">
        <v>2447</v>
      </c>
      <c r="P846" t="s">
        <v>21</v>
      </c>
      <c r="Q846" t="s">
        <v>834</v>
      </c>
    </row>
    <row r="847" spans="1:17" ht="15" customHeight="1" x14ac:dyDescent="0.25">
      <c r="A847" s="3" t="s">
        <v>1436</v>
      </c>
      <c r="B847" s="4" t="s">
        <v>2848</v>
      </c>
      <c r="C847" t="s">
        <v>1415</v>
      </c>
      <c r="D847">
        <v>1</v>
      </c>
      <c r="E847" t="s">
        <v>974</v>
      </c>
      <c r="F847" t="s">
        <v>975</v>
      </c>
      <c r="G847" t="s">
        <v>180</v>
      </c>
      <c r="H847" s="1" t="s">
        <v>976</v>
      </c>
      <c r="I847" s="1">
        <v>710</v>
      </c>
      <c r="J847" s="20">
        <v>6</v>
      </c>
      <c r="K847" s="1">
        <v>125.44</v>
      </c>
      <c r="L847" s="1">
        <v>752.64</v>
      </c>
      <c r="M847" s="42" t="s">
        <v>2843</v>
      </c>
      <c r="O847" s="2" t="s">
        <v>2437</v>
      </c>
      <c r="P847" t="s">
        <v>24</v>
      </c>
      <c r="Q847" t="s">
        <v>835</v>
      </c>
    </row>
    <row r="848" spans="1:17" ht="15" customHeight="1" x14ac:dyDescent="0.25">
      <c r="A848" s="3" t="s">
        <v>1437</v>
      </c>
      <c r="B848" s="4" t="s">
        <v>2848</v>
      </c>
      <c r="C848" t="s">
        <v>1415</v>
      </c>
      <c r="D848">
        <v>1</v>
      </c>
      <c r="E848" t="s">
        <v>974</v>
      </c>
      <c r="F848" t="s">
        <v>975</v>
      </c>
      <c r="G848" t="s">
        <v>180</v>
      </c>
      <c r="H848" s="1" t="s">
        <v>976</v>
      </c>
      <c r="I848" s="1">
        <v>710</v>
      </c>
      <c r="J848" s="20">
        <v>2</v>
      </c>
      <c r="K848" s="1">
        <v>125.44</v>
      </c>
      <c r="L848" s="1">
        <v>250.88</v>
      </c>
      <c r="M848" s="42" t="s">
        <v>2843</v>
      </c>
      <c r="O848" s="2" t="s">
        <v>2437</v>
      </c>
      <c r="P848" t="s">
        <v>25</v>
      </c>
      <c r="Q848" t="s">
        <v>835</v>
      </c>
    </row>
    <row r="849" spans="1:17" ht="15" customHeight="1" x14ac:dyDescent="0.25">
      <c r="A849" s="3" t="s">
        <v>1438</v>
      </c>
      <c r="B849" s="4" t="s">
        <v>2848</v>
      </c>
      <c r="C849" t="s">
        <v>1415</v>
      </c>
      <c r="D849">
        <v>1</v>
      </c>
      <c r="E849" t="s">
        <v>974</v>
      </c>
      <c r="F849" t="s">
        <v>975</v>
      </c>
      <c r="G849" t="s">
        <v>180</v>
      </c>
      <c r="H849" s="1" t="s">
        <v>976</v>
      </c>
      <c r="I849" s="1">
        <v>710</v>
      </c>
      <c r="J849" s="20">
        <v>15</v>
      </c>
      <c r="K849" s="1">
        <v>125.44</v>
      </c>
      <c r="L849" s="1">
        <v>1881.6</v>
      </c>
      <c r="M849" s="42" t="s">
        <v>2843</v>
      </c>
      <c r="O849" s="2" t="s">
        <v>2437</v>
      </c>
      <c r="P849" t="s">
        <v>23</v>
      </c>
      <c r="Q849" t="s">
        <v>835</v>
      </c>
    </row>
    <row r="850" spans="1:17" ht="15" customHeight="1" x14ac:dyDescent="0.25">
      <c r="A850" s="3" t="s">
        <v>1439</v>
      </c>
      <c r="B850" s="4" t="s">
        <v>2848</v>
      </c>
      <c r="C850" t="s">
        <v>1415</v>
      </c>
      <c r="D850">
        <v>1</v>
      </c>
      <c r="E850" t="s">
        <v>974</v>
      </c>
      <c r="F850" t="s">
        <v>975</v>
      </c>
      <c r="G850" t="s">
        <v>180</v>
      </c>
      <c r="H850" s="1" t="s">
        <v>976</v>
      </c>
      <c r="I850" s="1">
        <v>710</v>
      </c>
      <c r="J850" s="20">
        <v>0</v>
      </c>
      <c r="K850" s="1">
        <v>125.44</v>
      </c>
      <c r="L850" s="1">
        <v>0</v>
      </c>
      <c r="M850" s="42" t="s">
        <v>2843</v>
      </c>
      <c r="O850" s="2" t="s">
        <v>2437</v>
      </c>
      <c r="P850" t="s">
        <v>22</v>
      </c>
      <c r="Q850" t="s">
        <v>835</v>
      </c>
    </row>
    <row r="851" spans="1:17" ht="15" customHeight="1" x14ac:dyDescent="0.25">
      <c r="A851" s="3" t="s">
        <v>1440</v>
      </c>
      <c r="B851" s="4" t="s">
        <v>2848</v>
      </c>
      <c r="C851" t="s">
        <v>1415</v>
      </c>
      <c r="D851">
        <v>1</v>
      </c>
      <c r="E851" t="s">
        <v>974</v>
      </c>
      <c r="F851" t="s">
        <v>975</v>
      </c>
      <c r="G851" t="s">
        <v>180</v>
      </c>
      <c r="H851" s="1" t="s">
        <v>976</v>
      </c>
      <c r="I851" s="1">
        <v>710</v>
      </c>
      <c r="J851" s="20">
        <v>1</v>
      </c>
      <c r="K851" s="1">
        <v>125.44</v>
      </c>
      <c r="L851" s="1">
        <v>125.44</v>
      </c>
      <c r="M851" s="42" t="s">
        <v>2843</v>
      </c>
      <c r="O851" s="2" t="s">
        <v>2437</v>
      </c>
      <c r="P851" t="s">
        <v>21</v>
      </c>
      <c r="Q851" t="s">
        <v>835</v>
      </c>
    </row>
    <row r="852" spans="1:17" ht="15" customHeight="1" x14ac:dyDescent="0.25">
      <c r="A852" s="3" t="s">
        <v>1441</v>
      </c>
      <c r="B852" s="4" t="s">
        <v>1415</v>
      </c>
      <c r="C852" t="s">
        <v>1415</v>
      </c>
      <c r="D852">
        <v>1</v>
      </c>
      <c r="E852" t="s">
        <v>974</v>
      </c>
      <c r="F852" t="s">
        <v>975</v>
      </c>
      <c r="G852" t="s">
        <v>180</v>
      </c>
      <c r="H852" s="1" t="s">
        <v>976</v>
      </c>
      <c r="I852" s="1">
        <v>490</v>
      </c>
      <c r="J852" s="20">
        <v>1</v>
      </c>
      <c r="K852" s="1">
        <v>50</v>
      </c>
      <c r="L852" s="1">
        <v>50</v>
      </c>
      <c r="M852" s="42" t="s">
        <v>2843</v>
      </c>
      <c r="O852" s="2" t="s">
        <v>2463</v>
      </c>
      <c r="P852" t="s">
        <v>24</v>
      </c>
      <c r="Q852" t="s">
        <v>836</v>
      </c>
    </row>
    <row r="853" spans="1:17" ht="15" customHeight="1" x14ac:dyDescent="0.25">
      <c r="A853" s="3" t="s">
        <v>1442</v>
      </c>
      <c r="B853" s="4" t="s">
        <v>280</v>
      </c>
      <c r="C853" t="s">
        <v>1415</v>
      </c>
      <c r="D853">
        <v>1</v>
      </c>
      <c r="E853" t="s">
        <v>974</v>
      </c>
      <c r="F853" t="s">
        <v>975</v>
      </c>
      <c r="G853" t="s">
        <v>180</v>
      </c>
      <c r="H853" s="1" t="s">
        <v>976</v>
      </c>
      <c r="I853" s="1">
        <v>780</v>
      </c>
      <c r="J853" s="20">
        <v>0</v>
      </c>
      <c r="K853" s="1">
        <v>0</v>
      </c>
      <c r="L853" s="1">
        <v>0</v>
      </c>
      <c r="M853" s="42" t="s">
        <v>2843</v>
      </c>
      <c r="Q853" t="s">
        <v>280</v>
      </c>
    </row>
    <row r="854" spans="1:17" ht="15" customHeight="1" x14ac:dyDescent="0.25">
      <c r="A854" s="3" t="s">
        <v>1443</v>
      </c>
      <c r="B854" s="4" t="s">
        <v>2849</v>
      </c>
      <c r="C854" t="s">
        <v>1415</v>
      </c>
      <c r="D854">
        <v>1</v>
      </c>
      <c r="E854" t="s">
        <v>974</v>
      </c>
      <c r="F854" t="s">
        <v>975</v>
      </c>
      <c r="G854" t="s">
        <v>180</v>
      </c>
      <c r="H854" s="1" t="s">
        <v>976</v>
      </c>
      <c r="I854" s="1">
        <v>390</v>
      </c>
      <c r="J854" s="20">
        <v>9</v>
      </c>
      <c r="K854" s="1">
        <v>32</v>
      </c>
      <c r="L854" s="1">
        <v>288</v>
      </c>
      <c r="M854" s="42" t="s">
        <v>2843</v>
      </c>
      <c r="O854" s="2" t="s">
        <v>2467</v>
      </c>
      <c r="P854" t="s">
        <v>24</v>
      </c>
      <c r="Q854" t="s">
        <v>837</v>
      </c>
    </row>
    <row r="855" spans="1:17" ht="15" customHeight="1" x14ac:dyDescent="0.25">
      <c r="A855" s="3" t="s">
        <v>1444</v>
      </c>
      <c r="B855" s="4" t="s">
        <v>2849</v>
      </c>
      <c r="C855" t="s">
        <v>1415</v>
      </c>
      <c r="D855">
        <v>1</v>
      </c>
      <c r="E855" t="s">
        <v>974</v>
      </c>
      <c r="F855" t="s">
        <v>975</v>
      </c>
      <c r="G855" t="s">
        <v>180</v>
      </c>
      <c r="H855" s="1" t="s">
        <v>976</v>
      </c>
      <c r="I855" s="1">
        <v>390</v>
      </c>
      <c r="J855" s="20">
        <v>3</v>
      </c>
      <c r="K855" s="1">
        <v>32</v>
      </c>
      <c r="L855" s="1">
        <v>96</v>
      </c>
      <c r="M855" s="42" t="s">
        <v>2843</v>
      </c>
      <c r="O855" s="2" t="s">
        <v>2467</v>
      </c>
      <c r="P855" t="s">
        <v>25</v>
      </c>
      <c r="Q855" t="s">
        <v>837</v>
      </c>
    </row>
    <row r="856" spans="1:17" ht="15" customHeight="1" x14ac:dyDescent="0.25">
      <c r="A856" s="3" t="s">
        <v>1445</v>
      </c>
      <c r="B856" s="4" t="s">
        <v>2849</v>
      </c>
      <c r="C856" t="s">
        <v>1415</v>
      </c>
      <c r="D856">
        <v>1</v>
      </c>
      <c r="E856" t="s">
        <v>974</v>
      </c>
      <c r="F856" t="s">
        <v>975</v>
      </c>
      <c r="G856" t="s">
        <v>180</v>
      </c>
      <c r="H856" s="1" t="s">
        <v>976</v>
      </c>
      <c r="I856" s="1">
        <v>390</v>
      </c>
      <c r="J856" s="20">
        <v>15</v>
      </c>
      <c r="K856" s="1">
        <v>32</v>
      </c>
      <c r="L856" s="1">
        <v>480</v>
      </c>
      <c r="M856" s="42" t="s">
        <v>2843</v>
      </c>
      <c r="O856" s="2" t="s">
        <v>2467</v>
      </c>
      <c r="P856" t="s">
        <v>23</v>
      </c>
      <c r="Q856" t="s">
        <v>837</v>
      </c>
    </row>
    <row r="857" spans="1:17" ht="15" customHeight="1" x14ac:dyDescent="0.25">
      <c r="A857" s="3" t="s">
        <v>1446</v>
      </c>
      <c r="B857" s="4" t="s">
        <v>2849</v>
      </c>
      <c r="C857" t="s">
        <v>1415</v>
      </c>
      <c r="D857">
        <v>1</v>
      </c>
      <c r="E857" t="s">
        <v>974</v>
      </c>
      <c r="F857" t="s">
        <v>975</v>
      </c>
      <c r="G857" t="s">
        <v>180</v>
      </c>
      <c r="H857" s="1" t="s">
        <v>976</v>
      </c>
      <c r="I857" s="1">
        <v>390</v>
      </c>
      <c r="J857" s="20">
        <v>7</v>
      </c>
      <c r="K857" s="1">
        <v>32</v>
      </c>
      <c r="L857" s="1">
        <v>224</v>
      </c>
      <c r="M857" s="42" t="s">
        <v>2843</v>
      </c>
      <c r="O857" s="2" t="s">
        <v>2467</v>
      </c>
      <c r="P857" t="s">
        <v>22</v>
      </c>
      <c r="Q857" t="s">
        <v>837</v>
      </c>
    </row>
    <row r="858" spans="1:17" ht="15" customHeight="1" x14ac:dyDescent="0.25">
      <c r="A858" s="3" t="s">
        <v>1447</v>
      </c>
      <c r="B858" s="4" t="s">
        <v>2850</v>
      </c>
      <c r="C858" t="s">
        <v>1415</v>
      </c>
      <c r="D858">
        <v>1</v>
      </c>
      <c r="E858" t="s">
        <v>974</v>
      </c>
      <c r="F858" t="s">
        <v>975</v>
      </c>
      <c r="G858" t="s">
        <v>976</v>
      </c>
      <c r="H858" s="1" t="s">
        <v>976</v>
      </c>
      <c r="I858" s="1">
        <v>670</v>
      </c>
      <c r="J858" s="20">
        <v>6</v>
      </c>
      <c r="K858" s="1">
        <v>112</v>
      </c>
      <c r="L858" s="1">
        <v>672</v>
      </c>
      <c r="M858" s="42" t="s">
        <v>2843</v>
      </c>
      <c r="O858" s="2" t="s">
        <v>2447</v>
      </c>
      <c r="P858" t="s">
        <v>24</v>
      </c>
      <c r="Q858" t="s">
        <v>838</v>
      </c>
    </row>
    <row r="859" spans="1:17" ht="15" customHeight="1" x14ac:dyDescent="0.25">
      <c r="A859" s="3" t="s">
        <v>1448</v>
      </c>
      <c r="B859" s="4" t="s">
        <v>2850</v>
      </c>
      <c r="C859" t="s">
        <v>1415</v>
      </c>
      <c r="D859">
        <v>1</v>
      </c>
      <c r="E859" t="s">
        <v>974</v>
      </c>
      <c r="F859" t="s">
        <v>975</v>
      </c>
      <c r="G859" t="s">
        <v>976</v>
      </c>
      <c r="H859" s="1" t="s">
        <v>976</v>
      </c>
      <c r="I859" s="1">
        <v>670</v>
      </c>
      <c r="J859" s="20">
        <v>2</v>
      </c>
      <c r="K859" s="1">
        <v>112</v>
      </c>
      <c r="L859" s="1">
        <v>224</v>
      </c>
      <c r="M859" s="42" t="s">
        <v>2843</v>
      </c>
      <c r="O859" s="2" t="s">
        <v>2447</v>
      </c>
      <c r="P859" t="s">
        <v>25</v>
      </c>
      <c r="Q859" t="s">
        <v>838</v>
      </c>
    </row>
    <row r="860" spans="1:17" ht="15" customHeight="1" x14ac:dyDescent="0.25">
      <c r="A860" s="3" t="s">
        <v>1449</v>
      </c>
      <c r="B860" s="4" t="s">
        <v>2850</v>
      </c>
      <c r="C860" t="s">
        <v>1415</v>
      </c>
      <c r="D860">
        <v>1</v>
      </c>
      <c r="E860" t="s">
        <v>974</v>
      </c>
      <c r="F860" t="s">
        <v>975</v>
      </c>
      <c r="G860" t="s">
        <v>976</v>
      </c>
      <c r="H860" s="1" t="s">
        <v>976</v>
      </c>
      <c r="I860" s="1">
        <v>670</v>
      </c>
      <c r="J860" s="20">
        <v>22</v>
      </c>
      <c r="K860" s="1">
        <v>112</v>
      </c>
      <c r="L860" s="1">
        <v>2464</v>
      </c>
      <c r="M860" s="42" t="s">
        <v>2843</v>
      </c>
      <c r="O860" s="2" t="s">
        <v>2447</v>
      </c>
      <c r="P860" t="s">
        <v>23</v>
      </c>
      <c r="Q860" t="s">
        <v>838</v>
      </c>
    </row>
    <row r="861" spans="1:17" ht="15" customHeight="1" x14ac:dyDescent="0.25">
      <c r="A861" s="3" t="s">
        <v>1450</v>
      </c>
      <c r="B861" s="4" t="s">
        <v>2850</v>
      </c>
      <c r="C861" t="s">
        <v>1415</v>
      </c>
      <c r="D861">
        <v>1</v>
      </c>
      <c r="E861" t="s">
        <v>974</v>
      </c>
      <c r="F861" t="s">
        <v>975</v>
      </c>
      <c r="G861" t="s">
        <v>976</v>
      </c>
      <c r="H861" s="1" t="s">
        <v>976</v>
      </c>
      <c r="I861" s="1">
        <v>670</v>
      </c>
      <c r="J861" s="20">
        <v>7</v>
      </c>
      <c r="K861" s="1">
        <v>112</v>
      </c>
      <c r="L861" s="1">
        <v>784</v>
      </c>
      <c r="M861" s="42" t="s">
        <v>2843</v>
      </c>
      <c r="O861" s="2" t="s">
        <v>2447</v>
      </c>
      <c r="P861" t="s">
        <v>22</v>
      </c>
      <c r="Q861" t="s">
        <v>838</v>
      </c>
    </row>
    <row r="862" spans="1:17" ht="15" customHeight="1" x14ac:dyDescent="0.25">
      <c r="A862" s="3" t="s">
        <v>1451</v>
      </c>
      <c r="B862" s="4" t="s">
        <v>2850</v>
      </c>
      <c r="C862" t="s">
        <v>1415</v>
      </c>
      <c r="D862">
        <v>1</v>
      </c>
      <c r="E862" t="s">
        <v>974</v>
      </c>
      <c r="F862" t="s">
        <v>975</v>
      </c>
      <c r="G862" t="s">
        <v>976</v>
      </c>
      <c r="H862" s="1" t="s">
        <v>976</v>
      </c>
      <c r="I862" s="1">
        <v>670</v>
      </c>
      <c r="J862" s="20">
        <v>2</v>
      </c>
      <c r="K862" s="1">
        <v>112</v>
      </c>
      <c r="L862" s="1">
        <v>224</v>
      </c>
      <c r="M862" s="42" t="s">
        <v>2843</v>
      </c>
      <c r="O862" s="2" t="s">
        <v>2447</v>
      </c>
      <c r="P862" t="s">
        <v>21</v>
      </c>
      <c r="Q862" t="s">
        <v>838</v>
      </c>
    </row>
    <row r="863" spans="1:17" ht="15" customHeight="1" x14ac:dyDescent="0.25">
      <c r="A863" s="3" t="s">
        <v>1452</v>
      </c>
      <c r="B863" s="4" t="s">
        <v>2850</v>
      </c>
      <c r="C863" t="s">
        <v>1415</v>
      </c>
      <c r="D863">
        <v>1</v>
      </c>
      <c r="E863" t="s">
        <v>974</v>
      </c>
      <c r="F863" t="s">
        <v>975</v>
      </c>
      <c r="G863" t="s">
        <v>976</v>
      </c>
      <c r="H863" s="1" t="s">
        <v>976</v>
      </c>
      <c r="I863" s="1">
        <v>670</v>
      </c>
      <c r="J863" s="20">
        <v>7</v>
      </c>
      <c r="K863" s="1">
        <v>115</v>
      </c>
      <c r="L863" s="1">
        <v>805</v>
      </c>
      <c r="M863" s="42" t="s">
        <v>2843</v>
      </c>
      <c r="O863" s="2" t="s">
        <v>2472</v>
      </c>
      <c r="P863" t="s">
        <v>24</v>
      </c>
      <c r="Q863" t="s">
        <v>839</v>
      </c>
    </row>
    <row r="864" spans="1:17" ht="15" customHeight="1" x14ac:dyDescent="0.25">
      <c r="A864" s="3" t="s">
        <v>1453</v>
      </c>
      <c r="B864" s="4" t="s">
        <v>2850</v>
      </c>
      <c r="C864" t="s">
        <v>1415</v>
      </c>
      <c r="D864">
        <v>1</v>
      </c>
      <c r="E864" t="s">
        <v>974</v>
      </c>
      <c r="F864" t="s">
        <v>975</v>
      </c>
      <c r="G864" t="s">
        <v>976</v>
      </c>
      <c r="H864" s="1" t="s">
        <v>976</v>
      </c>
      <c r="I864" s="1">
        <v>670</v>
      </c>
      <c r="J864" s="20">
        <v>3</v>
      </c>
      <c r="K864" s="1">
        <v>115</v>
      </c>
      <c r="L864" s="1">
        <v>345</v>
      </c>
      <c r="M864" s="42" t="s">
        <v>2843</v>
      </c>
      <c r="O864" s="2" t="s">
        <v>2472</v>
      </c>
      <c r="P864" t="s">
        <v>25</v>
      </c>
      <c r="Q864" t="s">
        <v>839</v>
      </c>
    </row>
    <row r="865" spans="1:17" ht="15" customHeight="1" x14ac:dyDescent="0.25">
      <c r="A865" s="3" t="s">
        <v>1454</v>
      </c>
      <c r="B865" s="4" t="s">
        <v>2850</v>
      </c>
      <c r="C865" t="s">
        <v>1415</v>
      </c>
      <c r="D865">
        <v>1</v>
      </c>
      <c r="E865" t="s">
        <v>974</v>
      </c>
      <c r="F865" t="s">
        <v>975</v>
      </c>
      <c r="G865" t="s">
        <v>976</v>
      </c>
      <c r="H865" s="1" t="s">
        <v>976</v>
      </c>
      <c r="I865" s="1">
        <v>670</v>
      </c>
      <c r="J865" s="20">
        <v>20</v>
      </c>
      <c r="K865" s="1">
        <v>115</v>
      </c>
      <c r="L865" s="1">
        <v>2300</v>
      </c>
      <c r="M865" s="42" t="s">
        <v>2843</v>
      </c>
      <c r="O865" s="2" t="s">
        <v>2472</v>
      </c>
      <c r="P865" t="s">
        <v>23</v>
      </c>
      <c r="Q865" t="s">
        <v>839</v>
      </c>
    </row>
    <row r="866" spans="1:17" ht="15" customHeight="1" x14ac:dyDescent="0.25">
      <c r="A866" s="41" t="s">
        <v>1454</v>
      </c>
      <c r="B866" s="3" t="s">
        <v>2850</v>
      </c>
      <c r="C866" s="41" t="s">
        <v>1415</v>
      </c>
      <c r="D866">
        <v>3</v>
      </c>
      <c r="E866" t="s">
        <v>1179</v>
      </c>
      <c r="F866" t="s">
        <v>1180</v>
      </c>
      <c r="G866" t="s">
        <v>976</v>
      </c>
      <c r="H866" s="1" t="s">
        <v>976</v>
      </c>
      <c r="I866" s="1">
        <v>670</v>
      </c>
      <c r="J866" s="20">
        <v>2</v>
      </c>
      <c r="K866" s="1">
        <v>670</v>
      </c>
      <c r="L866" s="1">
        <v>1340</v>
      </c>
      <c r="M866" s="42" t="s">
        <v>2843</v>
      </c>
      <c r="O866" s="2" t="s">
        <v>2472</v>
      </c>
      <c r="P866" t="s">
        <v>23</v>
      </c>
      <c r="Q866" t="s">
        <v>839</v>
      </c>
    </row>
    <row r="867" spans="1:17" ht="15" customHeight="1" x14ac:dyDescent="0.25">
      <c r="A867" s="3" t="s">
        <v>1455</v>
      </c>
      <c r="B867" s="4" t="s">
        <v>2850</v>
      </c>
      <c r="C867" t="s">
        <v>1415</v>
      </c>
      <c r="D867">
        <v>1</v>
      </c>
      <c r="E867" t="s">
        <v>974</v>
      </c>
      <c r="F867" t="s">
        <v>975</v>
      </c>
      <c r="G867" t="s">
        <v>976</v>
      </c>
      <c r="H867" s="1" t="s">
        <v>976</v>
      </c>
      <c r="I867" s="1">
        <v>670</v>
      </c>
      <c r="J867" s="20">
        <v>10</v>
      </c>
      <c r="K867" s="1">
        <v>115</v>
      </c>
      <c r="L867" s="1">
        <v>1150</v>
      </c>
      <c r="M867" s="42" t="s">
        <v>2843</v>
      </c>
      <c r="O867" s="2" t="s">
        <v>2472</v>
      </c>
      <c r="P867" t="s">
        <v>22</v>
      </c>
      <c r="Q867" t="s">
        <v>839</v>
      </c>
    </row>
    <row r="868" spans="1:17" ht="15" customHeight="1" x14ac:dyDescent="0.25">
      <c r="A868" s="41" t="s">
        <v>1455</v>
      </c>
      <c r="B868" s="3" t="s">
        <v>2850</v>
      </c>
      <c r="C868" s="41" t="s">
        <v>1415</v>
      </c>
      <c r="D868">
        <v>3</v>
      </c>
      <c r="E868" t="s">
        <v>1179</v>
      </c>
      <c r="F868" t="s">
        <v>1180</v>
      </c>
      <c r="G868" t="s">
        <v>976</v>
      </c>
      <c r="H868" s="1" t="s">
        <v>976</v>
      </c>
      <c r="I868" s="1">
        <v>670</v>
      </c>
      <c r="J868" s="20">
        <v>1</v>
      </c>
      <c r="K868" s="1">
        <v>670</v>
      </c>
      <c r="L868" s="1">
        <v>670</v>
      </c>
      <c r="M868" s="42" t="s">
        <v>2843</v>
      </c>
      <c r="O868" s="2" t="s">
        <v>2472</v>
      </c>
      <c r="P868" t="s">
        <v>22</v>
      </c>
      <c r="Q868" t="s">
        <v>839</v>
      </c>
    </row>
    <row r="869" spans="1:17" ht="15" customHeight="1" x14ac:dyDescent="0.25">
      <c r="A869" s="3" t="s">
        <v>1456</v>
      </c>
      <c r="B869" s="4" t="s">
        <v>2850</v>
      </c>
      <c r="C869" t="s">
        <v>1415</v>
      </c>
      <c r="D869">
        <v>1</v>
      </c>
      <c r="E869" t="s">
        <v>974</v>
      </c>
      <c r="F869" t="s">
        <v>975</v>
      </c>
      <c r="G869" t="s">
        <v>976</v>
      </c>
      <c r="H869" s="1" t="s">
        <v>976</v>
      </c>
      <c r="I869" s="1">
        <v>670</v>
      </c>
      <c r="J869" s="20">
        <v>0</v>
      </c>
      <c r="K869" s="1">
        <v>0</v>
      </c>
      <c r="L869" s="1">
        <v>0</v>
      </c>
      <c r="M869" s="42" t="s">
        <v>2843</v>
      </c>
      <c r="N869" s="1" t="s">
        <v>2616</v>
      </c>
      <c r="O869" s="2" t="s">
        <v>2472</v>
      </c>
      <c r="Q869" t="s">
        <v>839</v>
      </c>
    </row>
    <row r="870" spans="1:17" ht="15" customHeight="1" x14ac:dyDescent="0.25">
      <c r="A870" s="3" t="s">
        <v>1457</v>
      </c>
      <c r="B870" s="4" t="s">
        <v>2850</v>
      </c>
      <c r="C870" t="s">
        <v>1415</v>
      </c>
      <c r="D870">
        <v>1</v>
      </c>
      <c r="E870" t="s">
        <v>974</v>
      </c>
      <c r="F870" t="s">
        <v>975</v>
      </c>
      <c r="G870" t="s">
        <v>976</v>
      </c>
      <c r="H870" s="1" t="s">
        <v>976</v>
      </c>
      <c r="I870" s="1">
        <v>670</v>
      </c>
      <c r="J870" s="20">
        <v>4</v>
      </c>
      <c r="K870" s="1">
        <v>115</v>
      </c>
      <c r="L870" s="1">
        <v>460</v>
      </c>
      <c r="M870" s="42" t="s">
        <v>2843</v>
      </c>
      <c r="O870" s="2" t="s">
        <v>2472</v>
      </c>
      <c r="P870" t="s">
        <v>21</v>
      </c>
      <c r="Q870" t="s">
        <v>839</v>
      </c>
    </row>
    <row r="871" spans="1:17" ht="15" customHeight="1" x14ac:dyDescent="0.25">
      <c r="A871" s="3" t="s">
        <v>1458</v>
      </c>
      <c r="B871" s="4" t="s">
        <v>2851</v>
      </c>
      <c r="C871" t="s">
        <v>1415</v>
      </c>
      <c r="D871">
        <v>1</v>
      </c>
      <c r="E871" t="s">
        <v>974</v>
      </c>
      <c r="F871" t="s">
        <v>975</v>
      </c>
      <c r="G871" t="s">
        <v>180</v>
      </c>
      <c r="H871" s="1" t="s">
        <v>976</v>
      </c>
      <c r="I871" s="1">
        <v>1150</v>
      </c>
      <c r="J871" s="20">
        <v>-1</v>
      </c>
      <c r="K871" s="1">
        <v>0</v>
      </c>
      <c r="L871" s="1">
        <v>0</v>
      </c>
      <c r="M871" s="42" t="s">
        <v>2843</v>
      </c>
      <c r="O871" s="2" t="s">
        <v>2579</v>
      </c>
      <c r="Q871" t="s">
        <v>840</v>
      </c>
    </row>
    <row r="872" spans="1:17" ht="15" customHeight="1" x14ac:dyDescent="0.25">
      <c r="A872" s="3" t="s">
        <v>1459</v>
      </c>
      <c r="B872" s="4" t="s">
        <v>1415</v>
      </c>
      <c r="C872" t="s">
        <v>1415</v>
      </c>
      <c r="D872">
        <v>1</v>
      </c>
      <c r="E872" t="s">
        <v>974</v>
      </c>
      <c r="F872" t="s">
        <v>975</v>
      </c>
      <c r="G872" t="s">
        <v>180</v>
      </c>
      <c r="H872" s="1" t="s">
        <v>976</v>
      </c>
      <c r="I872" s="1">
        <v>570</v>
      </c>
      <c r="J872" s="20">
        <v>0</v>
      </c>
      <c r="K872" s="1">
        <v>112</v>
      </c>
      <c r="L872" s="1">
        <v>0</v>
      </c>
      <c r="M872" s="42" t="s">
        <v>2843</v>
      </c>
      <c r="O872" s="2" t="s">
        <v>2472</v>
      </c>
      <c r="P872" t="s">
        <v>23</v>
      </c>
      <c r="Q872" t="s">
        <v>841</v>
      </c>
    </row>
    <row r="873" spans="1:17" ht="15" customHeight="1" x14ac:dyDescent="0.25">
      <c r="A873" s="3" t="s">
        <v>1460</v>
      </c>
      <c r="B873" s="4" t="s">
        <v>1415</v>
      </c>
      <c r="C873" t="s">
        <v>1415</v>
      </c>
      <c r="D873">
        <v>1</v>
      </c>
      <c r="E873" t="s">
        <v>974</v>
      </c>
      <c r="F873" t="s">
        <v>975</v>
      </c>
      <c r="G873" t="s">
        <v>180</v>
      </c>
      <c r="H873" s="1" t="s">
        <v>976</v>
      </c>
      <c r="I873" s="1">
        <v>570</v>
      </c>
      <c r="J873" s="20">
        <v>0</v>
      </c>
      <c r="K873" s="1">
        <v>60</v>
      </c>
      <c r="L873" s="1">
        <v>0</v>
      </c>
      <c r="M873" s="42" t="s">
        <v>2843</v>
      </c>
      <c r="O873" s="2" t="s">
        <v>2482</v>
      </c>
      <c r="P873" t="s">
        <v>24</v>
      </c>
      <c r="Q873" t="s">
        <v>842</v>
      </c>
    </row>
    <row r="874" spans="1:17" ht="15" customHeight="1" x14ac:dyDescent="0.25">
      <c r="A874" s="3" t="s">
        <v>1461</v>
      </c>
      <c r="B874" s="4" t="s">
        <v>1415</v>
      </c>
      <c r="C874" t="s">
        <v>1415</v>
      </c>
      <c r="D874">
        <v>1</v>
      </c>
      <c r="E874" t="s">
        <v>974</v>
      </c>
      <c r="F874" t="s">
        <v>975</v>
      </c>
      <c r="G874" t="s">
        <v>180</v>
      </c>
      <c r="H874" s="1" t="s">
        <v>976</v>
      </c>
      <c r="I874" s="1">
        <v>570</v>
      </c>
      <c r="J874" s="20">
        <v>0</v>
      </c>
      <c r="K874" s="1">
        <v>60</v>
      </c>
      <c r="L874" s="1">
        <v>0</v>
      </c>
      <c r="M874" s="42" t="s">
        <v>2843</v>
      </c>
      <c r="O874" s="2" t="s">
        <v>2482</v>
      </c>
      <c r="P874" t="s">
        <v>23</v>
      </c>
      <c r="Q874" t="s">
        <v>842</v>
      </c>
    </row>
    <row r="875" spans="1:17" ht="15" customHeight="1" x14ac:dyDescent="0.25">
      <c r="A875" s="3" t="s">
        <v>1462</v>
      </c>
      <c r="B875" s="4" t="s">
        <v>1415</v>
      </c>
      <c r="C875" t="s">
        <v>1415</v>
      </c>
      <c r="D875">
        <v>1</v>
      </c>
      <c r="E875" t="s">
        <v>974</v>
      </c>
      <c r="F875" t="s">
        <v>975</v>
      </c>
      <c r="G875" t="s">
        <v>180</v>
      </c>
      <c r="H875" s="1" t="s">
        <v>976</v>
      </c>
      <c r="I875" s="1">
        <v>390</v>
      </c>
      <c r="J875" s="20">
        <v>2</v>
      </c>
      <c r="K875" s="1">
        <v>32</v>
      </c>
      <c r="L875" s="1">
        <v>64</v>
      </c>
      <c r="M875" s="42" t="s">
        <v>2843</v>
      </c>
      <c r="O875" s="2" t="s">
        <v>2495</v>
      </c>
      <c r="P875" t="s">
        <v>24</v>
      </c>
      <c r="Q875" t="s">
        <v>843</v>
      </c>
    </row>
    <row r="876" spans="1:17" ht="15" customHeight="1" x14ac:dyDescent="0.25">
      <c r="A876" s="3" t="s">
        <v>1463</v>
      </c>
      <c r="B876" s="4" t="s">
        <v>1415</v>
      </c>
      <c r="C876" t="s">
        <v>1415</v>
      </c>
      <c r="D876">
        <v>1</v>
      </c>
      <c r="E876" t="s">
        <v>974</v>
      </c>
      <c r="F876" t="s">
        <v>975</v>
      </c>
      <c r="G876" t="s">
        <v>180</v>
      </c>
      <c r="H876" s="1" t="s">
        <v>976</v>
      </c>
      <c r="I876" s="1">
        <v>390</v>
      </c>
      <c r="J876" s="20">
        <v>0</v>
      </c>
      <c r="K876" s="1">
        <v>32</v>
      </c>
      <c r="L876" s="1">
        <v>0</v>
      </c>
      <c r="M876" s="42" t="s">
        <v>2843</v>
      </c>
      <c r="O876" s="2" t="s">
        <v>2495</v>
      </c>
      <c r="P876" t="s">
        <v>25</v>
      </c>
      <c r="Q876" t="s">
        <v>843</v>
      </c>
    </row>
    <row r="877" spans="1:17" ht="15" customHeight="1" x14ac:dyDescent="0.25">
      <c r="A877" s="3" t="s">
        <v>1464</v>
      </c>
      <c r="B877" s="4" t="s">
        <v>1415</v>
      </c>
      <c r="C877" t="s">
        <v>1415</v>
      </c>
      <c r="D877">
        <v>1</v>
      </c>
      <c r="E877" t="s">
        <v>974</v>
      </c>
      <c r="F877" t="s">
        <v>975</v>
      </c>
      <c r="G877" t="s">
        <v>180</v>
      </c>
      <c r="H877" s="1" t="s">
        <v>976</v>
      </c>
      <c r="I877" s="1">
        <v>390</v>
      </c>
      <c r="J877" s="20">
        <v>3</v>
      </c>
      <c r="K877" s="1">
        <v>32</v>
      </c>
      <c r="L877" s="1">
        <v>96</v>
      </c>
      <c r="M877" s="42" t="s">
        <v>2843</v>
      </c>
      <c r="O877" s="2" t="s">
        <v>2495</v>
      </c>
      <c r="P877" t="s">
        <v>23</v>
      </c>
      <c r="Q877" t="s">
        <v>843</v>
      </c>
    </row>
    <row r="878" spans="1:17" ht="15" customHeight="1" x14ac:dyDescent="0.25">
      <c r="A878" s="3" t="s">
        <v>1465</v>
      </c>
      <c r="B878" s="4" t="s">
        <v>1415</v>
      </c>
      <c r="C878" t="s">
        <v>1415</v>
      </c>
      <c r="D878">
        <v>1</v>
      </c>
      <c r="E878" t="s">
        <v>974</v>
      </c>
      <c r="F878" t="s">
        <v>975</v>
      </c>
      <c r="G878" t="s">
        <v>180</v>
      </c>
      <c r="H878" s="1" t="s">
        <v>976</v>
      </c>
      <c r="I878" s="1">
        <v>390</v>
      </c>
      <c r="J878" s="20">
        <v>5</v>
      </c>
      <c r="K878" s="1">
        <v>32</v>
      </c>
      <c r="L878" s="1">
        <v>160</v>
      </c>
      <c r="M878" s="42" t="s">
        <v>2843</v>
      </c>
      <c r="O878" s="2" t="s">
        <v>2495</v>
      </c>
      <c r="P878" t="s">
        <v>22</v>
      </c>
      <c r="Q878" t="s">
        <v>843</v>
      </c>
    </row>
    <row r="879" spans="1:17" ht="15" customHeight="1" x14ac:dyDescent="0.25">
      <c r="A879" s="3" t="s">
        <v>1466</v>
      </c>
      <c r="B879" s="4" t="s">
        <v>1415</v>
      </c>
      <c r="C879" t="s">
        <v>1415</v>
      </c>
      <c r="D879">
        <v>1</v>
      </c>
      <c r="E879" t="s">
        <v>974</v>
      </c>
      <c r="F879" t="s">
        <v>975</v>
      </c>
      <c r="G879" t="s">
        <v>180</v>
      </c>
      <c r="H879" s="1" t="s">
        <v>976</v>
      </c>
      <c r="I879" s="1">
        <v>990</v>
      </c>
      <c r="J879" s="20">
        <v>0</v>
      </c>
      <c r="K879" s="1">
        <v>0</v>
      </c>
      <c r="L879" s="1">
        <v>0</v>
      </c>
      <c r="M879" s="42" t="s">
        <v>2843</v>
      </c>
      <c r="O879" s="2" t="s">
        <v>2579</v>
      </c>
      <c r="P879" t="s">
        <v>24</v>
      </c>
      <c r="Q879" t="s">
        <v>844</v>
      </c>
    </row>
    <row r="880" spans="1:17" ht="15" customHeight="1" x14ac:dyDescent="0.25">
      <c r="A880" s="3" t="s">
        <v>1467</v>
      </c>
      <c r="B880" s="4" t="s">
        <v>1415</v>
      </c>
      <c r="C880" t="s">
        <v>1415</v>
      </c>
      <c r="D880">
        <v>1</v>
      </c>
      <c r="E880" t="s">
        <v>974</v>
      </c>
      <c r="F880" t="s">
        <v>975</v>
      </c>
      <c r="G880" t="s">
        <v>180</v>
      </c>
      <c r="H880" s="1" t="s">
        <v>976</v>
      </c>
      <c r="I880" s="1">
        <v>990</v>
      </c>
      <c r="J880" s="20">
        <v>0</v>
      </c>
      <c r="K880" s="1">
        <v>0</v>
      </c>
      <c r="L880" s="1">
        <v>0</v>
      </c>
      <c r="M880" s="42" t="s">
        <v>2843</v>
      </c>
      <c r="O880" s="2" t="s">
        <v>2579</v>
      </c>
      <c r="P880" t="s">
        <v>23</v>
      </c>
      <c r="Q880" t="s">
        <v>844</v>
      </c>
    </row>
    <row r="881" spans="1:17" ht="15" customHeight="1" x14ac:dyDescent="0.25">
      <c r="A881" s="3" t="s">
        <v>1468</v>
      </c>
      <c r="B881" s="4" t="s">
        <v>1415</v>
      </c>
      <c r="C881" t="s">
        <v>1415</v>
      </c>
      <c r="D881">
        <v>1</v>
      </c>
      <c r="E881" t="s">
        <v>974</v>
      </c>
      <c r="F881" t="s">
        <v>975</v>
      </c>
      <c r="G881" t="s">
        <v>180</v>
      </c>
      <c r="H881" s="1" t="s">
        <v>976</v>
      </c>
      <c r="I881" s="1">
        <v>990</v>
      </c>
      <c r="J881" s="20">
        <v>0</v>
      </c>
      <c r="K881" s="1">
        <v>0</v>
      </c>
      <c r="L881" s="1">
        <v>0</v>
      </c>
      <c r="M881" s="42" t="s">
        <v>2843</v>
      </c>
      <c r="O881" s="2" t="s">
        <v>2579</v>
      </c>
      <c r="P881" t="s">
        <v>22</v>
      </c>
      <c r="Q881" t="s">
        <v>844</v>
      </c>
    </row>
    <row r="882" spans="1:17" ht="15" customHeight="1" x14ac:dyDescent="0.25">
      <c r="A882" s="3" t="s">
        <v>1469</v>
      </c>
      <c r="B882" s="4" t="s">
        <v>1415</v>
      </c>
      <c r="C882" t="s">
        <v>1415</v>
      </c>
      <c r="D882">
        <v>1</v>
      </c>
      <c r="E882" t="s">
        <v>974</v>
      </c>
      <c r="F882" t="s">
        <v>975</v>
      </c>
      <c r="G882" t="s">
        <v>180</v>
      </c>
      <c r="H882" s="1" t="s">
        <v>976</v>
      </c>
      <c r="I882" s="1">
        <v>690</v>
      </c>
      <c r="J882" s="20">
        <v>2</v>
      </c>
      <c r="K882" s="1">
        <v>127.84</v>
      </c>
      <c r="L882" s="1">
        <v>255.68</v>
      </c>
      <c r="M882" s="42" t="s">
        <v>2843</v>
      </c>
      <c r="O882" s="2" t="s">
        <v>2852</v>
      </c>
      <c r="P882" t="s">
        <v>24</v>
      </c>
      <c r="Q882" t="s">
        <v>845</v>
      </c>
    </row>
    <row r="883" spans="1:17" ht="15" customHeight="1" x14ac:dyDescent="0.25">
      <c r="A883" s="41" t="s">
        <v>1469</v>
      </c>
      <c r="B883" s="3" t="s">
        <v>1415</v>
      </c>
      <c r="C883" s="41" t="s">
        <v>1415</v>
      </c>
      <c r="D883">
        <v>3</v>
      </c>
      <c r="E883" t="s">
        <v>1179</v>
      </c>
      <c r="F883" t="s">
        <v>1180</v>
      </c>
      <c r="G883" t="s">
        <v>180</v>
      </c>
      <c r="H883" s="1" t="s">
        <v>976</v>
      </c>
      <c r="I883" s="1">
        <v>690</v>
      </c>
      <c r="J883" s="20">
        <v>0</v>
      </c>
      <c r="K883" s="1">
        <v>127.84</v>
      </c>
      <c r="L883" s="1">
        <v>0</v>
      </c>
      <c r="M883" s="42" t="s">
        <v>2843</v>
      </c>
      <c r="O883" s="2" t="s">
        <v>2852</v>
      </c>
      <c r="P883" t="s">
        <v>24</v>
      </c>
      <c r="Q883" t="s">
        <v>845</v>
      </c>
    </row>
    <row r="884" spans="1:17" ht="15" customHeight="1" x14ac:dyDescent="0.25">
      <c r="A884" s="3" t="s">
        <v>1470</v>
      </c>
      <c r="B884" s="4" t="s">
        <v>1415</v>
      </c>
      <c r="C884" t="s">
        <v>1415</v>
      </c>
      <c r="D884">
        <v>1</v>
      </c>
      <c r="E884" t="s">
        <v>974</v>
      </c>
      <c r="F884" t="s">
        <v>975</v>
      </c>
      <c r="G884" t="s">
        <v>180</v>
      </c>
      <c r="H884" s="1" t="s">
        <v>976</v>
      </c>
      <c r="I884" s="1">
        <v>690</v>
      </c>
      <c r="J884" s="20">
        <v>1</v>
      </c>
      <c r="K884" s="1">
        <v>120</v>
      </c>
      <c r="L884" s="1">
        <v>120</v>
      </c>
      <c r="M884" s="42" t="s">
        <v>2843</v>
      </c>
      <c r="O884" s="2" t="s">
        <v>2852</v>
      </c>
      <c r="P884" t="s">
        <v>25</v>
      </c>
      <c r="Q884" t="s">
        <v>845</v>
      </c>
    </row>
    <row r="885" spans="1:17" ht="15" customHeight="1" x14ac:dyDescent="0.25">
      <c r="A885" s="41" t="s">
        <v>1470</v>
      </c>
      <c r="B885" s="3" t="s">
        <v>1415</v>
      </c>
      <c r="C885" s="41" t="s">
        <v>1415</v>
      </c>
      <c r="D885">
        <v>3</v>
      </c>
      <c r="E885" t="s">
        <v>1179</v>
      </c>
      <c r="F885" t="s">
        <v>1180</v>
      </c>
      <c r="G885" t="s">
        <v>180</v>
      </c>
      <c r="H885" s="1" t="s">
        <v>976</v>
      </c>
      <c r="I885" s="1">
        <v>690</v>
      </c>
      <c r="J885" s="20">
        <v>0</v>
      </c>
      <c r="K885" s="1">
        <v>120</v>
      </c>
      <c r="L885" s="1">
        <v>0</v>
      </c>
      <c r="M885" s="42" t="s">
        <v>2843</v>
      </c>
      <c r="O885" s="2" t="s">
        <v>2852</v>
      </c>
      <c r="P885" t="s">
        <v>25</v>
      </c>
      <c r="Q885" t="s">
        <v>845</v>
      </c>
    </row>
    <row r="886" spans="1:17" ht="15" customHeight="1" x14ac:dyDescent="0.25">
      <c r="A886" s="3" t="s">
        <v>1471</v>
      </c>
      <c r="B886" s="4" t="s">
        <v>1415</v>
      </c>
      <c r="C886" t="s">
        <v>1415</v>
      </c>
      <c r="D886">
        <v>1</v>
      </c>
      <c r="E886" t="s">
        <v>974</v>
      </c>
      <c r="F886" t="s">
        <v>975</v>
      </c>
      <c r="G886" t="s">
        <v>180</v>
      </c>
      <c r="H886" s="1" t="s">
        <v>976</v>
      </c>
      <c r="I886" s="1">
        <v>690</v>
      </c>
      <c r="J886" s="20">
        <v>3</v>
      </c>
      <c r="K886" s="1">
        <v>127.84</v>
      </c>
      <c r="L886" s="1">
        <v>383.52</v>
      </c>
      <c r="M886" s="42" t="s">
        <v>2843</v>
      </c>
      <c r="O886" s="2" t="s">
        <v>2852</v>
      </c>
      <c r="P886" t="s">
        <v>23</v>
      </c>
      <c r="Q886" t="s">
        <v>845</v>
      </c>
    </row>
    <row r="887" spans="1:17" ht="15" customHeight="1" x14ac:dyDescent="0.25">
      <c r="A887" s="41" t="s">
        <v>1471</v>
      </c>
      <c r="B887" s="3" t="s">
        <v>1415</v>
      </c>
      <c r="C887" s="41" t="s">
        <v>1415</v>
      </c>
      <c r="D887">
        <v>3</v>
      </c>
      <c r="E887" t="s">
        <v>1179</v>
      </c>
      <c r="F887" t="s">
        <v>1180</v>
      </c>
      <c r="G887" t="s">
        <v>180</v>
      </c>
      <c r="H887" s="1" t="s">
        <v>976</v>
      </c>
      <c r="I887" s="1">
        <v>690</v>
      </c>
      <c r="J887" s="20">
        <v>0</v>
      </c>
      <c r="K887" s="1">
        <v>127.84</v>
      </c>
      <c r="L887" s="1">
        <v>0</v>
      </c>
      <c r="M887" s="42" t="s">
        <v>2843</v>
      </c>
      <c r="O887" s="2" t="s">
        <v>2852</v>
      </c>
      <c r="P887" t="s">
        <v>23</v>
      </c>
      <c r="Q887" t="s">
        <v>845</v>
      </c>
    </row>
    <row r="888" spans="1:17" ht="15" customHeight="1" x14ac:dyDescent="0.25">
      <c r="A888" s="3" t="s">
        <v>1472</v>
      </c>
      <c r="B888" s="4" t="s">
        <v>1415</v>
      </c>
      <c r="C888" t="s">
        <v>1415</v>
      </c>
      <c r="D888">
        <v>1</v>
      </c>
      <c r="E888" t="s">
        <v>974</v>
      </c>
      <c r="F888" t="s">
        <v>975</v>
      </c>
      <c r="G888" t="s">
        <v>180</v>
      </c>
      <c r="H888" s="1" t="s">
        <v>976</v>
      </c>
      <c r="I888" s="1">
        <v>690</v>
      </c>
      <c r="J888" s="20">
        <v>1</v>
      </c>
      <c r="K888" s="1">
        <v>127.84</v>
      </c>
      <c r="L888" s="1">
        <v>127.84</v>
      </c>
      <c r="M888" s="42" t="s">
        <v>2843</v>
      </c>
      <c r="O888" s="2" t="s">
        <v>2852</v>
      </c>
      <c r="P888" t="s">
        <v>22</v>
      </c>
      <c r="Q888" t="s">
        <v>845</v>
      </c>
    </row>
    <row r="889" spans="1:17" ht="15" customHeight="1" x14ac:dyDescent="0.25">
      <c r="A889" s="41" t="s">
        <v>1472</v>
      </c>
      <c r="B889" s="3" t="s">
        <v>1415</v>
      </c>
      <c r="C889" s="41" t="s">
        <v>1415</v>
      </c>
      <c r="D889">
        <v>3</v>
      </c>
      <c r="E889" t="s">
        <v>1179</v>
      </c>
      <c r="F889" t="s">
        <v>1180</v>
      </c>
      <c r="G889" t="s">
        <v>180</v>
      </c>
      <c r="H889" s="1" t="s">
        <v>976</v>
      </c>
      <c r="I889" s="1">
        <v>690</v>
      </c>
      <c r="J889" s="20">
        <v>0</v>
      </c>
      <c r="K889" s="1">
        <v>127.84</v>
      </c>
      <c r="L889" s="1">
        <v>0</v>
      </c>
      <c r="M889" s="42" t="s">
        <v>2843</v>
      </c>
      <c r="O889" s="2" t="s">
        <v>2852</v>
      </c>
      <c r="P889" t="s">
        <v>22</v>
      </c>
      <c r="Q889" t="s">
        <v>845</v>
      </c>
    </row>
    <row r="890" spans="1:17" ht="15" customHeight="1" x14ac:dyDescent="0.25">
      <c r="A890" s="3" t="s">
        <v>1473</v>
      </c>
      <c r="B890" s="4" t="s">
        <v>281</v>
      </c>
      <c r="C890" t="s">
        <v>1415</v>
      </c>
      <c r="D890">
        <v>1</v>
      </c>
      <c r="E890" t="s">
        <v>974</v>
      </c>
      <c r="F890" t="s">
        <v>975</v>
      </c>
      <c r="G890" t="s">
        <v>180</v>
      </c>
      <c r="H890" s="1" t="s">
        <v>976</v>
      </c>
      <c r="I890" s="1">
        <v>520</v>
      </c>
      <c r="J890" s="20">
        <v>0</v>
      </c>
      <c r="K890" s="1">
        <v>88.91</v>
      </c>
      <c r="L890" s="1">
        <v>0</v>
      </c>
      <c r="M890" s="42" t="s">
        <v>2843</v>
      </c>
      <c r="P890" t="s">
        <v>24</v>
      </c>
      <c r="Q890" t="s">
        <v>281</v>
      </c>
    </row>
    <row r="891" spans="1:17" ht="15" customHeight="1" x14ac:dyDescent="0.25">
      <c r="A891" s="3" t="s">
        <v>1474</v>
      </c>
      <c r="B891" s="4" t="s">
        <v>282</v>
      </c>
      <c r="C891" t="s">
        <v>1415</v>
      </c>
      <c r="D891">
        <v>1</v>
      </c>
      <c r="E891" t="s">
        <v>974</v>
      </c>
      <c r="F891" t="s">
        <v>975</v>
      </c>
      <c r="G891" t="s">
        <v>180</v>
      </c>
      <c r="H891" s="1" t="s">
        <v>976</v>
      </c>
      <c r="I891" s="1">
        <v>520</v>
      </c>
      <c r="J891" s="20">
        <v>0</v>
      </c>
      <c r="K891" s="1">
        <v>88.91</v>
      </c>
      <c r="L891" s="1">
        <v>0</v>
      </c>
      <c r="M891" s="42" t="s">
        <v>2843</v>
      </c>
      <c r="P891" t="s">
        <v>25</v>
      </c>
      <c r="Q891" t="s">
        <v>282</v>
      </c>
    </row>
    <row r="892" spans="1:17" ht="15" customHeight="1" x14ac:dyDescent="0.25">
      <c r="A892" s="3" t="s">
        <v>1475</v>
      </c>
      <c r="B892" s="4" t="s">
        <v>283</v>
      </c>
      <c r="C892" t="s">
        <v>1415</v>
      </c>
      <c r="D892">
        <v>1</v>
      </c>
      <c r="E892" t="s">
        <v>974</v>
      </c>
      <c r="F892" t="s">
        <v>975</v>
      </c>
      <c r="G892" t="s">
        <v>180</v>
      </c>
      <c r="H892" s="1" t="s">
        <v>976</v>
      </c>
      <c r="I892" s="1">
        <v>520</v>
      </c>
      <c r="J892" s="20">
        <v>0</v>
      </c>
      <c r="K892" s="1">
        <v>0</v>
      </c>
      <c r="L892" s="1">
        <v>0</v>
      </c>
      <c r="M892" s="42" t="s">
        <v>2843</v>
      </c>
      <c r="P892" t="s">
        <v>23</v>
      </c>
      <c r="Q892" t="s">
        <v>283</v>
      </c>
    </row>
    <row r="893" spans="1:17" ht="15" customHeight="1" x14ac:dyDescent="0.25">
      <c r="A893" s="3" t="s">
        <v>1476</v>
      </c>
      <c r="B893" s="4" t="s">
        <v>284</v>
      </c>
      <c r="C893" t="s">
        <v>1415</v>
      </c>
      <c r="D893">
        <v>1</v>
      </c>
      <c r="E893" t="s">
        <v>974</v>
      </c>
      <c r="F893" t="s">
        <v>975</v>
      </c>
      <c r="G893" t="s">
        <v>180</v>
      </c>
      <c r="H893" s="1" t="s">
        <v>976</v>
      </c>
      <c r="I893" s="1">
        <v>520</v>
      </c>
      <c r="J893" s="20">
        <v>0</v>
      </c>
      <c r="K893" s="1">
        <v>0</v>
      </c>
      <c r="L893" s="1">
        <v>0</v>
      </c>
      <c r="M893" s="42" t="s">
        <v>2843</v>
      </c>
      <c r="P893" t="s">
        <v>22</v>
      </c>
      <c r="Q893" t="s">
        <v>284</v>
      </c>
    </row>
    <row r="894" spans="1:17" ht="15" customHeight="1" x14ac:dyDescent="0.25">
      <c r="A894" s="3" t="s">
        <v>1477</v>
      </c>
      <c r="B894" s="4" t="s">
        <v>2853</v>
      </c>
      <c r="C894" t="s">
        <v>1415</v>
      </c>
      <c r="D894">
        <v>1</v>
      </c>
      <c r="E894" t="s">
        <v>974</v>
      </c>
      <c r="F894" t="s">
        <v>975</v>
      </c>
      <c r="G894" t="s">
        <v>180</v>
      </c>
      <c r="H894" s="1" t="s">
        <v>976</v>
      </c>
      <c r="I894" s="1">
        <v>615</v>
      </c>
      <c r="J894" s="20">
        <v>1</v>
      </c>
      <c r="K894" s="1">
        <v>93.49</v>
      </c>
      <c r="L894" s="1">
        <v>93.49</v>
      </c>
      <c r="M894" s="42" t="s">
        <v>2843</v>
      </c>
      <c r="O894" s="2" t="s">
        <v>2447</v>
      </c>
      <c r="P894" t="s">
        <v>24</v>
      </c>
      <c r="Q894" t="s">
        <v>846</v>
      </c>
    </row>
    <row r="895" spans="1:17" ht="15" customHeight="1" x14ac:dyDescent="0.25">
      <c r="A895" s="3" t="s">
        <v>1478</v>
      </c>
      <c r="B895" s="4" t="s">
        <v>2853</v>
      </c>
      <c r="C895" t="s">
        <v>1415</v>
      </c>
      <c r="D895">
        <v>1</v>
      </c>
      <c r="E895" t="s">
        <v>974</v>
      </c>
      <c r="F895" t="s">
        <v>975</v>
      </c>
      <c r="G895" t="s">
        <v>180</v>
      </c>
      <c r="H895" s="1" t="s">
        <v>976</v>
      </c>
      <c r="I895" s="1">
        <v>615</v>
      </c>
      <c r="J895" s="20">
        <v>1</v>
      </c>
      <c r="K895" s="1">
        <v>93.4</v>
      </c>
      <c r="L895" s="1">
        <v>93.4</v>
      </c>
      <c r="M895" s="42" t="s">
        <v>2843</v>
      </c>
      <c r="O895" s="2" t="s">
        <v>2447</v>
      </c>
      <c r="P895" t="s">
        <v>25</v>
      </c>
      <c r="Q895" t="s">
        <v>846</v>
      </c>
    </row>
    <row r="896" spans="1:17" ht="15" customHeight="1" x14ac:dyDescent="0.25">
      <c r="A896" s="3" t="s">
        <v>1479</v>
      </c>
      <c r="B896" s="4" t="s">
        <v>2853</v>
      </c>
      <c r="C896" t="s">
        <v>1415</v>
      </c>
      <c r="D896">
        <v>1</v>
      </c>
      <c r="E896" t="s">
        <v>974</v>
      </c>
      <c r="F896" t="s">
        <v>975</v>
      </c>
      <c r="G896" t="s">
        <v>180</v>
      </c>
      <c r="H896" s="1" t="s">
        <v>976</v>
      </c>
      <c r="I896" s="1">
        <v>615</v>
      </c>
      <c r="J896" s="20">
        <v>0</v>
      </c>
      <c r="K896" s="1">
        <v>93.4</v>
      </c>
      <c r="L896" s="1">
        <v>0</v>
      </c>
      <c r="M896" s="42" t="s">
        <v>2843</v>
      </c>
      <c r="O896" s="2" t="s">
        <v>2447</v>
      </c>
      <c r="P896" t="s">
        <v>23</v>
      </c>
      <c r="Q896" t="s">
        <v>846</v>
      </c>
    </row>
    <row r="897" spans="1:17" ht="15" customHeight="1" x14ac:dyDescent="0.25">
      <c r="A897" s="3" t="s">
        <v>1480</v>
      </c>
      <c r="B897" s="4" t="s">
        <v>2853</v>
      </c>
      <c r="C897" t="s">
        <v>1415</v>
      </c>
      <c r="D897">
        <v>1</v>
      </c>
      <c r="E897" t="s">
        <v>974</v>
      </c>
      <c r="F897" t="s">
        <v>975</v>
      </c>
      <c r="G897" t="s">
        <v>180</v>
      </c>
      <c r="H897" s="1" t="s">
        <v>976</v>
      </c>
      <c r="I897" s="1">
        <v>615</v>
      </c>
      <c r="J897" s="20">
        <v>0</v>
      </c>
      <c r="K897" s="1">
        <v>93.4</v>
      </c>
      <c r="L897" s="1">
        <v>0</v>
      </c>
      <c r="M897" s="42" t="s">
        <v>2843</v>
      </c>
      <c r="O897" s="2" t="s">
        <v>2447</v>
      </c>
      <c r="P897" t="s">
        <v>22</v>
      </c>
      <c r="Q897" t="s">
        <v>846</v>
      </c>
    </row>
    <row r="898" spans="1:17" ht="15" customHeight="1" x14ac:dyDescent="0.25">
      <c r="A898" s="41" t="s">
        <v>1480</v>
      </c>
      <c r="B898" s="3" t="s">
        <v>2853</v>
      </c>
      <c r="C898" s="41" t="s">
        <v>1415</v>
      </c>
      <c r="D898">
        <v>2</v>
      </c>
      <c r="E898" t="s">
        <v>1017</v>
      </c>
      <c r="F898" t="s">
        <v>975</v>
      </c>
      <c r="G898" t="s">
        <v>180</v>
      </c>
      <c r="H898" s="1" t="s">
        <v>976</v>
      </c>
      <c r="I898" s="1">
        <v>615</v>
      </c>
      <c r="J898" s="20">
        <v>0</v>
      </c>
      <c r="K898" s="1">
        <v>93.4</v>
      </c>
      <c r="L898" s="1">
        <v>0</v>
      </c>
      <c r="M898" s="42" t="s">
        <v>2843</v>
      </c>
      <c r="O898" s="2" t="s">
        <v>2447</v>
      </c>
      <c r="P898" t="s">
        <v>22</v>
      </c>
      <c r="Q898" t="s">
        <v>846</v>
      </c>
    </row>
    <row r="899" spans="1:17" ht="15" customHeight="1" x14ac:dyDescent="0.25">
      <c r="A899" s="3" t="s">
        <v>1481</v>
      </c>
      <c r="B899" s="4" t="s">
        <v>285</v>
      </c>
      <c r="C899" t="s">
        <v>1415</v>
      </c>
      <c r="D899">
        <v>1</v>
      </c>
      <c r="E899" t="s">
        <v>974</v>
      </c>
      <c r="F899" t="s">
        <v>975</v>
      </c>
      <c r="G899" t="s">
        <v>180</v>
      </c>
      <c r="H899" s="1" t="s">
        <v>976</v>
      </c>
      <c r="I899" s="1">
        <v>615</v>
      </c>
      <c r="J899" s="20">
        <v>1</v>
      </c>
      <c r="K899" s="1">
        <v>91.53</v>
      </c>
      <c r="L899" s="1">
        <v>91.53</v>
      </c>
      <c r="M899" s="42" t="s">
        <v>2843</v>
      </c>
      <c r="P899" t="s">
        <v>24</v>
      </c>
      <c r="Q899" t="s">
        <v>285</v>
      </c>
    </row>
    <row r="900" spans="1:17" ht="15" customHeight="1" x14ac:dyDescent="0.25">
      <c r="A900" s="3" t="s">
        <v>1482</v>
      </c>
      <c r="B900" s="4" t="s">
        <v>286</v>
      </c>
      <c r="C900" t="s">
        <v>1415</v>
      </c>
      <c r="D900">
        <v>1</v>
      </c>
      <c r="E900" t="s">
        <v>974</v>
      </c>
      <c r="F900" t="s">
        <v>975</v>
      </c>
      <c r="G900" t="s">
        <v>180</v>
      </c>
      <c r="H900" s="1" t="s">
        <v>976</v>
      </c>
      <c r="I900" s="1">
        <v>615</v>
      </c>
      <c r="J900" s="20">
        <v>1</v>
      </c>
      <c r="K900" s="1">
        <v>91.53</v>
      </c>
      <c r="L900" s="1">
        <v>91.53</v>
      </c>
      <c r="M900" s="42" t="s">
        <v>2843</v>
      </c>
      <c r="P900" t="s">
        <v>25</v>
      </c>
      <c r="Q900" t="s">
        <v>286</v>
      </c>
    </row>
    <row r="901" spans="1:17" ht="15" customHeight="1" x14ac:dyDescent="0.25">
      <c r="A901" s="3" t="s">
        <v>1483</v>
      </c>
      <c r="B901" s="4" t="s">
        <v>287</v>
      </c>
      <c r="C901" t="s">
        <v>1415</v>
      </c>
      <c r="D901">
        <v>1</v>
      </c>
      <c r="E901" t="s">
        <v>974</v>
      </c>
      <c r="F901" t="s">
        <v>975</v>
      </c>
      <c r="G901" t="s">
        <v>180</v>
      </c>
      <c r="H901" s="1" t="s">
        <v>976</v>
      </c>
      <c r="I901" s="1">
        <v>615</v>
      </c>
      <c r="J901" s="20">
        <v>3</v>
      </c>
      <c r="K901" s="1">
        <v>91.53</v>
      </c>
      <c r="L901" s="1">
        <v>274.58999999999997</v>
      </c>
      <c r="M901" s="42" t="s">
        <v>2843</v>
      </c>
      <c r="P901" t="s">
        <v>23</v>
      </c>
      <c r="Q901" t="s">
        <v>287</v>
      </c>
    </row>
    <row r="902" spans="1:17" ht="15" customHeight="1" x14ac:dyDescent="0.25">
      <c r="A902" s="3" t="s">
        <v>1484</v>
      </c>
      <c r="B902" s="4" t="s">
        <v>288</v>
      </c>
      <c r="C902" t="s">
        <v>1415</v>
      </c>
      <c r="D902">
        <v>1</v>
      </c>
      <c r="E902" t="s">
        <v>974</v>
      </c>
      <c r="F902" t="s">
        <v>975</v>
      </c>
      <c r="G902" t="s">
        <v>180</v>
      </c>
      <c r="H902" s="1" t="s">
        <v>976</v>
      </c>
      <c r="I902" s="1">
        <v>615</v>
      </c>
      <c r="J902" s="20">
        <v>0</v>
      </c>
      <c r="K902" s="1">
        <v>91.53</v>
      </c>
      <c r="L902" s="1">
        <v>0</v>
      </c>
      <c r="M902" s="42" t="s">
        <v>2843</v>
      </c>
      <c r="P902" t="s">
        <v>22</v>
      </c>
      <c r="Q902" t="s">
        <v>288</v>
      </c>
    </row>
    <row r="903" spans="1:17" ht="15" customHeight="1" x14ac:dyDescent="0.25">
      <c r="A903" s="3" t="s">
        <v>1485</v>
      </c>
      <c r="B903" s="4" t="s">
        <v>2854</v>
      </c>
      <c r="C903" t="s">
        <v>1415</v>
      </c>
      <c r="D903">
        <v>1</v>
      </c>
      <c r="E903" t="s">
        <v>974</v>
      </c>
      <c r="F903" t="s">
        <v>975</v>
      </c>
      <c r="G903" t="s">
        <v>180</v>
      </c>
      <c r="H903" s="1" t="s">
        <v>976</v>
      </c>
      <c r="I903" s="1">
        <v>520</v>
      </c>
      <c r="J903" s="20">
        <v>1</v>
      </c>
      <c r="K903" s="1">
        <v>71.27</v>
      </c>
      <c r="L903" s="1">
        <v>71.27</v>
      </c>
      <c r="M903" s="42" t="s">
        <v>2843</v>
      </c>
      <c r="O903" s="2" t="s">
        <v>2482</v>
      </c>
      <c r="P903" t="s">
        <v>24</v>
      </c>
      <c r="Q903" t="s">
        <v>847</v>
      </c>
    </row>
    <row r="904" spans="1:17" ht="15" customHeight="1" x14ac:dyDescent="0.25">
      <c r="A904" s="3" t="s">
        <v>1486</v>
      </c>
      <c r="B904" s="4" t="s">
        <v>2854</v>
      </c>
      <c r="C904" t="s">
        <v>1415</v>
      </c>
      <c r="D904">
        <v>1</v>
      </c>
      <c r="E904" t="s">
        <v>974</v>
      </c>
      <c r="F904" t="s">
        <v>975</v>
      </c>
      <c r="G904" t="s">
        <v>180</v>
      </c>
      <c r="H904" s="1" t="s">
        <v>976</v>
      </c>
      <c r="I904" s="1">
        <v>520</v>
      </c>
      <c r="J904" s="20">
        <v>0</v>
      </c>
      <c r="K904" s="1">
        <v>71.27</v>
      </c>
      <c r="L904" s="1">
        <v>0</v>
      </c>
      <c r="M904" s="42" t="s">
        <v>2843</v>
      </c>
      <c r="O904" s="2" t="s">
        <v>2482</v>
      </c>
      <c r="P904" t="s">
        <v>25</v>
      </c>
      <c r="Q904" t="s">
        <v>847</v>
      </c>
    </row>
    <row r="905" spans="1:17" ht="15" customHeight="1" x14ac:dyDescent="0.25">
      <c r="A905" s="3" t="s">
        <v>1487</v>
      </c>
      <c r="B905" s="4" t="s">
        <v>2854</v>
      </c>
      <c r="C905" t="s">
        <v>1415</v>
      </c>
      <c r="D905">
        <v>1</v>
      </c>
      <c r="E905" t="s">
        <v>974</v>
      </c>
      <c r="F905" t="s">
        <v>975</v>
      </c>
      <c r="G905" t="s">
        <v>180</v>
      </c>
      <c r="H905" s="1" t="s">
        <v>976</v>
      </c>
      <c r="I905" s="1">
        <v>520</v>
      </c>
      <c r="J905" s="20">
        <v>0</v>
      </c>
      <c r="K905" s="1">
        <v>71.27</v>
      </c>
      <c r="L905" s="1">
        <v>0</v>
      </c>
      <c r="M905" s="42" t="s">
        <v>2843</v>
      </c>
      <c r="O905" s="2" t="s">
        <v>2482</v>
      </c>
      <c r="P905" t="s">
        <v>23</v>
      </c>
      <c r="Q905" t="s">
        <v>847</v>
      </c>
    </row>
    <row r="906" spans="1:17" ht="15" customHeight="1" x14ac:dyDescent="0.25">
      <c r="A906" s="3" t="s">
        <v>1488</v>
      </c>
      <c r="B906" s="4" t="s">
        <v>2854</v>
      </c>
      <c r="C906" t="s">
        <v>1415</v>
      </c>
      <c r="D906">
        <v>1</v>
      </c>
      <c r="E906" t="s">
        <v>974</v>
      </c>
      <c r="F906" t="s">
        <v>975</v>
      </c>
      <c r="G906" t="s">
        <v>180</v>
      </c>
      <c r="H906" s="1" t="s">
        <v>976</v>
      </c>
      <c r="I906" s="1">
        <v>520</v>
      </c>
      <c r="J906" s="20">
        <v>0</v>
      </c>
      <c r="K906" s="1">
        <v>71.27</v>
      </c>
      <c r="L906" s="1">
        <v>0</v>
      </c>
      <c r="M906" s="42" t="s">
        <v>2843</v>
      </c>
      <c r="O906" s="2" t="s">
        <v>2482</v>
      </c>
      <c r="P906" t="s">
        <v>22</v>
      </c>
      <c r="Q906" t="s">
        <v>847</v>
      </c>
    </row>
    <row r="907" spans="1:17" ht="15" customHeight="1" x14ac:dyDescent="0.25">
      <c r="A907" s="3" t="s">
        <v>1489</v>
      </c>
      <c r="B907" s="4" t="s">
        <v>2853</v>
      </c>
      <c r="C907" t="s">
        <v>1415</v>
      </c>
      <c r="D907">
        <v>1</v>
      </c>
      <c r="E907" t="s">
        <v>974</v>
      </c>
      <c r="F907" t="s">
        <v>975</v>
      </c>
      <c r="G907" t="s">
        <v>180</v>
      </c>
      <c r="H907" s="1" t="s">
        <v>976</v>
      </c>
      <c r="I907" s="1">
        <v>615</v>
      </c>
      <c r="J907" s="20">
        <v>2</v>
      </c>
      <c r="K907" s="1">
        <v>91.53</v>
      </c>
      <c r="L907" s="1">
        <v>183.06</v>
      </c>
      <c r="M907" s="42" t="s">
        <v>2843</v>
      </c>
      <c r="O907" s="2" t="s">
        <v>2727</v>
      </c>
      <c r="P907" t="s">
        <v>24</v>
      </c>
      <c r="Q907" t="s">
        <v>848</v>
      </c>
    </row>
    <row r="908" spans="1:17" ht="15" customHeight="1" x14ac:dyDescent="0.25">
      <c r="A908" s="3" t="s">
        <v>1490</v>
      </c>
      <c r="B908" s="4" t="s">
        <v>2853</v>
      </c>
      <c r="C908" t="s">
        <v>1415</v>
      </c>
      <c r="D908">
        <v>1</v>
      </c>
      <c r="E908" t="s">
        <v>974</v>
      </c>
      <c r="F908" t="s">
        <v>975</v>
      </c>
      <c r="G908" t="s">
        <v>180</v>
      </c>
      <c r="H908" s="1" t="s">
        <v>976</v>
      </c>
      <c r="I908" s="1">
        <v>615</v>
      </c>
      <c r="J908" s="20">
        <v>0</v>
      </c>
      <c r="K908" s="1">
        <v>91.53</v>
      </c>
      <c r="L908" s="1">
        <v>0</v>
      </c>
      <c r="M908" s="42" t="s">
        <v>2843</v>
      </c>
      <c r="O908" s="2" t="s">
        <v>2727</v>
      </c>
      <c r="P908" t="s">
        <v>25</v>
      </c>
      <c r="Q908" t="s">
        <v>848</v>
      </c>
    </row>
    <row r="909" spans="1:17" ht="15" customHeight="1" x14ac:dyDescent="0.25">
      <c r="A909" s="3" t="s">
        <v>1491</v>
      </c>
      <c r="B909" s="4" t="s">
        <v>2853</v>
      </c>
      <c r="C909" t="s">
        <v>1415</v>
      </c>
      <c r="D909">
        <v>1</v>
      </c>
      <c r="E909" t="s">
        <v>974</v>
      </c>
      <c r="F909" t="s">
        <v>975</v>
      </c>
      <c r="G909" t="s">
        <v>180</v>
      </c>
      <c r="H909" s="1" t="s">
        <v>976</v>
      </c>
      <c r="I909" s="1">
        <v>615</v>
      </c>
      <c r="J909" s="20">
        <v>2</v>
      </c>
      <c r="K909" s="1">
        <v>91.53</v>
      </c>
      <c r="L909" s="1">
        <v>183.06</v>
      </c>
      <c r="M909" s="42" t="s">
        <v>2843</v>
      </c>
      <c r="O909" s="2" t="s">
        <v>2727</v>
      </c>
      <c r="P909" t="s">
        <v>23</v>
      </c>
      <c r="Q909" t="s">
        <v>848</v>
      </c>
    </row>
    <row r="910" spans="1:17" ht="15" customHeight="1" x14ac:dyDescent="0.25">
      <c r="A910" s="3" t="s">
        <v>1492</v>
      </c>
      <c r="B910" s="4" t="s">
        <v>2853</v>
      </c>
      <c r="C910" t="s">
        <v>1415</v>
      </c>
      <c r="D910">
        <v>1</v>
      </c>
      <c r="E910" t="s">
        <v>974</v>
      </c>
      <c r="F910" t="s">
        <v>975</v>
      </c>
      <c r="G910" t="s">
        <v>180</v>
      </c>
      <c r="H910" s="1" t="s">
        <v>976</v>
      </c>
      <c r="I910" s="1">
        <v>615</v>
      </c>
      <c r="J910" s="20">
        <v>0</v>
      </c>
      <c r="K910" s="1">
        <v>91.53</v>
      </c>
      <c r="L910" s="1">
        <v>0</v>
      </c>
      <c r="M910" s="42" t="s">
        <v>2843</v>
      </c>
      <c r="O910" s="2" t="s">
        <v>2727</v>
      </c>
      <c r="P910" t="s">
        <v>22</v>
      </c>
      <c r="Q910" t="s">
        <v>848</v>
      </c>
    </row>
    <row r="911" spans="1:17" ht="15" customHeight="1" x14ac:dyDescent="0.25">
      <c r="A911" s="3" t="s">
        <v>1493</v>
      </c>
      <c r="B911" s="4" t="s">
        <v>1415</v>
      </c>
      <c r="C911" t="s">
        <v>1415</v>
      </c>
      <c r="D911">
        <v>1</v>
      </c>
      <c r="E911" t="s">
        <v>974</v>
      </c>
      <c r="F911" t="s">
        <v>975</v>
      </c>
      <c r="G911" t="s">
        <v>180</v>
      </c>
      <c r="H911" s="1" t="s">
        <v>976</v>
      </c>
      <c r="I911" s="1">
        <v>595</v>
      </c>
      <c r="J911" s="20">
        <v>1</v>
      </c>
      <c r="K911" s="1">
        <v>0</v>
      </c>
      <c r="L911" s="1">
        <v>0</v>
      </c>
      <c r="M911" s="42" t="s">
        <v>2843</v>
      </c>
      <c r="O911" s="2" t="s">
        <v>2579</v>
      </c>
      <c r="P911" t="s">
        <v>23</v>
      </c>
      <c r="Q911" t="s">
        <v>844</v>
      </c>
    </row>
    <row r="912" spans="1:17" ht="15" customHeight="1" x14ac:dyDescent="0.25">
      <c r="A912" s="3" t="s">
        <v>1494</v>
      </c>
      <c r="B912" s="4" t="s">
        <v>2855</v>
      </c>
      <c r="C912" t="s">
        <v>1415</v>
      </c>
      <c r="D912">
        <v>1</v>
      </c>
      <c r="E912" t="s">
        <v>974</v>
      </c>
      <c r="F912" t="s">
        <v>975</v>
      </c>
      <c r="G912" t="s">
        <v>180</v>
      </c>
      <c r="H912" s="1" t="s">
        <v>976</v>
      </c>
      <c r="I912" s="1">
        <v>1200</v>
      </c>
      <c r="J912" s="20">
        <v>0</v>
      </c>
      <c r="K912" s="1">
        <v>218</v>
      </c>
      <c r="L912" s="1">
        <v>0</v>
      </c>
      <c r="M912" s="42" t="s">
        <v>2843</v>
      </c>
      <c r="O912" s="2" t="s">
        <v>2508</v>
      </c>
      <c r="Q912" t="s">
        <v>849</v>
      </c>
    </row>
    <row r="913" spans="1:17" ht="15" customHeight="1" x14ac:dyDescent="0.25">
      <c r="A913" s="3" t="s">
        <v>1495</v>
      </c>
      <c r="B913" s="4" t="s">
        <v>289</v>
      </c>
      <c r="C913" t="s">
        <v>1415</v>
      </c>
      <c r="D913">
        <v>1</v>
      </c>
      <c r="E913" t="s">
        <v>974</v>
      </c>
      <c r="F913" t="s">
        <v>975</v>
      </c>
      <c r="G913" t="s">
        <v>180</v>
      </c>
      <c r="H913" s="1" t="s">
        <v>976</v>
      </c>
      <c r="I913" s="1">
        <v>390</v>
      </c>
      <c r="J913" s="20">
        <v>6</v>
      </c>
      <c r="K913" s="1">
        <v>0</v>
      </c>
      <c r="L913" s="1">
        <v>0</v>
      </c>
      <c r="M913" s="42" t="s">
        <v>2843</v>
      </c>
      <c r="P913" t="s">
        <v>24</v>
      </c>
      <c r="Q913" t="s">
        <v>289</v>
      </c>
    </row>
    <row r="914" spans="1:17" ht="15" customHeight="1" x14ac:dyDescent="0.25">
      <c r="A914" s="3" t="s">
        <v>1496</v>
      </c>
      <c r="B914" s="4" t="s">
        <v>290</v>
      </c>
      <c r="C914" t="s">
        <v>1415</v>
      </c>
      <c r="D914">
        <v>1</v>
      </c>
      <c r="E914" t="s">
        <v>974</v>
      </c>
      <c r="F914" t="s">
        <v>975</v>
      </c>
      <c r="G914" t="s">
        <v>180</v>
      </c>
      <c r="H914" s="1" t="s">
        <v>976</v>
      </c>
      <c r="I914" s="1">
        <v>390</v>
      </c>
      <c r="J914" s="20">
        <v>3</v>
      </c>
      <c r="K914" s="1">
        <v>0</v>
      </c>
      <c r="L914" s="1">
        <v>0</v>
      </c>
      <c r="M914" s="42" t="s">
        <v>2843</v>
      </c>
      <c r="P914" t="s">
        <v>25</v>
      </c>
      <c r="Q914" t="s">
        <v>290</v>
      </c>
    </row>
    <row r="915" spans="1:17" ht="15" customHeight="1" x14ac:dyDescent="0.25">
      <c r="A915" s="3" t="s">
        <v>1497</v>
      </c>
      <c r="B915" s="4" t="s">
        <v>291</v>
      </c>
      <c r="C915" t="s">
        <v>1415</v>
      </c>
      <c r="D915">
        <v>1</v>
      </c>
      <c r="E915" t="s">
        <v>974</v>
      </c>
      <c r="F915" t="s">
        <v>975</v>
      </c>
      <c r="G915" t="s">
        <v>180</v>
      </c>
      <c r="H915" s="1" t="s">
        <v>976</v>
      </c>
      <c r="I915" s="1">
        <v>390</v>
      </c>
      <c r="J915" s="20">
        <v>6</v>
      </c>
      <c r="K915" s="1">
        <v>70.900000000000006</v>
      </c>
      <c r="L915" s="1">
        <v>425.4</v>
      </c>
      <c r="M915" s="42" t="s">
        <v>2843</v>
      </c>
      <c r="P915" t="s">
        <v>23</v>
      </c>
      <c r="Q915" t="s">
        <v>291</v>
      </c>
    </row>
    <row r="916" spans="1:17" ht="15" customHeight="1" x14ac:dyDescent="0.25">
      <c r="A916" s="3" t="s">
        <v>1498</v>
      </c>
      <c r="B916" s="4" t="s">
        <v>292</v>
      </c>
      <c r="C916" t="s">
        <v>1415</v>
      </c>
      <c r="D916">
        <v>1</v>
      </c>
      <c r="E916" t="s">
        <v>974</v>
      </c>
      <c r="F916" t="s">
        <v>975</v>
      </c>
      <c r="G916" t="s">
        <v>180</v>
      </c>
      <c r="H916" s="1" t="s">
        <v>976</v>
      </c>
      <c r="I916" s="1">
        <v>390</v>
      </c>
      <c r="J916" s="20">
        <v>4</v>
      </c>
      <c r="K916" s="1">
        <v>0</v>
      </c>
      <c r="L916" s="1">
        <v>0</v>
      </c>
      <c r="M916" s="42" t="s">
        <v>2843</v>
      </c>
      <c r="P916" t="s">
        <v>22</v>
      </c>
      <c r="Q916" t="s">
        <v>292</v>
      </c>
    </row>
    <row r="917" spans="1:17" ht="15" customHeight="1" x14ac:dyDescent="0.25">
      <c r="A917" s="3" t="s">
        <v>1499</v>
      </c>
      <c r="B917" s="4" t="s">
        <v>293</v>
      </c>
      <c r="C917" t="s">
        <v>1415</v>
      </c>
      <c r="D917">
        <v>1</v>
      </c>
      <c r="E917" t="s">
        <v>974</v>
      </c>
      <c r="F917" t="s">
        <v>975</v>
      </c>
      <c r="G917" t="s">
        <v>180</v>
      </c>
      <c r="H917" s="1" t="s">
        <v>976</v>
      </c>
      <c r="I917" s="1">
        <v>570</v>
      </c>
      <c r="J917" s="20">
        <v>0</v>
      </c>
      <c r="K917" s="1">
        <v>0</v>
      </c>
      <c r="L917" s="1">
        <v>0</v>
      </c>
      <c r="M917" s="42" t="s">
        <v>2843</v>
      </c>
      <c r="P917" t="s">
        <v>23</v>
      </c>
      <c r="Q917" t="s">
        <v>293</v>
      </c>
    </row>
    <row r="918" spans="1:17" ht="15" customHeight="1" x14ac:dyDescent="0.25">
      <c r="A918" s="3" t="s">
        <v>1500</v>
      </c>
      <c r="B918" s="4" t="s">
        <v>294</v>
      </c>
      <c r="C918" t="s">
        <v>1415</v>
      </c>
      <c r="D918">
        <v>1</v>
      </c>
      <c r="E918" t="s">
        <v>974</v>
      </c>
      <c r="F918" t="s">
        <v>975</v>
      </c>
      <c r="G918" t="s">
        <v>180</v>
      </c>
      <c r="H918" s="1" t="s">
        <v>976</v>
      </c>
      <c r="I918" s="1">
        <v>570</v>
      </c>
      <c r="J918" s="20">
        <v>0</v>
      </c>
      <c r="K918" s="1">
        <v>0</v>
      </c>
      <c r="L918" s="1">
        <v>0</v>
      </c>
      <c r="M918" s="42" t="s">
        <v>2843</v>
      </c>
      <c r="P918" t="s">
        <v>24</v>
      </c>
      <c r="Q918" t="s">
        <v>294</v>
      </c>
    </row>
    <row r="919" spans="1:17" ht="15" customHeight="1" x14ac:dyDescent="0.25">
      <c r="A919" s="3" t="s">
        <v>1501</v>
      </c>
      <c r="B919" s="4" t="s">
        <v>850</v>
      </c>
      <c r="C919" t="s">
        <v>1415</v>
      </c>
      <c r="D919">
        <v>1</v>
      </c>
      <c r="E919" t="s">
        <v>974</v>
      </c>
      <c r="F919" t="s">
        <v>975</v>
      </c>
      <c r="G919" t="s">
        <v>976</v>
      </c>
      <c r="H919" s="1" t="s">
        <v>976</v>
      </c>
      <c r="I919" s="1">
        <v>790</v>
      </c>
      <c r="J919" s="20">
        <v>-1</v>
      </c>
      <c r="K919" s="1">
        <v>0</v>
      </c>
      <c r="L919" s="1">
        <v>0</v>
      </c>
      <c r="M919" s="42" t="s">
        <v>2843</v>
      </c>
      <c r="N919" s="1" t="s">
        <v>2616</v>
      </c>
      <c r="Q919" t="s">
        <v>850</v>
      </c>
    </row>
    <row r="920" spans="1:17" ht="15" customHeight="1" x14ac:dyDescent="0.25">
      <c r="A920" s="3" t="s">
        <v>1502</v>
      </c>
      <c r="B920" s="4" t="s">
        <v>2856</v>
      </c>
      <c r="C920" t="s">
        <v>1415</v>
      </c>
      <c r="D920">
        <v>1</v>
      </c>
      <c r="E920" t="s">
        <v>974</v>
      </c>
      <c r="F920" t="s">
        <v>975</v>
      </c>
      <c r="G920" t="s">
        <v>976</v>
      </c>
      <c r="H920" s="1" t="s">
        <v>976</v>
      </c>
      <c r="I920" s="1">
        <v>680</v>
      </c>
      <c r="J920" s="20">
        <v>6</v>
      </c>
      <c r="K920" s="1">
        <v>121.4</v>
      </c>
      <c r="L920" s="1">
        <v>728.4</v>
      </c>
      <c r="M920" s="42" t="s">
        <v>2843</v>
      </c>
      <c r="O920" s="2" t="s">
        <v>2447</v>
      </c>
      <c r="P920" t="s">
        <v>24</v>
      </c>
      <c r="Q920" t="s">
        <v>851</v>
      </c>
    </row>
    <row r="921" spans="1:17" ht="15" customHeight="1" x14ac:dyDescent="0.25">
      <c r="A921" s="41" t="s">
        <v>1502</v>
      </c>
      <c r="B921" s="3" t="s">
        <v>2856</v>
      </c>
      <c r="C921" s="41" t="s">
        <v>1415</v>
      </c>
      <c r="D921">
        <v>3</v>
      </c>
      <c r="E921" t="s">
        <v>1179</v>
      </c>
      <c r="F921" t="s">
        <v>1180</v>
      </c>
      <c r="G921" t="s">
        <v>976</v>
      </c>
      <c r="H921" s="1" t="s">
        <v>976</v>
      </c>
      <c r="I921" s="1">
        <v>680</v>
      </c>
      <c r="J921" s="20">
        <v>1</v>
      </c>
      <c r="K921" s="1">
        <v>680</v>
      </c>
      <c r="L921" s="1">
        <v>680</v>
      </c>
      <c r="M921" s="42" t="s">
        <v>2843</v>
      </c>
      <c r="O921" s="2" t="s">
        <v>2447</v>
      </c>
      <c r="P921" t="s">
        <v>24</v>
      </c>
      <c r="Q921" t="s">
        <v>851</v>
      </c>
    </row>
    <row r="922" spans="1:17" ht="15" customHeight="1" x14ac:dyDescent="0.25">
      <c r="A922" s="3" t="s">
        <v>1503</v>
      </c>
      <c r="B922" s="4" t="s">
        <v>2856</v>
      </c>
      <c r="C922" t="s">
        <v>1415</v>
      </c>
      <c r="D922">
        <v>1</v>
      </c>
      <c r="E922" t="s">
        <v>974</v>
      </c>
      <c r="F922" t="s">
        <v>975</v>
      </c>
      <c r="G922" t="s">
        <v>976</v>
      </c>
      <c r="H922" s="1" t="s">
        <v>976</v>
      </c>
      <c r="I922" s="1">
        <v>680</v>
      </c>
      <c r="J922" s="20">
        <v>1</v>
      </c>
      <c r="K922" s="1">
        <v>121.4</v>
      </c>
      <c r="L922" s="1">
        <v>121.4</v>
      </c>
      <c r="M922" s="42" t="s">
        <v>2843</v>
      </c>
      <c r="O922" s="2" t="s">
        <v>2447</v>
      </c>
      <c r="P922" t="s">
        <v>25</v>
      </c>
      <c r="Q922" t="s">
        <v>851</v>
      </c>
    </row>
    <row r="923" spans="1:17" ht="15" customHeight="1" x14ac:dyDescent="0.25">
      <c r="A923" s="3" t="s">
        <v>1504</v>
      </c>
      <c r="B923" s="4" t="s">
        <v>2856</v>
      </c>
      <c r="C923" t="s">
        <v>1415</v>
      </c>
      <c r="D923">
        <v>1</v>
      </c>
      <c r="E923" t="s">
        <v>974</v>
      </c>
      <c r="F923" t="s">
        <v>975</v>
      </c>
      <c r="G923" t="s">
        <v>976</v>
      </c>
      <c r="H923" s="1" t="s">
        <v>976</v>
      </c>
      <c r="I923" s="1">
        <v>680</v>
      </c>
      <c r="J923" s="20">
        <v>10</v>
      </c>
      <c r="K923" s="1">
        <v>121.3</v>
      </c>
      <c r="L923" s="1">
        <v>1213</v>
      </c>
      <c r="M923" s="42" t="s">
        <v>2843</v>
      </c>
      <c r="O923" s="2" t="s">
        <v>2447</v>
      </c>
      <c r="P923" t="s">
        <v>23</v>
      </c>
      <c r="Q923" t="s">
        <v>851</v>
      </c>
    </row>
    <row r="924" spans="1:17" ht="15" customHeight="1" x14ac:dyDescent="0.25">
      <c r="A924" s="41" t="s">
        <v>1504</v>
      </c>
      <c r="B924" s="3" t="s">
        <v>2856</v>
      </c>
      <c r="C924" s="41" t="s">
        <v>1415</v>
      </c>
      <c r="D924">
        <v>3</v>
      </c>
      <c r="E924" t="s">
        <v>1179</v>
      </c>
      <c r="F924" t="s">
        <v>1180</v>
      </c>
      <c r="G924" t="s">
        <v>976</v>
      </c>
      <c r="H924" s="1" t="s">
        <v>976</v>
      </c>
      <c r="I924" s="1">
        <v>680</v>
      </c>
      <c r="J924" s="20">
        <v>2</v>
      </c>
      <c r="K924" s="1">
        <v>680</v>
      </c>
      <c r="L924" s="1">
        <v>1360</v>
      </c>
      <c r="M924" s="42" t="s">
        <v>2843</v>
      </c>
      <c r="O924" s="2" t="s">
        <v>2447</v>
      </c>
      <c r="P924" t="s">
        <v>23</v>
      </c>
      <c r="Q924" t="s">
        <v>851</v>
      </c>
    </row>
    <row r="925" spans="1:17" ht="15" customHeight="1" x14ac:dyDescent="0.25">
      <c r="A925" s="3" t="s">
        <v>1505</v>
      </c>
      <c r="B925" s="4" t="s">
        <v>2856</v>
      </c>
      <c r="C925" t="s">
        <v>1415</v>
      </c>
      <c r="D925">
        <v>1</v>
      </c>
      <c r="E925" t="s">
        <v>974</v>
      </c>
      <c r="F925" t="s">
        <v>975</v>
      </c>
      <c r="G925" t="s">
        <v>976</v>
      </c>
      <c r="H925" s="1" t="s">
        <v>976</v>
      </c>
      <c r="I925" s="1">
        <v>680</v>
      </c>
      <c r="J925" s="20">
        <v>1</v>
      </c>
      <c r="K925" s="1">
        <v>121.39859800000001</v>
      </c>
      <c r="L925" s="1">
        <v>121.4</v>
      </c>
      <c r="M925" s="42" t="s">
        <v>2843</v>
      </c>
      <c r="O925" s="2" t="s">
        <v>2447</v>
      </c>
      <c r="P925" t="s">
        <v>22</v>
      </c>
      <c r="Q925" t="s">
        <v>851</v>
      </c>
    </row>
    <row r="926" spans="1:17" ht="15" customHeight="1" x14ac:dyDescent="0.25">
      <c r="A926" s="41" t="s">
        <v>1505</v>
      </c>
      <c r="B926" s="3" t="s">
        <v>2856</v>
      </c>
      <c r="C926" s="41" t="s">
        <v>1415</v>
      </c>
      <c r="D926">
        <v>3</v>
      </c>
      <c r="E926" t="s">
        <v>1179</v>
      </c>
      <c r="F926" t="s">
        <v>1180</v>
      </c>
      <c r="G926" t="s">
        <v>976</v>
      </c>
      <c r="H926" s="1" t="s">
        <v>976</v>
      </c>
      <c r="I926" s="1">
        <v>680</v>
      </c>
      <c r="J926" s="20">
        <v>1</v>
      </c>
      <c r="K926" s="1">
        <v>680</v>
      </c>
      <c r="L926" s="1">
        <v>680</v>
      </c>
      <c r="M926" s="42" t="s">
        <v>2843</v>
      </c>
      <c r="O926" s="2" t="s">
        <v>2447</v>
      </c>
      <c r="P926" t="s">
        <v>22</v>
      </c>
      <c r="Q926" t="s">
        <v>851</v>
      </c>
    </row>
    <row r="927" spans="1:17" ht="15" customHeight="1" x14ac:dyDescent="0.25">
      <c r="A927" s="3" t="s">
        <v>1506</v>
      </c>
      <c r="B927" s="4" t="s">
        <v>2856</v>
      </c>
      <c r="C927" t="s">
        <v>1415</v>
      </c>
      <c r="D927">
        <v>1</v>
      </c>
      <c r="E927" t="s">
        <v>974</v>
      </c>
      <c r="F927" t="s">
        <v>975</v>
      </c>
      <c r="G927" t="s">
        <v>976</v>
      </c>
      <c r="H927" s="1" t="s">
        <v>976</v>
      </c>
      <c r="I927" s="1">
        <v>680</v>
      </c>
      <c r="J927" s="20">
        <v>0</v>
      </c>
      <c r="K927" s="1">
        <v>118.45</v>
      </c>
      <c r="L927" s="1">
        <v>0</v>
      </c>
      <c r="M927" s="42" t="s">
        <v>2843</v>
      </c>
      <c r="O927" s="2" t="s">
        <v>2447</v>
      </c>
      <c r="P927" t="s">
        <v>21</v>
      </c>
      <c r="Q927" t="s">
        <v>851</v>
      </c>
    </row>
    <row r="928" spans="1:17" ht="15" customHeight="1" x14ac:dyDescent="0.25">
      <c r="A928" s="3" t="s">
        <v>1507</v>
      </c>
      <c r="B928" s="4" t="s">
        <v>295</v>
      </c>
      <c r="C928" t="s">
        <v>1415</v>
      </c>
      <c r="D928">
        <v>1</v>
      </c>
      <c r="E928" t="s">
        <v>974</v>
      </c>
      <c r="F928" t="s">
        <v>975</v>
      </c>
      <c r="G928" t="s">
        <v>180</v>
      </c>
      <c r="H928" s="1" t="s">
        <v>976</v>
      </c>
      <c r="I928" s="1">
        <v>680</v>
      </c>
      <c r="J928" s="20">
        <v>2</v>
      </c>
      <c r="K928" s="1">
        <v>119.5</v>
      </c>
      <c r="L928" s="1">
        <v>239</v>
      </c>
      <c r="M928" s="42" t="s">
        <v>2843</v>
      </c>
      <c r="P928" t="s">
        <v>24</v>
      </c>
      <c r="Q928" t="s">
        <v>295</v>
      </c>
    </row>
    <row r="929" spans="1:17" ht="15" customHeight="1" x14ac:dyDescent="0.25">
      <c r="A929" s="41" t="s">
        <v>1507</v>
      </c>
      <c r="B929" s="3" t="s">
        <v>295</v>
      </c>
      <c r="C929" s="41" t="s">
        <v>1415</v>
      </c>
      <c r="D929">
        <v>3</v>
      </c>
      <c r="E929" t="s">
        <v>1179</v>
      </c>
      <c r="F929" t="s">
        <v>1180</v>
      </c>
      <c r="G929" t="s">
        <v>180</v>
      </c>
      <c r="H929" s="1" t="s">
        <v>976</v>
      </c>
      <c r="I929" s="1">
        <v>680</v>
      </c>
      <c r="J929" s="20">
        <v>1</v>
      </c>
      <c r="K929" s="1">
        <v>680</v>
      </c>
      <c r="L929" s="1">
        <v>680</v>
      </c>
      <c r="M929" s="42" t="s">
        <v>2843</v>
      </c>
      <c r="P929" t="s">
        <v>24</v>
      </c>
      <c r="Q929" t="s">
        <v>295</v>
      </c>
    </row>
    <row r="930" spans="1:17" ht="15" customHeight="1" x14ac:dyDescent="0.25">
      <c r="A930" s="3" t="s">
        <v>1508</v>
      </c>
      <c r="B930" s="4" t="s">
        <v>296</v>
      </c>
      <c r="C930" t="s">
        <v>1415</v>
      </c>
      <c r="D930">
        <v>1</v>
      </c>
      <c r="E930" t="s">
        <v>974</v>
      </c>
      <c r="F930" t="s">
        <v>975</v>
      </c>
      <c r="G930" t="s">
        <v>180</v>
      </c>
      <c r="H930" s="1" t="s">
        <v>976</v>
      </c>
      <c r="I930" s="1">
        <v>680</v>
      </c>
      <c r="J930" s="20">
        <v>0</v>
      </c>
      <c r="K930" s="1">
        <v>119.5</v>
      </c>
      <c r="L930" s="1">
        <v>0</v>
      </c>
      <c r="M930" s="42" t="s">
        <v>2843</v>
      </c>
      <c r="P930" t="s">
        <v>25</v>
      </c>
      <c r="Q930" t="s">
        <v>296</v>
      </c>
    </row>
    <row r="931" spans="1:17" ht="15" customHeight="1" x14ac:dyDescent="0.25">
      <c r="A931" s="3" t="s">
        <v>1509</v>
      </c>
      <c r="B931" s="4" t="s">
        <v>297</v>
      </c>
      <c r="C931" t="s">
        <v>1415</v>
      </c>
      <c r="D931">
        <v>1</v>
      </c>
      <c r="E931" t="s">
        <v>974</v>
      </c>
      <c r="F931" t="s">
        <v>975</v>
      </c>
      <c r="G931" t="s">
        <v>180</v>
      </c>
      <c r="H931" s="1" t="s">
        <v>976</v>
      </c>
      <c r="I931" s="1">
        <v>680</v>
      </c>
      <c r="J931" s="20">
        <v>16</v>
      </c>
      <c r="K931" s="1">
        <v>117.880421</v>
      </c>
      <c r="L931" s="1">
        <v>1886.09</v>
      </c>
      <c r="M931" s="42" t="s">
        <v>2843</v>
      </c>
      <c r="P931" t="s">
        <v>23</v>
      </c>
      <c r="Q931" t="s">
        <v>297</v>
      </c>
    </row>
    <row r="932" spans="1:17" ht="15" customHeight="1" x14ac:dyDescent="0.25">
      <c r="A932" s="41" t="s">
        <v>1509</v>
      </c>
      <c r="B932" s="3" t="s">
        <v>297</v>
      </c>
      <c r="C932" s="41" t="s">
        <v>1415</v>
      </c>
      <c r="D932">
        <v>2</v>
      </c>
      <c r="E932" t="s">
        <v>1017</v>
      </c>
      <c r="F932" t="s">
        <v>975</v>
      </c>
      <c r="G932" t="s">
        <v>180</v>
      </c>
      <c r="H932" s="1" t="s">
        <v>976</v>
      </c>
      <c r="I932" s="1">
        <v>680</v>
      </c>
      <c r="J932" s="20">
        <v>0</v>
      </c>
      <c r="K932" s="1">
        <v>108.51</v>
      </c>
      <c r="L932" s="1">
        <v>0</v>
      </c>
      <c r="M932" s="42" t="s">
        <v>2843</v>
      </c>
      <c r="P932" t="s">
        <v>23</v>
      </c>
      <c r="Q932" t="s">
        <v>297</v>
      </c>
    </row>
    <row r="933" spans="1:17" ht="15" customHeight="1" x14ac:dyDescent="0.25">
      <c r="A933" s="41" t="s">
        <v>1509</v>
      </c>
      <c r="B933" s="3" t="s">
        <v>297</v>
      </c>
      <c r="C933" s="41" t="s">
        <v>1415</v>
      </c>
      <c r="D933">
        <v>3</v>
      </c>
      <c r="E933" t="s">
        <v>1179</v>
      </c>
      <c r="F933" t="s">
        <v>1180</v>
      </c>
      <c r="G933" t="s">
        <v>180</v>
      </c>
      <c r="H933" s="1" t="s">
        <v>976</v>
      </c>
      <c r="I933" s="1">
        <v>680</v>
      </c>
      <c r="J933" s="20">
        <v>2</v>
      </c>
      <c r="K933" s="1">
        <v>680</v>
      </c>
      <c r="L933" s="1">
        <v>1360</v>
      </c>
      <c r="M933" s="42" t="s">
        <v>2843</v>
      </c>
      <c r="P933" t="s">
        <v>23</v>
      </c>
      <c r="Q933" t="s">
        <v>297</v>
      </c>
    </row>
    <row r="934" spans="1:17" ht="15" customHeight="1" x14ac:dyDescent="0.25">
      <c r="A934" s="3" t="s">
        <v>1510</v>
      </c>
      <c r="B934" s="4" t="s">
        <v>298</v>
      </c>
      <c r="C934" t="s">
        <v>1415</v>
      </c>
      <c r="D934">
        <v>1</v>
      </c>
      <c r="E934" t="s">
        <v>974</v>
      </c>
      <c r="F934" t="s">
        <v>975</v>
      </c>
      <c r="G934" t="s">
        <v>180</v>
      </c>
      <c r="H934" s="1" t="s">
        <v>976</v>
      </c>
      <c r="I934" s="1">
        <v>680</v>
      </c>
      <c r="J934" s="20">
        <v>0</v>
      </c>
      <c r="K934" s="1">
        <v>119.5</v>
      </c>
      <c r="L934" s="1">
        <v>0</v>
      </c>
      <c r="M934" s="42" t="s">
        <v>2843</v>
      </c>
      <c r="P934" t="s">
        <v>22</v>
      </c>
      <c r="Q934" t="s">
        <v>298</v>
      </c>
    </row>
    <row r="935" spans="1:17" ht="15" customHeight="1" x14ac:dyDescent="0.25">
      <c r="A935" s="41" t="s">
        <v>1510</v>
      </c>
      <c r="B935" s="3" t="s">
        <v>298</v>
      </c>
      <c r="C935" s="41" t="s">
        <v>1415</v>
      </c>
      <c r="D935">
        <v>3</v>
      </c>
      <c r="E935" t="s">
        <v>1179</v>
      </c>
      <c r="F935" t="s">
        <v>1180</v>
      </c>
      <c r="G935" t="s">
        <v>180</v>
      </c>
      <c r="H935" s="1" t="s">
        <v>976</v>
      </c>
      <c r="I935" s="1">
        <v>680</v>
      </c>
      <c r="J935" s="20">
        <v>0</v>
      </c>
      <c r="K935" s="1">
        <v>680</v>
      </c>
      <c r="L935" s="1">
        <v>0</v>
      </c>
      <c r="M935" s="42" t="s">
        <v>2843</v>
      </c>
      <c r="P935" t="s">
        <v>22</v>
      </c>
      <c r="Q935" t="s">
        <v>298</v>
      </c>
    </row>
    <row r="936" spans="1:17" ht="15" customHeight="1" x14ac:dyDescent="0.25">
      <c r="A936" s="3" t="s">
        <v>1511</v>
      </c>
      <c r="B936" s="4" t="s">
        <v>299</v>
      </c>
      <c r="C936" t="s">
        <v>1415</v>
      </c>
      <c r="D936">
        <v>1</v>
      </c>
      <c r="E936" t="s">
        <v>974</v>
      </c>
      <c r="F936" t="s">
        <v>975</v>
      </c>
      <c r="G936" t="s">
        <v>180</v>
      </c>
      <c r="H936" s="1" t="s">
        <v>976</v>
      </c>
      <c r="I936" s="1">
        <v>680</v>
      </c>
      <c r="J936" s="20">
        <v>0</v>
      </c>
      <c r="K936" s="1">
        <v>117.5</v>
      </c>
      <c r="L936" s="1">
        <v>0</v>
      </c>
      <c r="M936" s="42" t="s">
        <v>2843</v>
      </c>
      <c r="P936" t="s">
        <v>21</v>
      </c>
      <c r="Q936" t="s">
        <v>299</v>
      </c>
    </row>
    <row r="937" spans="1:17" ht="15" customHeight="1" x14ac:dyDescent="0.25">
      <c r="A937" s="3" t="s">
        <v>1512</v>
      </c>
      <c r="B937" s="4" t="s">
        <v>2857</v>
      </c>
      <c r="C937" t="s">
        <v>1415</v>
      </c>
      <c r="D937">
        <v>1</v>
      </c>
      <c r="E937" t="s">
        <v>974</v>
      </c>
      <c r="F937" t="s">
        <v>975</v>
      </c>
      <c r="G937" t="s">
        <v>180</v>
      </c>
      <c r="H937" s="1" t="s">
        <v>976</v>
      </c>
      <c r="I937" s="1">
        <v>490</v>
      </c>
      <c r="J937" s="20">
        <v>1</v>
      </c>
      <c r="K937" s="1">
        <v>90</v>
      </c>
      <c r="L937" s="1">
        <v>90</v>
      </c>
      <c r="M937" s="42" t="s">
        <v>2843</v>
      </c>
      <c r="O937" s="2" t="s">
        <v>2579</v>
      </c>
      <c r="P937" t="s">
        <v>23</v>
      </c>
      <c r="Q937" t="s">
        <v>852</v>
      </c>
    </row>
    <row r="938" spans="1:17" ht="15" customHeight="1" x14ac:dyDescent="0.25">
      <c r="A938" s="3" t="s">
        <v>1513</v>
      </c>
      <c r="B938" s="4" t="s">
        <v>300</v>
      </c>
      <c r="C938" t="s">
        <v>1415</v>
      </c>
      <c r="D938">
        <v>1</v>
      </c>
      <c r="E938" t="s">
        <v>974</v>
      </c>
      <c r="F938" t="s">
        <v>975</v>
      </c>
      <c r="G938" t="s">
        <v>976</v>
      </c>
      <c r="H938" s="1" t="s">
        <v>976</v>
      </c>
      <c r="I938" s="1">
        <v>790</v>
      </c>
      <c r="J938" s="20">
        <v>9</v>
      </c>
      <c r="K938" s="1">
        <v>152</v>
      </c>
      <c r="L938" s="1">
        <v>1368</v>
      </c>
      <c r="M938" s="42" t="s">
        <v>2843</v>
      </c>
      <c r="P938" t="s">
        <v>24</v>
      </c>
      <c r="Q938" t="s">
        <v>300</v>
      </c>
    </row>
    <row r="939" spans="1:17" ht="15" customHeight="1" x14ac:dyDescent="0.25">
      <c r="A939" s="3" t="s">
        <v>1514</v>
      </c>
      <c r="B939" s="4" t="s">
        <v>301</v>
      </c>
      <c r="C939" t="s">
        <v>1415</v>
      </c>
      <c r="D939">
        <v>1</v>
      </c>
      <c r="E939" t="s">
        <v>974</v>
      </c>
      <c r="F939" t="s">
        <v>975</v>
      </c>
      <c r="G939" t="s">
        <v>976</v>
      </c>
      <c r="H939" s="1" t="s">
        <v>976</v>
      </c>
      <c r="I939" s="1">
        <v>790</v>
      </c>
      <c r="J939" s="20">
        <v>0</v>
      </c>
      <c r="K939" s="1">
        <v>152</v>
      </c>
      <c r="L939" s="1">
        <v>0</v>
      </c>
      <c r="M939" s="42" t="s">
        <v>2843</v>
      </c>
      <c r="P939" t="s">
        <v>25</v>
      </c>
      <c r="Q939" t="s">
        <v>301</v>
      </c>
    </row>
    <row r="940" spans="1:17" ht="15" customHeight="1" x14ac:dyDescent="0.25">
      <c r="A940" s="3" t="s">
        <v>1515</v>
      </c>
      <c r="B940" s="4" t="s">
        <v>302</v>
      </c>
      <c r="C940" t="s">
        <v>1415</v>
      </c>
      <c r="D940">
        <v>1</v>
      </c>
      <c r="E940" t="s">
        <v>974</v>
      </c>
      <c r="F940" t="s">
        <v>975</v>
      </c>
      <c r="G940" t="s">
        <v>976</v>
      </c>
      <c r="H940" s="1" t="s">
        <v>976</v>
      </c>
      <c r="I940" s="1">
        <v>790</v>
      </c>
      <c r="J940" s="20">
        <v>14</v>
      </c>
      <c r="K940" s="1">
        <v>152</v>
      </c>
      <c r="L940" s="1">
        <v>2128</v>
      </c>
      <c r="M940" s="42" t="s">
        <v>2843</v>
      </c>
      <c r="P940" t="s">
        <v>23</v>
      </c>
      <c r="Q940" t="s">
        <v>302</v>
      </c>
    </row>
    <row r="941" spans="1:17" ht="15" customHeight="1" x14ac:dyDescent="0.25">
      <c r="A941" s="3" t="s">
        <v>1516</v>
      </c>
      <c r="B941" s="4" t="s">
        <v>303</v>
      </c>
      <c r="C941" t="s">
        <v>1415</v>
      </c>
      <c r="D941">
        <v>1</v>
      </c>
      <c r="E941" t="s">
        <v>974</v>
      </c>
      <c r="F941" t="s">
        <v>975</v>
      </c>
      <c r="G941" t="s">
        <v>976</v>
      </c>
      <c r="H941" s="1" t="s">
        <v>976</v>
      </c>
      <c r="I941" s="1">
        <v>790</v>
      </c>
      <c r="J941" s="20">
        <v>-1</v>
      </c>
      <c r="K941" s="1">
        <v>152</v>
      </c>
      <c r="L941" s="1">
        <v>-152</v>
      </c>
      <c r="M941" s="42" t="s">
        <v>2843</v>
      </c>
      <c r="P941" t="s">
        <v>22</v>
      </c>
      <c r="Q941" t="s">
        <v>303</v>
      </c>
    </row>
    <row r="942" spans="1:17" ht="15" customHeight="1" x14ac:dyDescent="0.25">
      <c r="A942" s="41" t="s">
        <v>1516</v>
      </c>
      <c r="B942" s="3" t="s">
        <v>303</v>
      </c>
      <c r="C942" s="41" t="s">
        <v>1415</v>
      </c>
      <c r="D942">
        <v>3</v>
      </c>
      <c r="E942" t="s">
        <v>1179</v>
      </c>
      <c r="F942" t="s">
        <v>1180</v>
      </c>
      <c r="G942" t="s">
        <v>976</v>
      </c>
      <c r="H942" s="1" t="s">
        <v>976</v>
      </c>
      <c r="I942" s="1">
        <v>790</v>
      </c>
      <c r="J942" s="20">
        <v>1</v>
      </c>
      <c r="K942" s="1">
        <v>790</v>
      </c>
      <c r="L942" s="1">
        <v>790</v>
      </c>
      <c r="M942" s="42" t="s">
        <v>2843</v>
      </c>
      <c r="P942" t="s">
        <v>22</v>
      </c>
      <c r="Q942" t="s">
        <v>303</v>
      </c>
    </row>
    <row r="943" spans="1:17" ht="15" customHeight="1" x14ac:dyDescent="0.25">
      <c r="A943" s="3" t="s">
        <v>1517</v>
      </c>
      <c r="B943" s="4" t="s">
        <v>304</v>
      </c>
      <c r="C943" t="s">
        <v>1415</v>
      </c>
      <c r="D943">
        <v>1</v>
      </c>
      <c r="E943" t="s">
        <v>974</v>
      </c>
      <c r="F943" t="s">
        <v>975</v>
      </c>
      <c r="G943" t="s">
        <v>976</v>
      </c>
      <c r="H943" s="1" t="s">
        <v>976</v>
      </c>
      <c r="I943" s="1">
        <v>790</v>
      </c>
      <c r="J943" s="20">
        <v>1</v>
      </c>
      <c r="K943" s="1">
        <v>152</v>
      </c>
      <c r="L943" s="1">
        <v>152</v>
      </c>
      <c r="M943" s="42" t="s">
        <v>2843</v>
      </c>
      <c r="P943" t="s">
        <v>21</v>
      </c>
      <c r="Q943" t="s">
        <v>304</v>
      </c>
    </row>
    <row r="944" spans="1:17" ht="15" customHeight="1" x14ac:dyDescent="0.25">
      <c r="A944" s="3" t="s">
        <v>1518</v>
      </c>
      <c r="B944" s="4" t="s">
        <v>305</v>
      </c>
      <c r="C944" t="s">
        <v>1415</v>
      </c>
      <c r="D944">
        <v>1</v>
      </c>
      <c r="E944" t="s">
        <v>974</v>
      </c>
      <c r="F944" t="s">
        <v>975</v>
      </c>
      <c r="G944" t="s">
        <v>976</v>
      </c>
      <c r="H944" s="1" t="s">
        <v>976</v>
      </c>
      <c r="I944" s="1">
        <v>790</v>
      </c>
      <c r="J944" s="20">
        <v>9</v>
      </c>
      <c r="K944" s="1">
        <v>152</v>
      </c>
      <c r="L944" s="1">
        <v>1368</v>
      </c>
      <c r="M944" s="42" t="s">
        <v>2843</v>
      </c>
      <c r="P944" t="s">
        <v>24</v>
      </c>
      <c r="Q944" t="s">
        <v>305</v>
      </c>
    </row>
    <row r="945" spans="1:17" ht="15" customHeight="1" x14ac:dyDescent="0.25">
      <c r="A945" s="3" t="s">
        <v>1519</v>
      </c>
      <c r="B945" s="4" t="s">
        <v>306</v>
      </c>
      <c r="C945" t="s">
        <v>1415</v>
      </c>
      <c r="D945">
        <v>1</v>
      </c>
      <c r="E945" t="s">
        <v>974</v>
      </c>
      <c r="F945" t="s">
        <v>975</v>
      </c>
      <c r="G945" t="s">
        <v>976</v>
      </c>
      <c r="H945" s="1" t="s">
        <v>976</v>
      </c>
      <c r="I945" s="1">
        <v>790</v>
      </c>
      <c r="J945" s="20">
        <v>0</v>
      </c>
      <c r="K945" s="1">
        <v>152</v>
      </c>
      <c r="L945" s="1">
        <v>0</v>
      </c>
      <c r="M945" s="42" t="s">
        <v>2843</v>
      </c>
      <c r="P945" t="s">
        <v>25</v>
      </c>
      <c r="Q945" t="s">
        <v>306</v>
      </c>
    </row>
    <row r="946" spans="1:17" ht="15" customHeight="1" x14ac:dyDescent="0.25">
      <c r="A946" s="3" t="s">
        <v>1520</v>
      </c>
      <c r="B946" s="4" t="s">
        <v>307</v>
      </c>
      <c r="C946" t="s">
        <v>1415</v>
      </c>
      <c r="D946">
        <v>1</v>
      </c>
      <c r="E946" t="s">
        <v>974</v>
      </c>
      <c r="F946" t="s">
        <v>975</v>
      </c>
      <c r="G946" t="s">
        <v>976</v>
      </c>
      <c r="H946" s="1" t="s">
        <v>976</v>
      </c>
      <c r="I946" s="1">
        <v>790</v>
      </c>
      <c r="J946" s="20">
        <v>15</v>
      </c>
      <c r="K946" s="1">
        <v>152</v>
      </c>
      <c r="L946" s="1">
        <v>2280</v>
      </c>
      <c r="M946" s="42" t="s">
        <v>2843</v>
      </c>
      <c r="P946" t="s">
        <v>23</v>
      </c>
      <c r="Q946" t="s">
        <v>307</v>
      </c>
    </row>
    <row r="947" spans="1:17" ht="15" customHeight="1" x14ac:dyDescent="0.25">
      <c r="A947" s="41" t="s">
        <v>1520</v>
      </c>
      <c r="B947" s="3" t="s">
        <v>307</v>
      </c>
      <c r="C947" s="41" t="s">
        <v>1415</v>
      </c>
      <c r="D947">
        <v>3</v>
      </c>
      <c r="E947" t="s">
        <v>1179</v>
      </c>
      <c r="F947" t="s">
        <v>1180</v>
      </c>
      <c r="G947" t="s">
        <v>976</v>
      </c>
      <c r="H947" s="1" t="s">
        <v>976</v>
      </c>
      <c r="I947" s="1">
        <v>790</v>
      </c>
      <c r="J947" s="20">
        <v>-1</v>
      </c>
      <c r="K947" s="1">
        <v>0</v>
      </c>
      <c r="L947" s="1">
        <v>0</v>
      </c>
      <c r="M947" s="42" t="s">
        <v>2843</v>
      </c>
      <c r="P947" t="s">
        <v>23</v>
      </c>
      <c r="Q947" t="s">
        <v>307</v>
      </c>
    </row>
    <row r="948" spans="1:17" ht="15" customHeight="1" x14ac:dyDescent="0.25">
      <c r="A948" s="3" t="s">
        <v>1521</v>
      </c>
      <c r="B948" s="4" t="s">
        <v>308</v>
      </c>
      <c r="C948" t="s">
        <v>1415</v>
      </c>
      <c r="D948">
        <v>1</v>
      </c>
      <c r="E948" t="s">
        <v>974</v>
      </c>
      <c r="F948" t="s">
        <v>975</v>
      </c>
      <c r="G948" t="s">
        <v>976</v>
      </c>
      <c r="H948" s="1" t="s">
        <v>976</v>
      </c>
      <c r="I948" s="1">
        <v>790</v>
      </c>
      <c r="J948" s="20">
        <v>0</v>
      </c>
      <c r="K948" s="1">
        <v>152</v>
      </c>
      <c r="L948" s="1">
        <v>0</v>
      </c>
      <c r="M948" s="42" t="s">
        <v>2843</v>
      </c>
      <c r="P948" t="s">
        <v>22</v>
      </c>
      <c r="Q948" t="s">
        <v>308</v>
      </c>
    </row>
    <row r="949" spans="1:17" ht="15" customHeight="1" x14ac:dyDescent="0.25">
      <c r="A949" s="3" t="s">
        <v>1522</v>
      </c>
      <c r="B949" s="4" t="s">
        <v>309</v>
      </c>
      <c r="C949" t="s">
        <v>1415</v>
      </c>
      <c r="D949">
        <v>1</v>
      </c>
      <c r="E949" t="s">
        <v>974</v>
      </c>
      <c r="F949" t="s">
        <v>975</v>
      </c>
      <c r="G949" t="s">
        <v>976</v>
      </c>
      <c r="H949" s="1" t="s">
        <v>976</v>
      </c>
      <c r="I949" s="1">
        <v>790</v>
      </c>
      <c r="J949" s="20">
        <v>1</v>
      </c>
      <c r="K949" s="1">
        <v>152</v>
      </c>
      <c r="L949" s="1">
        <v>152</v>
      </c>
      <c r="M949" s="42" t="s">
        <v>2843</v>
      </c>
      <c r="P949" t="s">
        <v>21</v>
      </c>
      <c r="Q949" t="s">
        <v>309</v>
      </c>
    </row>
    <row r="950" spans="1:17" ht="15" customHeight="1" x14ac:dyDescent="0.25">
      <c r="A950" s="3" t="s">
        <v>1523</v>
      </c>
      <c r="B950" s="4" t="s">
        <v>2858</v>
      </c>
      <c r="C950" t="s">
        <v>1415</v>
      </c>
      <c r="D950">
        <v>1</v>
      </c>
      <c r="E950" t="s">
        <v>974</v>
      </c>
      <c r="F950" t="s">
        <v>975</v>
      </c>
      <c r="G950" t="s">
        <v>180</v>
      </c>
      <c r="H950" s="1" t="s">
        <v>976</v>
      </c>
      <c r="I950" s="1">
        <v>790</v>
      </c>
      <c r="J950" s="20">
        <v>5</v>
      </c>
      <c r="K950" s="1">
        <v>119.999999</v>
      </c>
      <c r="L950" s="1">
        <v>600</v>
      </c>
      <c r="M950" s="42" t="s">
        <v>2843</v>
      </c>
      <c r="O950" s="2" t="s">
        <v>2447</v>
      </c>
      <c r="P950" t="s">
        <v>24</v>
      </c>
      <c r="Q950" t="s">
        <v>853</v>
      </c>
    </row>
    <row r="951" spans="1:17" ht="15" customHeight="1" x14ac:dyDescent="0.25">
      <c r="A951" s="41" t="s">
        <v>1523</v>
      </c>
      <c r="B951" s="3" t="s">
        <v>2858</v>
      </c>
      <c r="C951" s="41" t="s">
        <v>1415</v>
      </c>
      <c r="D951">
        <v>3</v>
      </c>
      <c r="E951" t="s">
        <v>1179</v>
      </c>
      <c r="F951" t="s">
        <v>1180</v>
      </c>
      <c r="G951" t="s">
        <v>180</v>
      </c>
      <c r="H951" s="1" t="s">
        <v>976</v>
      </c>
      <c r="I951" s="1">
        <v>790</v>
      </c>
      <c r="J951" s="20">
        <v>0</v>
      </c>
      <c r="K951" s="1">
        <v>80</v>
      </c>
      <c r="L951" s="1">
        <v>0</v>
      </c>
      <c r="M951" s="42" t="s">
        <v>2843</v>
      </c>
      <c r="O951" s="2" t="s">
        <v>2447</v>
      </c>
      <c r="P951" t="s">
        <v>24</v>
      </c>
      <c r="Q951" t="s">
        <v>853</v>
      </c>
    </row>
    <row r="952" spans="1:17" ht="15" customHeight="1" x14ac:dyDescent="0.25">
      <c r="A952" s="3" t="s">
        <v>1524</v>
      </c>
      <c r="B952" s="4" t="s">
        <v>2858</v>
      </c>
      <c r="C952" t="s">
        <v>1415</v>
      </c>
      <c r="D952">
        <v>1</v>
      </c>
      <c r="E952" t="s">
        <v>974</v>
      </c>
      <c r="F952" t="s">
        <v>975</v>
      </c>
      <c r="G952" t="s">
        <v>180</v>
      </c>
      <c r="H952" s="1" t="s">
        <v>976</v>
      </c>
      <c r="I952" s="1">
        <v>790</v>
      </c>
      <c r="J952" s="20">
        <v>1</v>
      </c>
      <c r="K952" s="1">
        <v>135</v>
      </c>
      <c r="L952" s="1">
        <v>135</v>
      </c>
      <c r="M952" s="42" t="s">
        <v>2843</v>
      </c>
      <c r="O952" s="2" t="s">
        <v>2447</v>
      </c>
      <c r="P952" t="s">
        <v>23</v>
      </c>
      <c r="Q952" t="s">
        <v>853</v>
      </c>
    </row>
    <row r="953" spans="1:17" ht="15" customHeight="1" x14ac:dyDescent="0.25">
      <c r="A953" s="41" t="s">
        <v>1524</v>
      </c>
      <c r="B953" s="3" t="s">
        <v>2858</v>
      </c>
      <c r="C953" s="41" t="s">
        <v>1415</v>
      </c>
      <c r="D953">
        <v>3</v>
      </c>
      <c r="E953" t="s">
        <v>1179</v>
      </c>
      <c r="F953" t="s">
        <v>1180</v>
      </c>
      <c r="G953" t="s">
        <v>180</v>
      </c>
      <c r="H953" s="1" t="s">
        <v>976</v>
      </c>
      <c r="I953" s="1">
        <v>790</v>
      </c>
      <c r="J953" s="20">
        <v>0</v>
      </c>
      <c r="K953" s="1">
        <v>110</v>
      </c>
      <c r="L953" s="1">
        <v>0</v>
      </c>
      <c r="M953" s="42" t="s">
        <v>2843</v>
      </c>
      <c r="O953" s="2" t="s">
        <v>2447</v>
      </c>
      <c r="P953" t="s">
        <v>23</v>
      </c>
      <c r="Q953" t="s">
        <v>853</v>
      </c>
    </row>
    <row r="954" spans="1:17" ht="15" customHeight="1" x14ac:dyDescent="0.25">
      <c r="A954" s="3" t="s">
        <v>1525</v>
      </c>
      <c r="B954" s="4" t="s">
        <v>2858</v>
      </c>
      <c r="C954" t="s">
        <v>1415</v>
      </c>
      <c r="D954">
        <v>1</v>
      </c>
      <c r="E954" t="s">
        <v>974</v>
      </c>
      <c r="F954" t="s">
        <v>975</v>
      </c>
      <c r="G954" t="s">
        <v>180</v>
      </c>
      <c r="H954" s="1" t="s">
        <v>976</v>
      </c>
      <c r="I954" s="1">
        <v>790</v>
      </c>
      <c r="J954" s="20">
        <v>0</v>
      </c>
      <c r="K954" s="1">
        <v>0</v>
      </c>
      <c r="L954" s="1">
        <v>0</v>
      </c>
      <c r="M954" s="42" t="s">
        <v>2843</v>
      </c>
      <c r="O954" s="2" t="s">
        <v>2447</v>
      </c>
      <c r="P954" t="s">
        <v>22</v>
      </c>
      <c r="Q954" t="s">
        <v>853</v>
      </c>
    </row>
    <row r="955" spans="1:17" ht="15" customHeight="1" x14ac:dyDescent="0.25">
      <c r="A955" s="3" t="s">
        <v>1526</v>
      </c>
      <c r="B955" s="4" t="s">
        <v>2859</v>
      </c>
      <c r="C955" t="s">
        <v>1415</v>
      </c>
      <c r="D955">
        <v>1</v>
      </c>
      <c r="E955" t="s">
        <v>974</v>
      </c>
      <c r="F955" t="s">
        <v>975</v>
      </c>
      <c r="G955" t="s">
        <v>180</v>
      </c>
      <c r="H955" s="1" t="s">
        <v>976</v>
      </c>
      <c r="I955" s="1">
        <v>710</v>
      </c>
      <c r="J955" s="20">
        <v>2</v>
      </c>
      <c r="K955" s="1">
        <v>126.45</v>
      </c>
      <c r="L955" s="1">
        <v>252.9</v>
      </c>
      <c r="M955" s="42" t="s">
        <v>2843</v>
      </c>
      <c r="O955" s="2" t="s">
        <v>2472</v>
      </c>
      <c r="P955" t="s">
        <v>24</v>
      </c>
      <c r="Q955" t="s">
        <v>854</v>
      </c>
    </row>
    <row r="956" spans="1:17" ht="15" customHeight="1" x14ac:dyDescent="0.25">
      <c r="A956" s="41" t="s">
        <v>1526</v>
      </c>
      <c r="B956" s="3" t="s">
        <v>2859</v>
      </c>
      <c r="C956" s="41" t="s">
        <v>1415</v>
      </c>
      <c r="D956">
        <v>3</v>
      </c>
      <c r="E956" t="s">
        <v>1179</v>
      </c>
      <c r="F956" t="s">
        <v>1180</v>
      </c>
      <c r="G956" t="s">
        <v>180</v>
      </c>
      <c r="H956" s="1" t="s">
        <v>976</v>
      </c>
      <c r="I956" s="1">
        <v>710</v>
      </c>
      <c r="J956" s="20">
        <v>0</v>
      </c>
      <c r="K956" s="1">
        <v>126.45</v>
      </c>
      <c r="L956" s="1">
        <v>0</v>
      </c>
      <c r="M956" s="42" t="s">
        <v>2843</v>
      </c>
      <c r="O956" s="2" t="s">
        <v>2472</v>
      </c>
      <c r="P956" t="s">
        <v>24</v>
      </c>
      <c r="Q956" t="s">
        <v>854</v>
      </c>
    </row>
    <row r="957" spans="1:17" ht="15" customHeight="1" x14ac:dyDescent="0.25">
      <c r="A957" s="3" t="s">
        <v>1527</v>
      </c>
      <c r="B957" s="4" t="s">
        <v>2859</v>
      </c>
      <c r="C957" t="s">
        <v>1415</v>
      </c>
      <c r="D957">
        <v>1</v>
      </c>
      <c r="E957" t="s">
        <v>974</v>
      </c>
      <c r="F957" t="s">
        <v>975</v>
      </c>
      <c r="G957" t="s">
        <v>180</v>
      </c>
      <c r="H957" s="1" t="s">
        <v>976</v>
      </c>
      <c r="I957" s="1">
        <v>710</v>
      </c>
      <c r="J957" s="20">
        <v>1</v>
      </c>
      <c r="K957" s="1">
        <v>126.45</v>
      </c>
      <c r="L957" s="1">
        <v>126.45</v>
      </c>
      <c r="M957" s="42" t="s">
        <v>2843</v>
      </c>
      <c r="O957" s="2" t="s">
        <v>2472</v>
      </c>
      <c r="P957" t="s">
        <v>25</v>
      </c>
      <c r="Q957" t="s">
        <v>854</v>
      </c>
    </row>
    <row r="958" spans="1:17" ht="15" customHeight="1" x14ac:dyDescent="0.25">
      <c r="A958" s="3" t="s">
        <v>1528</v>
      </c>
      <c r="B958" s="4" t="s">
        <v>2859</v>
      </c>
      <c r="C958" t="s">
        <v>1415</v>
      </c>
      <c r="D958">
        <v>1</v>
      </c>
      <c r="E958" t="s">
        <v>974</v>
      </c>
      <c r="F958" t="s">
        <v>975</v>
      </c>
      <c r="G958" t="s">
        <v>180</v>
      </c>
      <c r="H958" s="1" t="s">
        <v>976</v>
      </c>
      <c r="I958" s="1">
        <v>710</v>
      </c>
      <c r="J958" s="20">
        <v>0</v>
      </c>
      <c r="K958" s="1">
        <v>126.45</v>
      </c>
      <c r="L958" s="1">
        <v>0</v>
      </c>
      <c r="M958" s="42" t="s">
        <v>2843</v>
      </c>
      <c r="O958" s="2" t="s">
        <v>2472</v>
      </c>
      <c r="P958" t="s">
        <v>23</v>
      </c>
      <c r="Q958" t="s">
        <v>854</v>
      </c>
    </row>
    <row r="959" spans="1:17" ht="15" customHeight="1" x14ac:dyDescent="0.25">
      <c r="A959" s="41" t="s">
        <v>1528</v>
      </c>
      <c r="B959" s="3" t="s">
        <v>2859</v>
      </c>
      <c r="C959" s="41" t="s">
        <v>1415</v>
      </c>
      <c r="D959">
        <v>3</v>
      </c>
      <c r="E959" t="s">
        <v>1179</v>
      </c>
      <c r="F959" t="s">
        <v>1180</v>
      </c>
      <c r="G959" t="s">
        <v>180</v>
      </c>
      <c r="H959" s="1" t="s">
        <v>976</v>
      </c>
      <c r="I959" s="1">
        <v>710</v>
      </c>
      <c r="J959" s="20">
        <v>0</v>
      </c>
      <c r="K959" s="1">
        <v>126.45</v>
      </c>
      <c r="L959" s="1">
        <v>0</v>
      </c>
      <c r="M959" s="42" t="s">
        <v>2843</v>
      </c>
      <c r="O959" s="2" t="s">
        <v>2472</v>
      </c>
      <c r="P959" t="s">
        <v>23</v>
      </c>
      <c r="Q959" t="s">
        <v>854</v>
      </c>
    </row>
    <row r="960" spans="1:17" ht="15" customHeight="1" x14ac:dyDescent="0.25">
      <c r="A960" s="3" t="s">
        <v>1529</v>
      </c>
      <c r="B960" s="4" t="s">
        <v>2859</v>
      </c>
      <c r="C960" t="s">
        <v>1415</v>
      </c>
      <c r="D960">
        <v>1</v>
      </c>
      <c r="E960" t="s">
        <v>974</v>
      </c>
      <c r="F960" t="s">
        <v>975</v>
      </c>
      <c r="G960" t="s">
        <v>180</v>
      </c>
      <c r="H960" s="1" t="s">
        <v>976</v>
      </c>
      <c r="I960" s="1">
        <v>710</v>
      </c>
      <c r="J960" s="20">
        <v>1</v>
      </c>
      <c r="K960" s="1">
        <v>126.45</v>
      </c>
      <c r="L960" s="1">
        <v>126.45</v>
      </c>
      <c r="M960" s="42" t="s">
        <v>2843</v>
      </c>
      <c r="O960" s="2" t="s">
        <v>2472</v>
      </c>
      <c r="P960" t="s">
        <v>22</v>
      </c>
      <c r="Q960" t="s">
        <v>854</v>
      </c>
    </row>
    <row r="961" spans="1:17" ht="15" customHeight="1" x14ac:dyDescent="0.25">
      <c r="A961" s="41" t="s">
        <v>1529</v>
      </c>
      <c r="B961" s="3" t="s">
        <v>2859</v>
      </c>
      <c r="C961" s="41" t="s">
        <v>1415</v>
      </c>
      <c r="D961">
        <v>3</v>
      </c>
      <c r="E961" t="s">
        <v>1179</v>
      </c>
      <c r="F961" t="s">
        <v>1180</v>
      </c>
      <c r="G961" t="s">
        <v>180</v>
      </c>
      <c r="H961" s="1" t="s">
        <v>976</v>
      </c>
      <c r="I961" s="1">
        <v>710</v>
      </c>
      <c r="J961" s="20">
        <v>0</v>
      </c>
      <c r="K961" s="1">
        <v>126.45</v>
      </c>
      <c r="L961" s="1">
        <v>0</v>
      </c>
      <c r="M961" s="42" t="s">
        <v>2843</v>
      </c>
      <c r="O961" s="2" t="s">
        <v>2472</v>
      </c>
      <c r="P961" t="s">
        <v>22</v>
      </c>
      <c r="Q961" t="s">
        <v>854</v>
      </c>
    </row>
    <row r="962" spans="1:17" ht="15" customHeight="1" x14ac:dyDescent="0.25">
      <c r="A962" s="3" t="s">
        <v>1530</v>
      </c>
      <c r="B962" s="4" t="s">
        <v>2860</v>
      </c>
      <c r="C962" t="s">
        <v>1415</v>
      </c>
      <c r="D962">
        <v>1</v>
      </c>
      <c r="E962" t="s">
        <v>974</v>
      </c>
      <c r="F962" t="s">
        <v>975</v>
      </c>
      <c r="G962" t="s">
        <v>180</v>
      </c>
      <c r="H962" s="1" t="s">
        <v>976</v>
      </c>
      <c r="I962" s="1">
        <v>980</v>
      </c>
      <c r="J962" s="20">
        <v>0</v>
      </c>
      <c r="K962" s="1">
        <v>198</v>
      </c>
      <c r="L962" s="1">
        <v>0</v>
      </c>
      <c r="M962" s="42" t="s">
        <v>2843</v>
      </c>
      <c r="O962" s="2" t="s">
        <v>2528</v>
      </c>
      <c r="P962" t="s">
        <v>24</v>
      </c>
      <c r="Q962" t="s">
        <v>855</v>
      </c>
    </row>
    <row r="963" spans="1:17" ht="15" customHeight="1" x14ac:dyDescent="0.25">
      <c r="A963" s="3" t="s">
        <v>1531</v>
      </c>
      <c r="B963" s="4" t="s">
        <v>2860</v>
      </c>
      <c r="C963" t="s">
        <v>1415</v>
      </c>
      <c r="D963">
        <v>1</v>
      </c>
      <c r="E963" t="s">
        <v>974</v>
      </c>
      <c r="F963" t="s">
        <v>975</v>
      </c>
      <c r="G963" t="s">
        <v>180</v>
      </c>
      <c r="H963" s="1" t="s">
        <v>976</v>
      </c>
      <c r="I963" s="1">
        <v>980</v>
      </c>
      <c r="J963" s="20">
        <v>0</v>
      </c>
      <c r="K963" s="1">
        <v>0</v>
      </c>
      <c r="L963" s="1">
        <v>0</v>
      </c>
      <c r="M963" s="42" t="s">
        <v>2843</v>
      </c>
      <c r="O963" s="2" t="s">
        <v>2528</v>
      </c>
      <c r="P963" t="s">
        <v>25</v>
      </c>
      <c r="Q963" t="s">
        <v>855</v>
      </c>
    </row>
    <row r="964" spans="1:17" ht="15" customHeight="1" x14ac:dyDescent="0.25">
      <c r="A964" s="3" t="s">
        <v>1532</v>
      </c>
      <c r="B964" s="4" t="s">
        <v>2860</v>
      </c>
      <c r="C964" t="s">
        <v>1415</v>
      </c>
      <c r="D964">
        <v>1</v>
      </c>
      <c r="E964" t="s">
        <v>974</v>
      </c>
      <c r="F964" t="s">
        <v>975</v>
      </c>
      <c r="G964" t="s">
        <v>180</v>
      </c>
      <c r="H964" s="1" t="s">
        <v>976</v>
      </c>
      <c r="I964" s="1">
        <v>980</v>
      </c>
      <c r="J964" s="20">
        <v>0</v>
      </c>
      <c r="K964" s="1">
        <v>0</v>
      </c>
      <c r="L964" s="1">
        <v>0</v>
      </c>
      <c r="M964" s="42" t="s">
        <v>2843</v>
      </c>
      <c r="O964" s="2" t="s">
        <v>2528</v>
      </c>
      <c r="P964" t="s">
        <v>23</v>
      </c>
      <c r="Q964" t="s">
        <v>855</v>
      </c>
    </row>
    <row r="965" spans="1:17" ht="15" customHeight="1" x14ac:dyDescent="0.25">
      <c r="A965" s="3" t="s">
        <v>1533</v>
      </c>
      <c r="B965" s="4" t="s">
        <v>2860</v>
      </c>
      <c r="C965" t="s">
        <v>1415</v>
      </c>
      <c r="D965">
        <v>1</v>
      </c>
      <c r="E965" t="s">
        <v>974</v>
      </c>
      <c r="F965" t="s">
        <v>975</v>
      </c>
      <c r="G965" t="s">
        <v>180</v>
      </c>
      <c r="H965" s="1" t="s">
        <v>976</v>
      </c>
      <c r="I965" s="1">
        <v>980</v>
      </c>
      <c r="J965" s="20">
        <v>0</v>
      </c>
      <c r="K965" s="1">
        <v>0</v>
      </c>
      <c r="L965" s="1">
        <v>0</v>
      </c>
      <c r="M965" s="42" t="s">
        <v>2843</v>
      </c>
      <c r="O965" s="2" t="s">
        <v>2528</v>
      </c>
      <c r="P965" t="s">
        <v>22</v>
      </c>
      <c r="Q965" t="s">
        <v>855</v>
      </c>
    </row>
    <row r="966" spans="1:17" ht="15" customHeight="1" x14ac:dyDescent="0.25">
      <c r="A966" s="3" t="s">
        <v>1534</v>
      </c>
      <c r="B966" s="4" t="s">
        <v>2849</v>
      </c>
      <c r="C966" t="s">
        <v>1415</v>
      </c>
      <c r="D966">
        <v>1</v>
      </c>
      <c r="E966" t="s">
        <v>974</v>
      </c>
      <c r="F966" t="s">
        <v>975</v>
      </c>
      <c r="G966" t="s">
        <v>180</v>
      </c>
      <c r="H966" s="1" t="s">
        <v>976</v>
      </c>
      <c r="I966" s="1">
        <v>425</v>
      </c>
      <c r="J966" s="20">
        <v>7</v>
      </c>
      <c r="K966" s="1">
        <v>73.5</v>
      </c>
      <c r="L966" s="1">
        <v>514.5</v>
      </c>
      <c r="M966" s="42" t="s">
        <v>2843</v>
      </c>
      <c r="O966" s="2" t="s">
        <v>2447</v>
      </c>
      <c r="P966" t="s">
        <v>24</v>
      </c>
      <c r="Q966" t="s">
        <v>856</v>
      </c>
    </row>
    <row r="967" spans="1:17" ht="15" customHeight="1" x14ac:dyDescent="0.25">
      <c r="A967" s="3" t="s">
        <v>1535</v>
      </c>
      <c r="B967" s="4" t="s">
        <v>2849</v>
      </c>
      <c r="C967" t="s">
        <v>1415</v>
      </c>
      <c r="D967">
        <v>1</v>
      </c>
      <c r="E967" t="s">
        <v>974</v>
      </c>
      <c r="F967" t="s">
        <v>975</v>
      </c>
      <c r="G967" t="s">
        <v>180</v>
      </c>
      <c r="H967" s="1" t="s">
        <v>976</v>
      </c>
      <c r="I967" s="1">
        <v>425</v>
      </c>
      <c r="J967" s="20">
        <v>2</v>
      </c>
      <c r="K967" s="1">
        <v>73.5</v>
      </c>
      <c r="L967" s="1">
        <v>147</v>
      </c>
      <c r="M967" s="42" t="s">
        <v>2843</v>
      </c>
      <c r="O967" s="2" t="s">
        <v>2447</v>
      </c>
      <c r="P967" t="s">
        <v>25</v>
      </c>
      <c r="Q967" t="s">
        <v>856</v>
      </c>
    </row>
    <row r="968" spans="1:17" ht="15" customHeight="1" x14ac:dyDescent="0.25">
      <c r="A968" s="3" t="s">
        <v>1536</v>
      </c>
      <c r="B968" s="4" t="s">
        <v>2849</v>
      </c>
      <c r="C968" t="s">
        <v>1415</v>
      </c>
      <c r="D968">
        <v>1</v>
      </c>
      <c r="E968" t="s">
        <v>974</v>
      </c>
      <c r="F968" t="s">
        <v>975</v>
      </c>
      <c r="G968" t="s">
        <v>180</v>
      </c>
      <c r="H968" s="1" t="s">
        <v>976</v>
      </c>
      <c r="I968" s="1">
        <v>425</v>
      </c>
      <c r="J968" s="20">
        <v>17</v>
      </c>
      <c r="K968" s="1">
        <v>73.5</v>
      </c>
      <c r="L968" s="1">
        <v>1249.5</v>
      </c>
      <c r="M968" s="42" t="s">
        <v>2843</v>
      </c>
      <c r="O968" s="2" t="s">
        <v>2447</v>
      </c>
      <c r="P968" t="s">
        <v>23</v>
      </c>
      <c r="Q968" t="s">
        <v>856</v>
      </c>
    </row>
    <row r="969" spans="1:17" ht="15" customHeight="1" x14ac:dyDescent="0.25">
      <c r="A969" s="3" t="s">
        <v>1537</v>
      </c>
      <c r="B969" s="4" t="s">
        <v>2849</v>
      </c>
      <c r="C969" t="s">
        <v>1415</v>
      </c>
      <c r="D969">
        <v>1</v>
      </c>
      <c r="E969" t="s">
        <v>974</v>
      </c>
      <c r="F969" t="s">
        <v>975</v>
      </c>
      <c r="G969" t="s">
        <v>180</v>
      </c>
      <c r="H969" s="1" t="s">
        <v>976</v>
      </c>
      <c r="I969" s="1">
        <v>425</v>
      </c>
      <c r="J969" s="20">
        <v>6</v>
      </c>
      <c r="K969" s="1">
        <v>73.5</v>
      </c>
      <c r="L969" s="1">
        <v>441</v>
      </c>
      <c r="M969" s="42" t="s">
        <v>2843</v>
      </c>
      <c r="O969" s="2" t="s">
        <v>2447</v>
      </c>
      <c r="P969" t="s">
        <v>22</v>
      </c>
      <c r="Q969" t="s">
        <v>856</v>
      </c>
    </row>
    <row r="970" spans="1:17" ht="15" customHeight="1" x14ac:dyDescent="0.25">
      <c r="A970" s="3" t="s">
        <v>1538</v>
      </c>
      <c r="B970" s="4" t="s">
        <v>2849</v>
      </c>
      <c r="C970" t="s">
        <v>1415</v>
      </c>
      <c r="D970">
        <v>1</v>
      </c>
      <c r="E970" t="s">
        <v>974</v>
      </c>
      <c r="F970" t="s">
        <v>975</v>
      </c>
      <c r="G970" t="s">
        <v>180</v>
      </c>
      <c r="H970" s="1" t="s">
        <v>976</v>
      </c>
      <c r="I970" s="1">
        <v>425</v>
      </c>
      <c r="J970" s="20">
        <v>1</v>
      </c>
      <c r="K970" s="1">
        <v>73.5</v>
      </c>
      <c r="L970" s="1">
        <v>73.5</v>
      </c>
      <c r="M970" s="42" t="s">
        <v>2843</v>
      </c>
      <c r="O970" s="2" t="s">
        <v>2447</v>
      </c>
      <c r="P970" t="s">
        <v>21</v>
      </c>
      <c r="Q970" t="s">
        <v>856</v>
      </c>
    </row>
    <row r="971" spans="1:17" ht="15" customHeight="1" x14ac:dyDescent="0.25">
      <c r="A971" s="3" t="s">
        <v>1539</v>
      </c>
      <c r="B971" s="4" t="s">
        <v>2849</v>
      </c>
      <c r="C971" t="s">
        <v>1415</v>
      </c>
      <c r="D971">
        <v>1</v>
      </c>
      <c r="E971" t="s">
        <v>974</v>
      </c>
      <c r="F971" t="s">
        <v>975</v>
      </c>
      <c r="G971" t="s">
        <v>180</v>
      </c>
      <c r="H971" s="1" t="s">
        <v>976</v>
      </c>
      <c r="I971" s="1">
        <v>425</v>
      </c>
      <c r="J971" s="20">
        <v>3</v>
      </c>
      <c r="K971" s="1">
        <v>73.5</v>
      </c>
      <c r="L971" s="1">
        <v>220.5</v>
      </c>
      <c r="M971" s="42" t="s">
        <v>2843</v>
      </c>
      <c r="O971" s="2" t="s">
        <v>2463</v>
      </c>
      <c r="P971" t="s">
        <v>24</v>
      </c>
      <c r="Q971" t="s">
        <v>857</v>
      </c>
    </row>
    <row r="972" spans="1:17" ht="15" customHeight="1" x14ac:dyDescent="0.25">
      <c r="A972" s="3" t="s">
        <v>1540</v>
      </c>
      <c r="B972" s="4" t="s">
        <v>2849</v>
      </c>
      <c r="C972" t="s">
        <v>1415</v>
      </c>
      <c r="D972">
        <v>1</v>
      </c>
      <c r="E972" t="s">
        <v>974</v>
      </c>
      <c r="F972" t="s">
        <v>975</v>
      </c>
      <c r="G972" t="s">
        <v>180</v>
      </c>
      <c r="H972" s="1" t="s">
        <v>976</v>
      </c>
      <c r="I972" s="1">
        <v>425</v>
      </c>
      <c r="J972" s="20">
        <v>2</v>
      </c>
      <c r="K972" s="1">
        <v>73.5</v>
      </c>
      <c r="L972" s="1">
        <v>147</v>
      </c>
      <c r="M972" s="42" t="s">
        <v>2843</v>
      </c>
      <c r="O972" s="2" t="s">
        <v>2463</v>
      </c>
      <c r="P972" t="s">
        <v>25</v>
      </c>
      <c r="Q972" t="s">
        <v>857</v>
      </c>
    </row>
    <row r="973" spans="1:17" ht="15" customHeight="1" x14ac:dyDescent="0.25">
      <c r="A973" s="3" t="s">
        <v>1541</v>
      </c>
      <c r="B973" s="4" t="s">
        <v>2849</v>
      </c>
      <c r="C973" t="s">
        <v>1415</v>
      </c>
      <c r="D973">
        <v>1</v>
      </c>
      <c r="E973" t="s">
        <v>974</v>
      </c>
      <c r="F973" t="s">
        <v>975</v>
      </c>
      <c r="G973" t="s">
        <v>180</v>
      </c>
      <c r="H973" s="1" t="s">
        <v>976</v>
      </c>
      <c r="I973" s="1">
        <v>425</v>
      </c>
      <c r="J973" s="20">
        <v>15</v>
      </c>
      <c r="K973" s="1">
        <v>73.5</v>
      </c>
      <c r="L973" s="1">
        <v>1102.5</v>
      </c>
      <c r="M973" s="42" t="s">
        <v>2843</v>
      </c>
      <c r="O973" s="2" t="s">
        <v>2463</v>
      </c>
      <c r="P973" t="s">
        <v>23</v>
      </c>
      <c r="Q973" t="s">
        <v>857</v>
      </c>
    </row>
    <row r="974" spans="1:17" ht="15" customHeight="1" x14ac:dyDescent="0.25">
      <c r="A974" s="41" t="s">
        <v>1541</v>
      </c>
      <c r="B974" s="3" t="s">
        <v>2849</v>
      </c>
      <c r="C974" s="41" t="s">
        <v>1415</v>
      </c>
      <c r="D974">
        <v>2</v>
      </c>
      <c r="E974" t="s">
        <v>1017</v>
      </c>
      <c r="F974" t="s">
        <v>975</v>
      </c>
      <c r="G974" t="s">
        <v>180</v>
      </c>
      <c r="H974" s="1" t="s">
        <v>976</v>
      </c>
      <c r="I974" s="1">
        <v>425</v>
      </c>
      <c r="J974" s="20">
        <v>0</v>
      </c>
      <c r="K974" s="1">
        <v>0</v>
      </c>
      <c r="L974" s="1">
        <v>0</v>
      </c>
      <c r="M974" s="42" t="s">
        <v>2843</v>
      </c>
      <c r="O974" s="2" t="s">
        <v>2463</v>
      </c>
      <c r="P974" t="s">
        <v>23</v>
      </c>
      <c r="Q974" t="s">
        <v>857</v>
      </c>
    </row>
    <row r="975" spans="1:17" ht="15" customHeight="1" x14ac:dyDescent="0.25">
      <c r="A975" s="3" t="s">
        <v>1542</v>
      </c>
      <c r="B975" s="4" t="s">
        <v>2849</v>
      </c>
      <c r="C975" t="s">
        <v>1415</v>
      </c>
      <c r="D975">
        <v>1</v>
      </c>
      <c r="E975" t="s">
        <v>974</v>
      </c>
      <c r="F975" t="s">
        <v>975</v>
      </c>
      <c r="G975" t="s">
        <v>180</v>
      </c>
      <c r="H975" s="1" t="s">
        <v>976</v>
      </c>
      <c r="I975" s="1">
        <v>425</v>
      </c>
      <c r="J975" s="20">
        <v>2</v>
      </c>
      <c r="K975" s="1">
        <v>73.5</v>
      </c>
      <c r="L975" s="1">
        <v>147</v>
      </c>
      <c r="M975" s="42" t="s">
        <v>2843</v>
      </c>
      <c r="O975" s="2" t="s">
        <v>2463</v>
      </c>
      <c r="P975" t="s">
        <v>22</v>
      </c>
      <c r="Q975" t="s">
        <v>857</v>
      </c>
    </row>
    <row r="976" spans="1:17" ht="15" customHeight="1" x14ac:dyDescent="0.25">
      <c r="A976" s="3" t="s">
        <v>1543</v>
      </c>
      <c r="B976" s="4" t="s">
        <v>2849</v>
      </c>
      <c r="C976" t="s">
        <v>1415</v>
      </c>
      <c r="D976">
        <v>1</v>
      </c>
      <c r="E976" t="s">
        <v>974</v>
      </c>
      <c r="F976" t="s">
        <v>975</v>
      </c>
      <c r="G976" t="s">
        <v>180</v>
      </c>
      <c r="H976" s="1" t="s">
        <v>976</v>
      </c>
      <c r="I976" s="1">
        <v>425</v>
      </c>
      <c r="J976" s="20">
        <v>0</v>
      </c>
      <c r="K976" s="1">
        <v>73.5</v>
      </c>
      <c r="L976" s="1">
        <v>0</v>
      </c>
      <c r="M976" s="42" t="s">
        <v>2843</v>
      </c>
      <c r="O976" s="2" t="s">
        <v>2463</v>
      </c>
      <c r="Q976" t="s">
        <v>857</v>
      </c>
    </row>
    <row r="977" spans="1:17" ht="15" customHeight="1" x14ac:dyDescent="0.25">
      <c r="A977" s="3" t="s">
        <v>1544</v>
      </c>
      <c r="B977" s="4" t="s">
        <v>310</v>
      </c>
      <c r="C977" t="s">
        <v>1415</v>
      </c>
      <c r="D977">
        <v>1</v>
      </c>
      <c r="E977" t="s">
        <v>974</v>
      </c>
      <c r="F977" t="s">
        <v>975</v>
      </c>
      <c r="G977" t="s">
        <v>180</v>
      </c>
      <c r="H977" s="1" t="s">
        <v>976</v>
      </c>
      <c r="I977" s="1">
        <v>265</v>
      </c>
      <c r="J977" s="20">
        <v>2</v>
      </c>
      <c r="K977" s="1">
        <v>58.57</v>
      </c>
      <c r="L977" s="1">
        <v>117.14</v>
      </c>
      <c r="M977" s="42" t="s">
        <v>2843</v>
      </c>
      <c r="P977" t="s">
        <v>24</v>
      </c>
      <c r="Q977" t="s">
        <v>310</v>
      </c>
    </row>
    <row r="978" spans="1:17" ht="15" customHeight="1" x14ac:dyDescent="0.25">
      <c r="A978" s="3" t="s">
        <v>1545</v>
      </c>
      <c r="B978" s="4" t="s">
        <v>311</v>
      </c>
      <c r="C978" t="s">
        <v>1415</v>
      </c>
      <c r="D978">
        <v>1</v>
      </c>
      <c r="E978" t="s">
        <v>974</v>
      </c>
      <c r="F978" t="s">
        <v>975</v>
      </c>
      <c r="G978" t="s">
        <v>180</v>
      </c>
      <c r="H978" s="1" t="s">
        <v>976</v>
      </c>
      <c r="I978" s="1">
        <v>265</v>
      </c>
      <c r="J978" s="20">
        <v>2</v>
      </c>
      <c r="K978" s="1">
        <v>58.57</v>
      </c>
      <c r="L978" s="1">
        <v>117.14</v>
      </c>
      <c r="M978" s="42" t="s">
        <v>2843</v>
      </c>
      <c r="P978" t="s">
        <v>25</v>
      </c>
      <c r="Q978" t="s">
        <v>311</v>
      </c>
    </row>
    <row r="979" spans="1:17" ht="15" customHeight="1" x14ac:dyDescent="0.25">
      <c r="A979" s="3" t="s">
        <v>1546</v>
      </c>
      <c r="B979" s="4" t="s">
        <v>312</v>
      </c>
      <c r="C979" t="s">
        <v>1415</v>
      </c>
      <c r="D979">
        <v>1</v>
      </c>
      <c r="E979" t="s">
        <v>974</v>
      </c>
      <c r="F979" t="s">
        <v>975</v>
      </c>
      <c r="G979" t="s">
        <v>180</v>
      </c>
      <c r="H979" s="1" t="s">
        <v>976</v>
      </c>
      <c r="I979" s="1">
        <v>265</v>
      </c>
      <c r="J979" s="20">
        <v>10</v>
      </c>
      <c r="K979" s="1">
        <v>58.57</v>
      </c>
      <c r="L979" s="1">
        <v>585.70000000000005</v>
      </c>
      <c r="M979" s="42" t="s">
        <v>2843</v>
      </c>
      <c r="P979" t="s">
        <v>23</v>
      </c>
      <c r="Q979" t="s">
        <v>312</v>
      </c>
    </row>
    <row r="980" spans="1:17" ht="15" customHeight="1" x14ac:dyDescent="0.25">
      <c r="A980" s="41" t="s">
        <v>1546</v>
      </c>
      <c r="B980" s="3" t="s">
        <v>312</v>
      </c>
      <c r="C980" s="41" t="s">
        <v>1415</v>
      </c>
      <c r="D980">
        <v>3</v>
      </c>
      <c r="E980" t="s">
        <v>1179</v>
      </c>
      <c r="F980" t="s">
        <v>1180</v>
      </c>
      <c r="G980" t="s">
        <v>180</v>
      </c>
      <c r="H980" s="1" t="s">
        <v>976</v>
      </c>
      <c r="I980" s="1">
        <v>265</v>
      </c>
      <c r="J980" s="20">
        <v>0</v>
      </c>
      <c r="K980" s="1">
        <v>58.57</v>
      </c>
      <c r="L980" s="1">
        <v>0</v>
      </c>
      <c r="M980" s="42" t="s">
        <v>2843</v>
      </c>
      <c r="P980" t="s">
        <v>23</v>
      </c>
      <c r="Q980" t="s">
        <v>312</v>
      </c>
    </row>
    <row r="981" spans="1:17" ht="15" customHeight="1" x14ac:dyDescent="0.25">
      <c r="A981" s="3" t="s">
        <v>1547</v>
      </c>
      <c r="B981" s="4" t="s">
        <v>313</v>
      </c>
      <c r="C981" t="s">
        <v>1415</v>
      </c>
      <c r="D981">
        <v>1</v>
      </c>
      <c r="E981" t="s">
        <v>974</v>
      </c>
      <c r="F981" t="s">
        <v>975</v>
      </c>
      <c r="G981" t="s">
        <v>180</v>
      </c>
      <c r="H981" s="1" t="s">
        <v>976</v>
      </c>
      <c r="I981" s="1">
        <v>265</v>
      </c>
      <c r="J981" s="20">
        <v>3</v>
      </c>
      <c r="K981" s="1">
        <v>58.57</v>
      </c>
      <c r="L981" s="1">
        <v>175.71</v>
      </c>
      <c r="M981" s="42" t="s">
        <v>2843</v>
      </c>
      <c r="P981" t="s">
        <v>22</v>
      </c>
      <c r="Q981" t="s">
        <v>313</v>
      </c>
    </row>
    <row r="982" spans="1:17" ht="15" customHeight="1" x14ac:dyDescent="0.25">
      <c r="A982" s="3" t="s">
        <v>1548</v>
      </c>
      <c r="B982" s="4" t="s">
        <v>2849</v>
      </c>
      <c r="C982" t="s">
        <v>1415</v>
      </c>
      <c r="D982">
        <v>1</v>
      </c>
      <c r="E982" t="s">
        <v>974</v>
      </c>
      <c r="F982" t="s">
        <v>975</v>
      </c>
      <c r="G982" t="s">
        <v>180</v>
      </c>
      <c r="H982" s="1" t="s">
        <v>976</v>
      </c>
      <c r="I982" s="1">
        <v>335</v>
      </c>
      <c r="J982" s="20">
        <v>0</v>
      </c>
      <c r="K982" s="1">
        <v>58.57</v>
      </c>
      <c r="L982" s="1">
        <v>0</v>
      </c>
      <c r="M982" s="42" t="s">
        <v>2843</v>
      </c>
      <c r="O982" s="2" t="s">
        <v>2472</v>
      </c>
      <c r="P982" t="s">
        <v>24</v>
      </c>
      <c r="Q982" t="s">
        <v>858</v>
      </c>
    </row>
    <row r="983" spans="1:17" ht="15" customHeight="1" x14ac:dyDescent="0.25">
      <c r="A983" s="3" t="s">
        <v>1549</v>
      </c>
      <c r="B983" s="4" t="s">
        <v>2849</v>
      </c>
      <c r="C983" t="s">
        <v>1415</v>
      </c>
      <c r="D983">
        <v>1</v>
      </c>
      <c r="E983" t="s">
        <v>974</v>
      </c>
      <c r="F983" t="s">
        <v>975</v>
      </c>
      <c r="G983" t="s">
        <v>180</v>
      </c>
      <c r="H983" s="1" t="s">
        <v>976</v>
      </c>
      <c r="I983" s="1">
        <v>335</v>
      </c>
      <c r="J983" s="20">
        <v>0</v>
      </c>
      <c r="K983" s="1">
        <v>58.57</v>
      </c>
      <c r="L983" s="1">
        <v>0</v>
      </c>
      <c r="M983" s="42" t="s">
        <v>2843</v>
      </c>
      <c r="O983" s="2" t="s">
        <v>2472</v>
      </c>
      <c r="P983" t="s">
        <v>25</v>
      </c>
      <c r="Q983" t="s">
        <v>858</v>
      </c>
    </row>
    <row r="984" spans="1:17" ht="15" customHeight="1" x14ac:dyDescent="0.25">
      <c r="A984" s="3" t="s">
        <v>1550</v>
      </c>
      <c r="B984" s="4" t="s">
        <v>2849</v>
      </c>
      <c r="C984" t="s">
        <v>1415</v>
      </c>
      <c r="D984">
        <v>1</v>
      </c>
      <c r="E984" t="s">
        <v>974</v>
      </c>
      <c r="F984" t="s">
        <v>975</v>
      </c>
      <c r="G984" t="s">
        <v>180</v>
      </c>
      <c r="H984" s="1" t="s">
        <v>976</v>
      </c>
      <c r="I984" s="1">
        <v>330</v>
      </c>
      <c r="J984" s="20">
        <v>0</v>
      </c>
      <c r="K984" s="1">
        <v>58.57</v>
      </c>
      <c r="L984" s="1">
        <v>0</v>
      </c>
      <c r="M984" s="42" t="s">
        <v>2843</v>
      </c>
      <c r="O984" s="2" t="s">
        <v>2472</v>
      </c>
      <c r="P984" t="s">
        <v>23</v>
      </c>
      <c r="Q984" t="s">
        <v>858</v>
      </c>
    </row>
    <row r="985" spans="1:17" ht="15" customHeight="1" x14ac:dyDescent="0.25">
      <c r="A985" s="3" t="s">
        <v>1551</v>
      </c>
      <c r="B985" s="4" t="s">
        <v>2849</v>
      </c>
      <c r="C985" t="s">
        <v>1415</v>
      </c>
      <c r="D985">
        <v>1</v>
      </c>
      <c r="E985" t="s">
        <v>974</v>
      </c>
      <c r="F985" t="s">
        <v>975</v>
      </c>
      <c r="G985" t="s">
        <v>180</v>
      </c>
      <c r="H985" s="1" t="s">
        <v>976</v>
      </c>
      <c r="I985" s="1">
        <v>335</v>
      </c>
      <c r="J985" s="20">
        <v>0</v>
      </c>
      <c r="K985" s="1">
        <v>58.57</v>
      </c>
      <c r="L985" s="1">
        <v>0</v>
      </c>
      <c r="M985" s="42" t="s">
        <v>2843</v>
      </c>
      <c r="O985" s="2" t="s">
        <v>2472</v>
      </c>
      <c r="P985" t="s">
        <v>22</v>
      </c>
      <c r="Q985" t="s">
        <v>858</v>
      </c>
    </row>
    <row r="986" spans="1:17" ht="15" customHeight="1" x14ac:dyDescent="0.25">
      <c r="A986" s="3" t="s">
        <v>2151</v>
      </c>
      <c r="B986" s="4" t="s">
        <v>2849</v>
      </c>
      <c r="C986" t="s">
        <v>1415</v>
      </c>
      <c r="D986">
        <v>1</v>
      </c>
      <c r="E986" t="s">
        <v>974</v>
      </c>
      <c r="F986" t="s">
        <v>975</v>
      </c>
      <c r="G986" t="s">
        <v>180</v>
      </c>
      <c r="H986" s="1" t="s">
        <v>976</v>
      </c>
      <c r="I986" s="1">
        <v>335</v>
      </c>
      <c r="J986" s="20">
        <v>0</v>
      </c>
      <c r="K986" s="1">
        <v>58.57</v>
      </c>
      <c r="L986" s="1">
        <v>0</v>
      </c>
      <c r="M986" s="42" t="s">
        <v>2843</v>
      </c>
      <c r="O986" s="2" t="s">
        <v>2482</v>
      </c>
      <c r="P986" t="s">
        <v>24</v>
      </c>
      <c r="Q986" t="s">
        <v>859</v>
      </c>
    </row>
    <row r="987" spans="1:17" ht="15" customHeight="1" x14ac:dyDescent="0.25">
      <c r="A987" s="3" t="s">
        <v>2152</v>
      </c>
      <c r="B987" s="4" t="s">
        <v>2849</v>
      </c>
      <c r="C987" t="s">
        <v>1415</v>
      </c>
      <c r="D987">
        <v>1</v>
      </c>
      <c r="E987" t="s">
        <v>974</v>
      </c>
      <c r="F987" t="s">
        <v>975</v>
      </c>
      <c r="G987" t="s">
        <v>180</v>
      </c>
      <c r="H987" s="1" t="s">
        <v>976</v>
      </c>
      <c r="I987" s="1">
        <v>335</v>
      </c>
      <c r="J987" s="20">
        <v>0</v>
      </c>
      <c r="K987" s="1">
        <v>58.57</v>
      </c>
      <c r="L987" s="1">
        <v>0</v>
      </c>
      <c r="M987" s="42" t="s">
        <v>2843</v>
      </c>
      <c r="O987" s="2" t="s">
        <v>2482</v>
      </c>
      <c r="P987" t="s">
        <v>25</v>
      </c>
      <c r="Q987" t="s">
        <v>859</v>
      </c>
    </row>
    <row r="988" spans="1:17" ht="15" customHeight="1" x14ac:dyDescent="0.25">
      <c r="A988" s="3" t="s">
        <v>2153</v>
      </c>
      <c r="B988" s="4" t="s">
        <v>2849</v>
      </c>
      <c r="C988" t="s">
        <v>1415</v>
      </c>
      <c r="D988">
        <v>1</v>
      </c>
      <c r="E988" t="s">
        <v>974</v>
      </c>
      <c r="F988" t="s">
        <v>975</v>
      </c>
      <c r="G988" t="s">
        <v>180</v>
      </c>
      <c r="H988" s="1" t="s">
        <v>976</v>
      </c>
      <c r="I988" s="1">
        <v>335</v>
      </c>
      <c r="J988" s="20">
        <v>0</v>
      </c>
      <c r="K988" s="1">
        <v>58.57</v>
      </c>
      <c r="L988" s="1">
        <v>0</v>
      </c>
      <c r="M988" s="42" t="s">
        <v>2843</v>
      </c>
      <c r="O988" s="2" t="s">
        <v>2482</v>
      </c>
      <c r="P988" t="s">
        <v>23</v>
      </c>
      <c r="Q988" t="s">
        <v>859</v>
      </c>
    </row>
    <row r="989" spans="1:17" ht="15" customHeight="1" x14ac:dyDescent="0.25">
      <c r="A989" s="3" t="s">
        <v>1552</v>
      </c>
      <c r="B989" s="4" t="s">
        <v>2849</v>
      </c>
      <c r="C989" t="s">
        <v>1415</v>
      </c>
      <c r="D989">
        <v>1</v>
      </c>
      <c r="E989" t="s">
        <v>974</v>
      </c>
      <c r="F989" t="s">
        <v>975</v>
      </c>
      <c r="G989" t="s">
        <v>180</v>
      </c>
      <c r="H989" s="1" t="s">
        <v>976</v>
      </c>
      <c r="I989" s="1">
        <v>335</v>
      </c>
      <c r="J989" s="20">
        <v>0</v>
      </c>
      <c r="K989" s="1">
        <v>58.57</v>
      </c>
      <c r="L989" s="1">
        <v>0</v>
      </c>
      <c r="M989" s="42" t="s">
        <v>2843</v>
      </c>
      <c r="O989" s="2" t="s">
        <v>2482</v>
      </c>
      <c r="P989" t="s">
        <v>22</v>
      </c>
      <c r="Q989" t="s">
        <v>859</v>
      </c>
    </row>
    <row r="990" spans="1:17" ht="15" customHeight="1" x14ac:dyDescent="0.25">
      <c r="A990" s="3" t="s">
        <v>2391</v>
      </c>
      <c r="B990" s="4" t="s">
        <v>2861</v>
      </c>
      <c r="C990" t="s">
        <v>1415</v>
      </c>
      <c r="D990">
        <v>1</v>
      </c>
      <c r="E990" t="s">
        <v>974</v>
      </c>
      <c r="F990" t="s">
        <v>975</v>
      </c>
      <c r="G990" t="s">
        <v>976</v>
      </c>
      <c r="H990" s="1" t="s">
        <v>976</v>
      </c>
      <c r="I990" s="1">
        <v>970</v>
      </c>
      <c r="J990" s="20">
        <v>0</v>
      </c>
      <c r="K990" s="1">
        <v>0</v>
      </c>
      <c r="L990" s="1">
        <v>0</v>
      </c>
      <c r="M990" s="42" t="s">
        <v>2843</v>
      </c>
      <c r="O990" s="2" t="s">
        <v>2443</v>
      </c>
      <c r="P990" t="s">
        <v>24</v>
      </c>
      <c r="Q990" t="s">
        <v>860</v>
      </c>
    </row>
    <row r="991" spans="1:17" ht="15" customHeight="1" x14ac:dyDescent="0.25">
      <c r="A991" s="3" t="s">
        <v>2392</v>
      </c>
      <c r="B991" s="4" t="s">
        <v>2861</v>
      </c>
      <c r="C991" t="s">
        <v>1415</v>
      </c>
      <c r="D991">
        <v>1</v>
      </c>
      <c r="E991" t="s">
        <v>974</v>
      </c>
      <c r="F991" t="s">
        <v>975</v>
      </c>
      <c r="G991" t="s">
        <v>976</v>
      </c>
      <c r="H991" s="1" t="s">
        <v>976</v>
      </c>
      <c r="I991" s="1">
        <v>970</v>
      </c>
      <c r="J991" s="20">
        <v>1</v>
      </c>
      <c r="K991" s="1">
        <v>0</v>
      </c>
      <c r="L991" s="1">
        <v>0</v>
      </c>
      <c r="M991" s="42" t="s">
        <v>2843</v>
      </c>
      <c r="O991" s="2" t="s">
        <v>2443</v>
      </c>
      <c r="P991" t="s">
        <v>25</v>
      </c>
      <c r="Q991" t="s">
        <v>860</v>
      </c>
    </row>
    <row r="992" spans="1:17" ht="15" customHeight="1" x14ac:dyDescent="0.25">
      <c r="A992" s="3" t="s">
        <v>2393</v>
      </c>
      <c r="B992" s="4" t="s">
        <v>2861</v>
      </c>
      <c r="C992" t="s">
        <v>1415</v>
      </c>
      <c r="D992">
        <v>1</v>
      </c>
      <c r="E992" t="s">
        <v>974</v>
      </c>
      <c r="F992" t="s">
        <v>975</v>
      </c>
      <c r="G992" t="s">
        <v>976</v>
      </c>
      <c r="H992" s="1" t="s">
        <v>976</v>
      </c>
      <c r="I992" s="1">
        <v>970</v>
      </c>
      <c r="J992" s="20">
        <v>1</v>
      </c>
      <c r="K992" s="1">
        <v>0</v>
      </c>
      <c r="L992" s="1">
        <v>0</v>
      </c>
      <c r="M992" s="42" t="s">
        <v>2843</v>
      </c>
      <c r="O992" s="2" t="s">
        <v>2443</v>
      </c>
      <c r="P992" t="s">
        <v>23</v>
      </c>
      <c r="Q992" t="s">
        <v>860</v>
      </c>
    </row>
    <row r="993" spans="1:17" ht="15" customHeight="1" x14ac:dyDescent="0.25">
      <c r="A993" s="3" t="s">
        <v>2394</v>
      </c>
      <c r="B993" s="4" t="s">
        <v>2861</v>
      </c>
      <c r="C993" t="s">
        <v>1415</v>
      </c>
      <c r="D993">
        <v>1</v>
      </c>
      <c r="E993" t="s">
        <v>974</v>
      </c>
      <c r="F993" t="s">
        <v>975</v>
      </c>
      <c r="G993" t="s">
        <v>976</v>
      </c>
      <c r="H993" s="1" t="s">
        <v>976</v>
      </c>
      <c r="I993" s="1">
        <v>970</v>
      </c>
      <c r="J993" s="20">
        <v>0</v>
      </c>
      <c r="K993" s="1">
        <v>0</v>
      </c>
      <c r="L993" s="1">
        <v>0</v>
      </c>
      <c r="M993" s="42" t="s">
        <v>2843</v>
      </c>
      <c r="O993" s="2" t="s">
        <v>2443</v>
      </c>
      <c r="P993" t="s">
        <v>22</v>
      </c>
      <c r="Q993" t="s">
        <v>860</v>
      </c>
    </row>
    <row r="994" spans="1:17" ht="15" customHeight="1" x14ac:dyDescent="0.25">
      <c r="A994" s="3" t="s">
        <v>2395</v>
      </c>
      <c r="B994" s="4" t="s">
        <v>2862</v>
      </c>
      <c r="C994" t="s">
        <v>1415</v>
      </c>
      <c r="D994">
        <v>1</v>
      </c>
      <c r="E994" t="s">
        <v>974</v>
      </c>
      <c r="F994" t="s">
        <v>975</v>
      </c>
      <c r="G994" t="s">
        <v>976</v>
      </c>
      <c r="H994" s="1" t="s">
        <v>976</v>
      </c>
      <c r="I994" s="1">
        <v>790</v>
      </c>
      <c r="J994" s="20">
        <v>3</v>
      </c>
      <c r="K994" s="1">
        <v>152</v>
      </c>
      <c r="L994" s="1">
        <v>456</v>
      </c>
      <c r="M994" s="42" t="s">
        <v>2843</v>
      </c>
      <c r="O994" s="2" t="s">
        <v>2443</v>
      </c>
      <c r="P994" t="s">
        <v>24</v>
      </c>
      <c r="Q994" t="s">
        <v>861</v>
      </c>
    </row>
    <row r="995" spans="1:17" ht="15" customHeight="1" x14ac:dyDescent="0.25">
      <c r="A995" s="3" t="s">
        <v>2396</v>
      </c>
      <c r="B995" s="4" t="s">
        <v>2862</v>
      </c>
      <c r="C995" t="s">
        <v>1415</v>
      </c>
      <c r="D995">
        <v>1</v>
      </c>
      <c r="E995" t="s">
        <v>974</v>
      </c>
      <c r="F995" t="s">
        <v>975</v>
      </c>
      <c r="G995" t="s">
        <v>976</v>
      </c>
      <c r="H995" s="1" t="s">
        <v>976</v>
      </c>
      <c r="I995" s="1">
        <v>790</v>
      </c>
      <c r="J995" s="20">
        <v>2</v>
      </c>
      <c r="K995" s="1">
        <v>152</v>
      </c>
      <c r="L995" s="1">
        <v>304</v>
      </c>
      <c r="M995" s="42" t="s">
        <v>2843</v>
      </c>
      <c r="O995" s="2" t="s">
        <v>2443</v>
      </c>
      <c r="P995" t="s">
        <v>25</v>
      </c>
      <c r="Q995" t="s">
        <v>861</v>
      </c>
    </row>
    <row r="996" spans="1:17" ht="15" customHeight="1" x14ac:dyDescent="0.25">
      <c r="A996" s="3" t="s">
        <v>2397</v>
      </c>
      <c r="B996" s="4" t="s">
        <v>2862</v>
      </c>
      <c r="C996" t="s">
        <v>1415</v>
      </c>
      <c r="D996">
        <v>1</v>
      </c>
      <c r="E996" t="s">
        <v>974</v>
      </c>
      <c r="F996" t="s">
        <v>975</v>
      </c>
      <c r="G996" t="s">
        <v>976</v>
      </c>
      <c r="H996" s="1" t="s">
        <v>976</v>
      </c>
      <c r="I996" s="1">
        <v>790</v>
      </c>
      <c r="J996" s="20">
        <v>9</v>
      </c>
      <c r="K996" s="1">
        <v>145.09090900000001</v>
      </c>
      <c r="L996" s="1">
        <v>1305.82</v>
      </c>
      <c r="M996" s="42" t="s">
        <v>2843</v>
      </c>
      <c r="O996" s="2" t="s">
        <v>2443</v>
      </c>
      <c r="P996" t="s">
        <v>23</v>
      </c>
      <c r="Q996" t="s">
        <v>861</v>
      </c>
    </row>
    <row r="997" spans="1:17" ht="15" customHeight="1" x14ac:dyDescent="0.25">
      <c r="A997" s="3" t="s">
        <v>2398</v>
      </c>
      <c r="B997" s="4" t="s">
        <v>2862</v>
      </c>
      <c r="C997" t="s">
        <v>1415</v>
      </c>
      <c r="D997">
        <v>1</v>
      </c>
      <c r="E997" t="s">
        <v>974</v>
      </c>
      <c r="F997" t="s">
        <v>975</v>
      </c>
      <c r="G997" t="s">
        <v>976</v>
      </c>
      <c r="H997" s="1" t="s">
        <v>976</v>
      </c>
      <c r="I997" s="1">
        <v>790</v>
      </c>
      <c r="J997" s="20">
        <v>0</v>
      </c>
      <c r="K997" s="1">
        <v>152</v>
      </c>
      <c r="L997" s="1">
        <v>0</v>
      </c>
      <c r="M997" s="42" t="s">
        <v>2843</v>
      </c>
      <c r="O997" s="2" t="s">
        <v>2443</v>
      </c>
      <c r="P997" t="s">
        <v>22</v>
      </c>
      <c r="Q997" t="s">
        <v>861</v>
      </c>
    </row>
    <row r="998" spans="1:17" ht="15" customHeight="1" x14ac:dyDescent="0.25">
      <c r="A998" s="3" t="s">
        <v>2399</v>
      </c>
      <c r="B998" s="4" t="s">
        <v>2862</v>
      </c>
      <c r="C998" t="s">
        <v>1415</v>
      </c>
      <c r="D998">
        <v>1</v>
      </c>
      <c r="E998" t="s">
        <v>974</v>
      </c>
      <c r="F998" t="s">
        <v>975</v>
      </c>
      <c r="G998" t="s">
        <v>976</v>
      </c>
      <c r="H998" s="1" t="s">
        <v>976</v>
      </c>
      <c r="I998" s="1">
        <v>0</v>
      </c>
      <c r="J998" s="20">
        <v>0</v>
      </c>
      <c r="K998" s="1">
        <v>0</v>
      </c>
      <c r="L998" s="1">
        <v>0</v>
      </c>
      <c r="M998" s="42" t="s">
        <v>2843</v>
      </c>
      <c r="N998" s="1" t="s">
        <v>2616</v>
      </c>
      <c r="O998" s="2" t="s">
        <v>2443</v>
      </c>
      <c r="Q998" t="s">
        <v>861</v>
      </c>
    </row>
    <row r="999" spans="1:17" ht="15" customHeight="1" x14ac:dyDescent="0.25">
      <c r="A999" s="3" t="s">
        <v>2400</v>
      </c>
      <c r="B999" s="4" t="s">
        <v>2862</v>
      </c>
      <c r="C999" t="s">
        <v>1415</v>
      </c>
      <c r="D999">
        <v>1</v>
      </c>
      <c r="E999" t="s">
        <v>974</v>
      </c>
      <c r="F999" t="s">
        <v>975</v>
      </c>
      <c r="G999" t="s">
        <v>976</v>
      </c>
      <c r="H999" s="1" t="s">
        <v>976</v>
      </c>
      <c r="I999" s="1">
        <v>790</v>
      </c>
      <c r="J999" s="20">
        <v>0</v>
      </c>
      <c r="K999" s="1">
        <v>152</v>
      </c>
      <c r="L999" s="1">
        <v>0</v>
      </c>
      <c r="M999" s="42" t="s">
        <v>2843</v>
      </c>
      <c r="O999" s="2" t="s">
        <v>2443</v>
      </c>
      <c r="P999" t="s">
        <v>21</v>
      </c>
      <c r="Q999" t="s">
        <v>861</v>
      </c>
    </row>
    <row r="1000" spans="1:17" ht="15" customHeight="1" x14ac:dyDescent="0.25">
      <c r="A1000" s="3" t="s">
        <v>2401</v>
      </c>
      <c r="B1000" s="4" t="s">
        <v>589</v>
      </c>
      <c r="C1000" t="s">
        <v>1415</v>
      </c>
      <c r="D1000">
        <v>1</v>
      </c>
      <c r="E1000" t="s">
        <v>974</v>
      </c>
      <c r="F1000" t="s">
        <v>975</v>
      </c>
      <c r="G1000" t="s">
        <v>976</v>
      </c>
      <c r="H1000" s="1" t="s">
        <v>976</v>
      </c>
      <c r="I1000" s="1">
        <v>790</v>
      </c>
      <c r="J1000" s="20">
        <v>7</v>
      </c>
      <c r="K1000" s="1">
        <v>152</v>
      </c>
      <c r="L1000" s="1">
        <v>1064</v>
      </c>
      <c r="M1000" s="42" t="s">
        <v>2843</v>
      </c>
      <c r="P1000" t="s">
        <v>24</v>
      </c>
      <c r="Q1000" t="s">
        <v>589</v>
      </c>
    </row>
    <row r="1001" spans="1:17" ht="15" customHeight="1" x14ac:dyDescent="0.25">
      <c r="A1001" s="3" t="s">
        <v>2402</v>
      </c>
      <c r="B1001" s="4" t="s">
        <v>590</v>
      </c>
      <c r="C1001" t="s">
        <v>1415</v>
      </c>
      <c r="D1001">
        <v>1</v>
      </c>
      <c r="E1001" t="s">
        <v>974</v>
      </c>
      <c r="F1001" t="s">
        <v>975</v>
      </c>
      <c r="G1001" t="s">
        <v>976</v>
      </c>
      <c r="H1001" s="1" t="s">
        <v>976</v>
      </c>
      <c r="I1001" s="1">
        <v>790</v>
      </c>
      <c r="J1001" s="20">
        <v>2</v>
      </c>
      <c r="K1001" s="1">
        <v>152</v>
      </c>
      <c r="L1001" s="1">
        <v>304</v>
      </c>
      <c r="M1001" s="42" t="s">
        <v>2843</v>
      </c>
      <c r="P1001" t="s">
        <v>25</v>
      </c>
      <c r="Q1001" t="s">
        <v>590</v>
      </c>
    </row>
    <row r="1002" spans="1:17" ht="15" customHeight="1" x14ac:dyDescent="0.25">
      <c r="A1002" s="3" t="s">
        <v>2403</v>
      </c>
      <c r="B1002" s="4" t="s">
        <v>591</v>
      </c>
      <c r="C1002" t="s">
        <v>1415</v>
      </c>
      <c r="D1002">
        <v>1</v>
      </c>
      <c r="E1002" t="s">
        <v>974</v>
      </c>
      <c r="F1002" t="s">
        <v>975</v>
      </c>
      <c r="G1002" t="s">
        <v>976</v>
      </c>
      <c r="H1002" s="1" t="s">
        <v>976</v>
      </c>
      <c r="I1002" s="1">
        <v>790</v>
      </c>
      <c r="J1002" s="20">
        <v>13</v>
      </c>
      <c r="K1002" s="1">
        <v>145.09090900000001</v>
      </c>
      <c r="L1002" s="1">
        <v>1886.18</v>
      </c>
      <c r="M1002" s="42" t="s">
        <v>2843</v>
      </c>
      <c r="P1002" t="s">
        <v>23</v>
      </c>
      <c r="Q1002" t="s">
        <v>591</v>
      </c>
    </row>
    <row r="1003" spans="1:17" ht="15" customHeight="1" x14ac:dyDescent="0.25">
      <c r="A1003" s="41" t="s">
        <v>2403</v>
      </c>
      <c r="B1003" s="3" t="s">
        <v>591</v>
      </c>
      <c r="C1003" s="41" t="s">
        <v>1415</v>
      </c>
      <c r="D1003">
        <v>2</v>
      </c>
      <c r="E1003" t="s">
        <v>1017</v>
      </c>
      <c r="F1003" t="s">
        <v>975</v>
      </c>
      <c r="G1003" t="s">
        <v>976</v>
      </c>
      <c r="H1003" s="1" t="s">
        <v>976</v>
      </c>
      <c r="I1003" s="1">
        <v>790</v>
      </c>
      <c r="J1003" s="20">
        <v>0</v>
      </c>
      <c r="K1003" s="1">
        <v>0</v>
      </c>
      <c r="L1003" s="1">
        <v>0</v>
      </c>
      <c r="M1003" s="42" t="s">
        <v>2843</v>
      </c>
      <c r="P1003" t="s">
        <v>23</v>
      </c>
      <c r="Q1003" t="s">
        <v>591</v>
      </c>
    </row>
    <row r="1004" spans="1:17" ht="15" customHeight="1" x14ac:dyDescent="0.25">
      <c r="A1004" s="3" t="s">
        <v>2404</v>
      </c>
      <c r="B1004" s="4" t="s">
        <v>592</v>
      </c>
      <c r="C1004" t="s">
        <v>1415</v>
      </c>
      <c r="D1004">
        <v>1</v>
      </c>
      <c r="E1004" t="s">
        <v>974</v>
      </c>
      <c r="F1004" t="s">
        <v>975</v>
      </c>
      <c r="G1004" t="s">
        <v>976</v>
      </c>
      <c r="H1004" s="1" t="s">
        <v>976</v>
      </c>
      <c r="I1004" s="1">
        <v>790</v>
      </c>
      <c r="J1004" s="20">
        <v>5</v>
      </c>
      <c r="K1004" s="1">
        <v>152</v>
      </c>
      <c r="L1004" s="1">
        <v>760</v>
      </c>
      <c r="M1004" s="42" t="s">
        <v>2843</v>
      </c>
      <c r="P1004" t="s">
        <v>22</v>
      </c>
      <c r="Q1004" t="s">
        <v>592</v>
      </c>
    </row>
    <row r="1005" spans="1:17" ht="15" customHeight="1" x14ac:dyDescent="0.25">
      <c r="A1005" s="3" t="s">
        <v>2405</v>
      </c>
      <c r="B1005" s="4" t="s">
        <v>593</v>
      </c>
      <c r="C1005" t="s">
        <v>1415</v>
      </c>
      <c r="D1005">
        <v>1</v>
      </c>
      <c r="E1005" t="s">
        <v>974</v>
      </c>
      <c r="F1005" t="s">
        <v>975</v>
      </c>
      <c r="G1005" t="s">
        <v>976</v>
      </c>
      <c r="H1005" s="1" t="s">
        <v>976</v>
      </c>
      <c r="I1005" s="1">
        <v>790</v>
      </c>
      <c r="J1005" s="20">
        <v>1</v>
      </c>
      <c r="K1005" s="1">
        <v>152</v>
      </c>
      <c r="L1005" s="1">
        <v>152</v>
      </c>
      <c r="M1005" s="42" t="s">
        <v>2843</v>
      </c>
      <c r="P1005" t="s">
        <v>21</v>
      </c>
      <c r="Q1005" t="s">
        <v>593</v>
      </c>
    </row>
    <row r="1006" spans="1:17" ht="15" customHeight="1" x14ac:dyDescent="0.25">
      <c r="A1006" s="3" t="s">
        <v>2406</v>
      </c>
      <c r="B1006" s="4" t="s">
        <v>2862</v>
      </c>
      <c r="C1006" t="s">
        <v>1415</v>
      </c>
      <c r="D1006">
        <v>1</v>
      </c>
      <c r="E1006" t="s">
        <v>974</v>
      </c>
      <c r="F1006" t="s">
        <v>975</v>
      </c>
      <c r="G1006" t="s">
        <v>976</v>
      </c>
      <c r="H1006" s="1" t="s">
        <v>976</v>
      </c>
      <c r="I1006" s="1">
        <v>790</v>
      </c>
      <c r="J1006" s="20">
        <v>11</v>
      </c>
      <c r="K1006" s="1">
        <v>152</v>
      </c>
      <c r="L1006" s="1">
        <v>1672</v>
      </c>
      <c r="M1006" s="42" t="s">
        <v>2843</v>
      </c>
      <c r="O1006" s="2" t="s">
        <v>2482</v>
      </c>
      <c r="P1006" t="s">
        <v>24</v>
      </c>
      <c r="Q1006" t="s">
        <v>862</v>
      </c>
    </row>
    <row r="1007" spans="1:17" ht="15" customHeight="1" x14ac:dyDescent="0.25">
      <c r="A1007" s="3" t="s">
        <v>2407</v>
      </c>
      <c r="B1007" s="4" t="s">
        <v>2862</v>
      </c>
      <c r="C1007" t="s">
        <v>1415</v>
      </c>
      <c r="D1007">
        <v>1</v>
      </c>
      <c r="E1007" t="s">
        <v>974</v>
      </c>
      <c r="F1007" t="s">
        <v>975</v>
      </c>
      <c r="G1007" t="s">
        <v>976</v>
      </c>
      <c r="H1007" s="1" t="s">
        <v>976</v>
      </c>
      <c r="I1007" s="1">
        <v>790</v>
      </c>
      <c r="J1007" s="20">
        <v>7</v>
      </c>
      <c r="K1007" s="1">
        <v>152</v>
      </c>
      <c r="L1007" s="1">
        <v>1064</v>
      </c>
      <c r="M1007" s="42" t="s">
        <v>2843</v>
      </c>
      <c r="O1007" s="2" t="s">
        <v>2482</v>
      </c>
      <c r="P1007" t="s">
        <v>25</v>
      </c>
      <c r="Q1007" t="s">
        <v>862</v>
      </c>
    </row>
    <row r="1008" spans="1:17" ht="15" customHeight="1" x14ac:dyDescent="0.25">
      <c r="A1008" s="3" t="s">
        <v>2408</v>
      </c>
      <c r="B1008" s="4" t="s">
        <v>2862</v>
      </c>
      <c r="C1008" t="s">
        <v>1415</v>
      </c>
      <c r="D1008">
        <v>1</v>
      </c>
      <c r="E1008" t="s">
        <v>974</v>
      </c>
      <c r="F1008" t="s">
        <v>975</v>
      </c>
      <c r="G1008" t="s">
        <v>976</v>
      </c>
      <c r="H1008" s="1" t="s">
        <v>976</v>
      </c>
      <c r="I1008" s="1">
        <v>790</v>
      </c>
      <c r="J1008" s="20">
        <v>16</v>
      </c>
      <c r="K1008" s="1">
        <v>152</v>
      </c>
      <c r="L1008" s="1">
        <v>2432</v>
      </c>
      <c r="M1008" s="42" t="s">
        <v>2843</v>
      </c>
      <c r="O1008" s="2" t="s">
        <v>2482</v>
      </c>
      <c r="P1008" t="s">
        <v>23</v>
      </c>
      <c r="Q1008" t="s">
        <v>862</v>
      </c>
    </row>
    <row r="1009" spans="1:17" ht="15" customHeight="1" x14ac:dyDescent="0.25">
      <c r="A1009" s="3" t="s">
        <v>2409</v>
      </c>
      <c r="B1009" s="4" t="s">
        <v>2862</v>
      </c>
      <c r="C1009" t="s">
        <v>1415</v>
      </c>
      <c r="D1009">
        <v>1</v>
      </c>
      <c r="E1009" t="s">
        <v>974</v>
      </c>
      <c r="F1009" t="s">
        <v>975</v>
      </c>
      <c r="G1009" t="s">
        <v>976</v>
      </c>
      <c r="H1009" s="1" t="s">
        <v>976</v>
      </c>
      <c r="I1009" s="1">
        <v>790</v>
      </c>
      <c r="J1009" s="20">
        <v>11</v>
      </c>
      <c r="K1009" s="1">
        <v>210</v>
      </c>
      <c r="L1009" s="1">
        <v>2310</v>
      </c>
      <c r="M1009" s="42" t="s">
        <v>2843</v>
      </c>
      <c r="O1009" s="2" t="s">
        <v>2482</v>
      </c>
      <c r="P1009" t="s">
        <v>22</v>
      </c>
      <c r="Q1009" t="s">
        <v>862</v>
      </c>
    </row>
    <row r="1010" spans="1:17" ht="15" customHeight="1" x14ac:dyDescent="0.25">
      <c r="A1010" s="41" t="s">
        <v>2409</v>
      </c>
      <c r="B1010" s="3" t="s">
        <v>2862</v>
      </c>
      <c r="C1010" s="41" t="s">
        <v>1415</v>
      </c>
      <c r="D1010">
        <v>4</v>
      </c>
      <c r="E1010" t="s">
        <v>1018</v>
      </c>
      <c r="F1010" t="s">
        <v>975</v>
      </c>
      <c r="G1010" t="s">
        <v>976</v>
      </c>
      <c r="H1010" s="1" t="s">
        <v>976</v>
      </c>
      <c r="I1010" s="1">
        <v>790</v>
      </c>
      <c r="J1010" s="20">
        <v>0</v>
      </c>
      <c r="K1010" s="1">
        <v>790</v>
      </c>
      <c r="L1010" s="1">
        <v>0</v>
      </c>
      <c r="M1010" s="42" t="s">
        <v>2843</v>
      </c>
      <c r="O1010" s="2" t="s">
        <v>2482</v>
      </c>
      <c r="P1010" t="s">
        <v>22</v>
      </c>
      <c r="Q1010" t="s">
        <v>862</v>
      </c>
    </row>
    <row r="1011" spans="1:17" ht="15" customHeight="1" x14ac:dyDescent="0.25">
      <c r="A1011" s="3" t="s">
        <v>2410</v>
      </c>
      <c r="B1011" s="4" t="s">
        <v>2862</v>
      </c>
      <c r="C1011" t="s">
        <v>1415</v>
      </c>
      <c r="D1011">
        <v>1</v>
      </c>
      <c r="E1011" t="s">
        <v>974</v>
      </c>
      <c r="F1011" t="s">
        <v>975</v>
      </c>
      <c r="G1011" t="s">
        <v>976</v>
      </c>
      <c r="H1011" s="1" t="s">
        <v>976</v>
      </c>
      <c r="I1011" s="1">
        <v>790</v>
      </c>
      <c r="J1011" s="20">
        <v>7</v>
      </c>
      <c r="K1011" s="1">
        <v>154</v>
      </c>
      <c r="L1011" s="1">
        <v>1078</v>
      </c>
      <c r="M1011" s="42" t="s">
        <v>2843</v>
      </c>
      <c r="O1011" s="2" t="s">
        <v>2482</v>
      </c>
      <c r="P1011" t="s">
        <v>21</v>
      </c>
      <c r="Q1011" t="s">
        <v>862</v>
      </c>
    </row>
    <row r="1012" spans="1:17" ht="15" customHeight="1" x14ac:dyDescent="0.25">
      <c r="A1012" s="3" t="s">
        <v>1553</v>
      </c>
      <c r="B1012" s="4" t="s">
        <v>2863</v>
      </c>
      <c r="C1012" t="s">
        <v>1415</v>
      </c>
      <c r="D1012">
        <v>1</v>
      </c>
      <c r="E1012" t="s">
        <v>974</v>
      </c>
      <c r="F1012" t="s">
        <v>975</v>
      </c>
      <c r="G1012" t="s">
        <v>976</v>
      </c>
      <c r="H1012" s="1" t="s">
        <v>976</v>
      </c>
      <c r="I1012" s="1">
        <v>710</v>
      </c>
      <c r="J1012" s="20">
        <v>-1</v>
      </c>
      <c r="K1012" s="1">
        <v>0</v>
      </c>
      <c r="L1012" s="1">
        <v>0</v>
      </c>
      <c r="M1012" s="42" t="s">
        <v>2843</v>
      </c>
      <c r="N1012" s="1" t="s">
        <v>2616</v>
      </c>
      <c r="O1012" s="2" t="s">
        <v>2482</v>
      </c>
      <c r="Q1012" t="s">
        <v>863</v>
      </c>
    </row>
    <row r="1013" spans="1:17" ht="15" customHeight="1" x14ac:dyDescent="0.25">
      <c r="A1013" s="3" t="s">
        <v>1554</v>
      </c>
      <c r="B1013" s="4" t="s">
        <v>2864</v>
      </c>
      <c r="C1013" t="s">
        <v>1415</v>
      </c>
      <c r="D1013">
        <v>1</v>
      </c>
      <c r="E1013" t="s">
        <v>974</v>
      </c>
      <c r="F1013" t="s">
        <v>975</v>
      </c>
      <c r="G1013" t="s">
        <v>180</v>
      </c>
      <c r="H1013" s="1" t="s">
        <v>976</v>
      </c>
      <c r="I1013" s="1">
        <v>285</v>
      </c>
      <c r="J1013" s="20">
        <v>0</v>
      </c>
      <c r="K1013" s="1">
        <v>50.13</v>
      </c>
      <c r="L1013" s="1">
        <v>0</v>
      </c>
      <c r="M1013" s="42" t="s">
        <v>2843</v>
      </c>
      <c r="O1013" s="2" t="s">
        <v>2579</v>
      </c>
      <c r="P1013" t="s">
        <v>24</v>
      </c>
      <c r="Q1013" t="s">
        <v>864</v>
      </c>
    </row>
    <row r="1014" spans="1:17" ht="15" customHeight="1" x14ac:dyDescent="0.25">
      <c r="A1014" s="3" t="s">
        <v>1555</v>
      </c>
      <c r="B1014" s="4" t="s">
        <v>2864</v>
      </c>
      <c r="C1014" t="s">
        <v>1415</v>
      </c>
      <c r="D1014">
        <v>1</v>
      </c>
      <c r="E1014" t="s">
        <v>974</v>
      </c>
      <c r="F1014" t="s">
        <v>975</v>
      </c>
      <c r="G1014" t="s">
        <v>180</v>
      </c>
      <c r="H1014" s="1" t="s">
        <v>976</v>
      </c>
      <c r="I1014" s="1">
        <v>285</v>
      </c>
      <c r="J1014" s="20">
        <v>1</v>
      </c>
      <c r="K1014" s="1">
        <v>50.13</v>
      </c>
      <c r="L1014" s="1">
        <v>50.13</v>
      </c>
      <c r="M1014" s="42" t="s">
        <v>2843</v>
      </c>
      <c r="O1014" s="2" t="s">
        <v>2579</v>
      </c>
      <c r="P1014" t="s">
        <v>25</v>
      </c>
      <c r="Q1014" t="s">
        <v>864</v>
      </c>
    </row>
    <row r="1015" spans="1:17" ht="15" customHeight="1" x14ac:dyDescent="0.25">
      <c r="A1015" s="3" t="s">
        <v>1556</v>
      </c>
      <c r="B1015" s="4" t="s">
        <v>2864</v>
      </c>
      <c r="C1015" t="s">
        <v>1415</v>
      </c>
      <c r="D1015">
        <v>1</v>
      </c>
      <c r="E1015" t="s">
        <v>974</v>
      </c>
      <c r="F1015" t="s">
        <v>975</v>
      </c>
      <c r="G1015" t="s">
        <v>180</v>
      </c>
      <c r="H1015" s="1" t="s">
        <v>976</v>
      </c>
      <c r="I1015" s="1">
        <v>285</v>
      </c>
      <c r="J1015" s="20">
        <v>0</v>
      </c>
      <c r="K1015" s="1">
        <v>50.13</v>
      </c>
      <c r="L1015" s="1">
        <v>0</v>
      </c>
      <c r="M1015" s="42" t="s">
        <v>2843</v>
      </c>
      <c r="O1015" s="2" t="s">
        <v>2579</v>
      </c>
      <c r="P1015" t="s">
        <v>23</v>
      </c>
      <c r="Q1015" t="s">
        <v>864</v>
      </c>
    </row>
    <row r="1016" spans="1:17" ht="15" customHeight="1" x14ac:dyDescent="0.25">
      <c r="A1016" s="3" t="s">
        <v>1557</v>
      </c>
      <c r="B1016" s="4" t="s">
        <v>2864</v>
      </c>
      <c r="C1016" t="s">
        <v>1415</v>
      </c>
      <c r="D1016">
        <v>1</v>
      </c>
      <c r="E1016" t="s">
        <v>974</v>
      </c>
      <c r="F1016" t="s">
        <v>975</v>
      </c>
      <c r="G1016" t="s">
        <v>180</v>
      </c>
      <c r="H1016" s="1" t="s">
        <v>976</v>
      </c>
      <c r="I1016" s="1">
        <v>285</v>
      </c>
      <c r="J1016" s="20">
        <v>0</v>
      </c>
      <c r="K1016" s="1">
        <v>50.13</v>
      </c>
      <c r="L1016" s="1">
        <v>0</v>
      </c>
      <c r="M1016" s="42" t="s">
        <v>2843</v>
      </c>
      <c r="O1016" s="2" t="s">
        <v>2579</v>
      </c>
      <c r="P1016" t="s">
        <v>22</v>
      </c>
      <c r="Q1016" t="s">
        <v>864</v>
      </c>
    </row>
    <row r="1017" spans="1:17" ht="15" customHeight="1" x14ac:dyDescent="0.25">
      <c r="A1017" s="3" t="s">
        <v>1558</v>
      </c>
      <c r="B1017" s="4" t="s">
        <v>1415</v>
      </c>
      <c r="C1017" t="s">
        <v>1415</v>
      </c>
      <c r="D1017">
        <v>1</v>
      </c>
      <c r="E1017" t="s">
        <v>974</v>
      </c>
      <c r="F1017" t="s">
        <v>975</v>
      </c>
      <c r="G1017" t="s">
        <v>180</v>
      </c>
      <c r="H1017" s="1" t="s">
        <v>976</v>
      </c>
      <c r="I1017" s="1">
        <v>615</v>
      </c>
      <c r="J1017" s="20">
        <v>0</v>
      </c>
      <c r="K1017" s="1">
        <v>135.4</v>
      </c>
      <c r="L1017" s="1">
        <v>0</v>
      </c>
      <c r="M1017" s="42" t="s">
        <v>2843</v>
      </c>
      <c r="O1017" s="2" t="s">
        <v>2447</v>
      </c>
      <c r="P1017" t="s">
        <v>24</v>
      </c>
      <c r="Q1017" t="s">
        <v>865</v>
      </c>
    </row>
    <row r="1018" spans="1:17" ht="15" customHeight="1" x14ac:dyDescent="0.25">
      <c r="A1018" s="3" t="s">
        <v>1559</v>
      </c>
      <c r="B1018" s="4" t="s">
        <v>1415</v>
      </c>
      <c r="C1018" t="s">
        <v>1415</v>
      </c>
      <c r="D1018">
        <v>1</v>
      </c>
      <c r="E1018" t="s">
        <v>974</v>
      </c>
      <c r="F1018" t="s">
        <v>975</v>
      </c>
      <c r="G1018" t="s">
        <v>180</v>
      </c>
      <c r="H1018" s="1" t="s">
        <v>976</v>
      </c>
      <c r="I1018" s="1">
        <v>615</v>
      </c>
      <c r="J1018" s="20">
        <v>0</v>
      </c>
      <c r="K1018" s="1">
        <v>135.4</v>
      </c>
      <c r="L1018" s="1">
        <v>0</v>
      </c>
      <c r="M1018" s="42" t="s">
        <v>2843</v>
      </c>
      <c r="O1018" s="2" t="s">
        <v>2447</v>
      </c>
      <c r="P1018" t="s">
        <v>25</v>
      </c>
      <c r="Q1018" t="s">
        <v>865</v>
      </c>
    </row>
    <row r="1019" spans="1:17" ht="15" customHeight="1" x14ac:dyDescent="0.25">
      <c r="A1019" s="3" t="s">
        <v>1560</v>
      </c>
      <c r="B1019" s="4" t="s">
        <v>1415</v>
      </c>
      <c r="C1019" t="s">
        <v>1415</v>
      </c>
      <c r="D1019">
        <v>1</v>
      </c>
      <c r="E1019" t="s">
        <v>974</v>
      </c>
      <c r="F1019" t="s">
        <v>975</v>
      </c>
      <c r="G1019" t="s">
        <v>180</v>
      </c>
      <c r="H1019" s="1" t="s">
        <v>976</v>
      </c>
      <c r="I1019" s="1">
        <v>615</v>
      </c>
      <c r="J1019" s="20">
        <v>0</v>
      </c>
      <c r="K1019" s="1">
        <v>135.4</v>
      </c>
      <c r="L1019" s="1">
        <v>0</v>
      </c>
      <c r="M1019" s="42" t="s">
        <v>2843</v>
      </c>
      <c r="O1019" s="2" t="s">
        <v>2447</v>
      </c>
      <c r="P1019" t="s">
        <v>23</v>
      </c>
      <c r="Q1019" t="s">
        <v>865</v>
      </c>
    </row>
    <row r="1020" spans="1:17" ht="15" customHeight="1" x14ac:dyDescent="0.25">
      <c r="A1020" s="41" t="s">
        <v>1560</v>
      </c>
      <c r="B1020" s="3" t="s">
        <v>1415</v>
      </c>
      <c r="C1020" s="41" t="s">
        <v>1415</v>
      </c>
      <c r="D1020">
        <v>3</v>
      </c>
      <c r="E1020" t="s">
        <v>1179</v>
      </c>
      <c r="F1020" t="s">
        <v>1180</v>
      </c>
      <c r="G1020" t="s">
        <v>180</v>
      </c>
      <c r="H1020" s="1" t="s">
        <v>976</v>
      </c>
      <c r="I1020" s="1">
        <v>615</v>
      </c>
      <c r="J1020" s="20">
        <v>0</v>
      </c>
      <c r="K1020" s="1">
        <v>120</v>
      </c>
      <c r="L1020" s="1">
        <v>0</v>
      </c>
      <c r="M1020" s="42" t="s">
        <v>2843</v>
      </c>
      <c r="O1020" s="2" t="s">
        <v>2447</v>
      </c>
      <c r="P1020" t="s">
        <v>23</v>
      </c>
      <c r="Q1020" t="s">
        <v>865</v>
      </c>
    </row>
    <row r="1021" spans="1:17" ht="15" customHeight="1" x14ac:dyDescent="0.25">
      <c r="A1021" s="41" t="s">
        <v>1560</v>
      </c>
      <c r="B1021" s="3" t="s">
        <v>1415</v>
      </c>
      <c r="C1021" s="41" t="s">
        <v>1415</v>
      </c>
      <c r="D1021">
        <v>4</v>
      </c>
      <c r="E1021" t="s">
        <v>1018</v>
      </c>
      <c r="F1021" t="s">
        <v>975</v>
      </c>
      <c r="G1021" t="s">
        <v>180</v>
      </c>
      <c r="H1021" s="1" t="s">
        <v>976</v>
      </c>
      <c r="I1021" s="1">
        <v>615</v>
      </c>
      <c r="J1021" s="20">
        <v>1</v>
      </c>
      <c r="K1021" s="1">
        <v>615</v>
      </c>
      <c r="L1021" s="1">
        <v>615</v>
      </c>
      <c r="M1021" s="42" t="s">
        <v>2843</v>
      </c>
      <c r="O1021" s="2" t="s">
        <v>2447</v>
      </c>
      <c r="P1021" t="s">
        <v>23</v>
      </c>
      <c r="Q1021" t="s">
        <v>865</v>
      </c>
    </row>
    <row r="1022" spans="1:17" ht="15" customHeight="1" x14ac:dyDescent="0.25">
      <c r="A1022" s="3" t="s">
        <v>1561</v>
      </c>
      <c r="B1022" s="4" t="s">
        <v>1415</v>
      </c>
      <c r="C1022" t="s">
        <v>1415</v>
      </c>
      <c r="D1022">
        <v>1</v>
      </c>
      <c r="E1022" t="s">
        <v>974</v>
      </c>
      <c r="F1022" t="s">
        <v>975</v>
      </c>
      <c r="G1022" t="s">
        <v>180</v>
      </c>
      <c r="H1022" s="1" t="s">
        <v>976</v>
      </c>
      <c r="I1022" s="1">
        <v>615</v>
      </c>
      <c r="J1022" s="20">
        <v>0</v>
      </c>
      <c r="K1022" s="1">
        <v>135.4</v>
      </c>
      <c r="L1022" s="1">
        <v>0</v>
      </c>
      <c r="M1022" s="42" t="s">
        <v>2843</v>
      </c>
      <c r="O1022" s="2" t="s">
        <v>2447</v>
      </c>
      <c r="P1022" t="s">
        <v>22</v>
      </c>
      <c r="Q1022" t="s">
        <v>865</v>
      </c>
    </row>
    <row r="1023" spans="1:17" ht="15" customHeight="1" x14ac:dyDescent="0.25">
      <c r="A1023" s="3" t="s">
        <v>1562</v>
      </c>
      <c r="B1023" s="4" t="s">
        <v>1415</v>
      </c>
      <c r="C1023" t="s">
        <v>1415</v>
      </c>
      <c r="D1023">
        <v>1</v>
      </c>
      <c r="E1023" t="s">
        <v>974</v>
      </c>
      <c r="F1023" t="s">
        <v>975</v>
      </c>
      <c r="G1023" t="s">
        <v>180</v>
      </c>
      <c r="H1023" s="1" t="s">
        <v>976</v>
      </c>
      <c r="I1023" s="1">
        <v>615</v>
      </c>
      <c r="J1023" s="20">
        <v>0</v>
      </c>
      <c r="K1023" s="1">
        <v>135.4</v>
      </c>
      <c r="L1023" s="1">
        <v>0</v>
      </c>
      <c r="M1023" s="42" t="s">
        <v>2843</v>
      </c>
      <c r="O1023" s="2" t="s">
        <v>2447</v>
      </c>
      <c r="P1023" t="s">
        <v>21</v>
      </c>
      <c r="Q1023" t="s">
        <v>865</v>
      </c>
    </row>
    <row r="1024" spans="1:17" ht="15" customHeight="1" x14ac:dyDescent="0.25">
      <c r="A1024" s="3" t="s">
        <v>1563</v>
      </c>
      <c r="B1024" s="4" t="s">
        <v>1415</v>
      </c>
      <c r="C1024" t="s">
        <v>1415</v>
      </c>
      <c r="D1024">
        <v>1</v>
      </c>
      <c r="E1024" t="s">
        <v>974</v>
      </c>
      <c r="F1024" t="s">
        <v>975</v>
      </c>
      <c r="G1024" t="s">
        <v>180</v>
      </c>
      <c r="H1024" s="1" t="s">
        <v>976</v>
      </c>
      <c r="I1024" s="1">
        <v>615</v>
      </c>
      <c r="J1024" s="20">
        <v>0</v>
      </c>
      <c r="K1024" s="1">
        <v>135.4</v>
      </c>
      <c r="L1024" s="1">
        <v>0</v>
      </c>
      <c r="M1024" s="42" t="s">
        <v>2843</v>
      </c>
      <c r="O1024" s="2" t="s">
        <v>2482</v>
      </c>
      <c r="P1024" t="s">
        <v>24</v>
      </c>
      <c r="Q1024" t="s">
        <v>842</v>
      </c>
    </row>
    <row r="1025" spans="1:17" ht="15" customHeight="1" x14ac:dyDescent="0.25">
      <c r="A1025" s="3" t="s">
        <v>1564</v>
      </c>
      <c r="B1025" s="4" t="s">
        <v>1415</v>
      </c>
      <c r="C1025" t="s">
        <v>1415</v>
      </c>
      <c r="D1025">
        <v>1</v>
      </c>
      <c r="E1025" t="s">
        <v>974</v>
      </c>
      <c r="F1025" t="s">
        <v>975</v>
      </c>
      <c r="G1025" t="s">
        <v>180</v>
      </c>
      <c r="H1025" s="1" t="s">
        <v>976</v>
      </c>
      <c r="I1025" s="1">
        <v>615</v>
      </c>
      <c r="J1025" s="20">
        <v>0</v>
      </c>
      <c r="K1025" s="1">
        <v>135.4</v>
      </c>
      <c r="L1025" s="1">
        <v>0</v>
      </c>
      <c r="M1025" s="42" t="s">
        <v>2843</v>
      </c>
      <c r="O1025" s="2" t="s">
        <v>2482</v>
      </c>
      <c r="P1025" t="s">
        <v>23</v>
      </c>
      <c r="Q1025" t="s">
        <v>842</v>
      </c>
    </row>
    <row r="1026" spans="1:17" ht="15" customHeight="1" x14ac:dyDescent="0.25">
      <c r="A1026" s="3" t="s">
        <v>1565</v>
      </c>
      <c r="B1026" s="4" t="s">
        <v>1415</v>
      </c>
      <c r="C1026" t="s">
        <v>1415</v>
      </c>
      <c r="D1026">
        <v>1</v>
      </c>
      <c r="E1026" t="s">
        <v>974</v>
      </c>
      <c r="F1026" t="s">
        <v>975</v>
      </c>
      <c r="G1026" t="s">
        <v>180</v>
      </c>
      <c r="H1026" s="1" t="s">
        <v>976</v>
      </c>
      <c r="I1026" s="1">
        <v>615</v>
      </c>
      <c r="J1026" s="20">
        <v>0</v>
      </c>
      <c r="K1026" s="1">
        <v>135.4</v>
      </c>
      <c r="L1026" s="1">
        <v>0</v>
      </c>
      <c r="M1026" s="42" t="s">
        <v>2843</v>
      </c>
      <c r="O1026" s="2" t="s">
        <v>2482</v>
      </c>
      <c r="P1026" t="s">
        <v>22</v>
      </c>
      <c r="Q1026" t="s">
        <v>842</v>
      </c>
    </row>
    <row r="1027" spans="1:17" ht="15" customHeight="1" x14ac:dyDescent="0.25">
      <c r="A1027" s="3" t="s">
        <v>1566</v>
      </c>
      <c r="B1027" s="4" t="s">
        <v>2865</v>
      </c>
      <c r="C1027" t="s">
        <v>1415</v>
      </c>
      <c r="D1027">
        <v>1</v>
      </c>
      <c r="E1027" t="s">
        <v>974</v>
      </c>
      <c r="F1027" t="s">
        <v>975</v>
      </c>
      <c r="G1027" t="s">
        <v>976</v>
      </c>
      <c r="H1027" s="1" t="s">
        <v>976</v>
      </c>
      <c r="I1027" s="1">
        <v>670</v>
      </c>
      <c r="J1027" s="20">
        <v>6</v>
      </c>
      <c r="K1027" s="1">
        <v>115</v>
      </c>
      <c r="L1027" s="1">
        <v>690</v>
      </c>
      <c r="M1027" s="42" t="s">
        <v>2843</v>
      </c>
      <c r="O1027" s="2" t="s">
        <v>2482</v>
      </c>
      <c r="P1027" t="s">
        <v>24</v>
      </c>
      <c r="Q1027" t="s">
        <v>866</v>
      </c>
    </row>
    <row r="1028" spans="1:17" ht="15" customHeight="1" x14ac:dyDescent="0.25">
      <c r="A1028" s="3" t="s">
        <v>1567</v>
      </c>
      <c r="B1028" s="4" t="s">
        <v>2865</v>
      </c>
      <c r="C1028" t="s">
        <v>1415</v>
      </c>
      <c r="D1028">
        <v>1</v>
      </c>
      <c r="E1028" t="s">
        <v>974</v>
      </c>
      <c r="F1028" t="s">
        <v>975</v>
      </c>
      <c r="G1028" t="s">
        <v>976</v>
      </c>
      <c r="H1028" s="1" t="s">
        <v>976</v>
      </c>
      <c r="I1028" s="1">
        <v>670</v>
      </c>
      <c r="J1028" s="20">
        <v>2</v>
      </c>
      <c r="K1028" s="1">
        <v>115</v>
      </c>
      <c r="L1028" s="1">
        <v>230</v>
      </c>
      <c r="M1028" s="42" t="s">
        <v>2843</v>
      </c>
      <c r="O1028" s="2" t="s">
        <v>2482</v>
      </c>
      <c r="P1028" t="s">
        <v>25</v>
      </c>
      <c r="Q1028" t="s">
        <v>866</v>
      </c>
    </row>
    <row r="1029" spans="1:17" ht="15" customHeight="1" x14ac:dyDescent="0.25">
      <c r="A1029" s="3" t="s">
        <v>1568</v>
      </c>
      <c r="B1029" s="4" t="s">
        <v>2865</v>
      </c>
      <c r="C1029" t="s">
        <v>1415</v>
      </c>
      <c r="D1029">
        <v>1</v>
      </c>
      <c r="E1029" t="s">
        <v>974</v>
      </c>
      <c r="F1029" t="s">
        <v>975</v>
      </c>
      <c r="G1029" t="s">
        <v>976</v>
      </c>
      <c r="H1029" s="1" t="s">
        <v>976</v>
      </c>
      <c r="I1029" s="1">
        <v>670</v>
      </c>
      <c r="J1029" s="20">
        <v>11</v>
      </c>
      <c r="K1029" s="1">
        <v>115</v>
      </c>
      <c r="L1029" s="1">
        <v>1265</v>
      </c>
      <c r="M1029" s="42" t="s">
        <v>2843</v>
      </c>
      <c r="O1029" s="2" t="s">
        <v>2482</v>
      </c>
      <c r="P1029" t="s">
        <v>23</v>
      </c>
      <c r="Q1029" t="s">
        <v>866</v>
      </c>
    </row>
    <row r="1030" spans="1:17" ht="15" customHeight="1" x14ac:dyDescent="0.25">
      <c r="A1030" s="3" t="s">
        <v>1569</v>
      </c>
      <c r="B1030" s="4" t="s">
        <v>2865</v>
      </c>
      <c r="C1030" t="s">
        <v>1415</v>
      </c>
      <c r="D1030">
        <v>1</v>
      </c>
      <c r="E1030" t="s">
        <v>974</v>
      </c>
      <c r="F1030" t="s">
        <v>975</v>
      </c>
      <c r="G1030" t="s">
        <v>976</v>
      </c>
      <c r="H1030" s="1" t="s">
        <v>976</v>
      </c>
      <c r="I1030" s="1">
        <v>670</v>
      </c>
      <c r="J1030" s="20">
        <v>4</v>
      </c>
      <c r="K1030" s="1">
        <v>115</v>
      </c>
      <c r="L1030" s="1">
        <v>460</v>
      </c>
      <c r="M1030" s="42" t="s">
        <v>2843</v>
      </c>
      <c r="O1030" s="2" t="s">
        <v>2482</v>
      </c>
      <c r="P1030" t="s">
        <v>22</v>
      </c>
      <c r="Q1030" t="s">
        <v>866</v>
      </c>
    </row>
    <row r="1031" spans="1:17" ht="15" customHeight="1" x14ac:dyDescent="0.25">
      <c r="A1031" s="3" t="s">
        <v>1570</v>
      </c>
      <c r="B1031" s="4" t="s">
        <v>2865</v>
      </c>
      <c r="C1031" t="s">
        <v>1415</v>
      </c>
      <c r="D1031">
        <v>1</v>
      </c>
      <c r="E1031" t="s">
        <v>974</v>
      </c>
      <c r="F1031" t="s">
        <v>975</v>
      </c>
      <c r="G1031" t="s">
        <v>976</v>
      </c>
      <c r="H1031" s="1" t="s">
        <v>976</v>
      </c>
      <c r="I1031" s="1">
        <v>670</v>
      </c>
      <c r="J1031" s="20">
        <v>0</v>
      </c>
      <c r="K1031" s="1">
        <v>115</v>
      </c>
      <c r="L1031" s="1">
        <v>0</v>
      </c>
      <c r="M1031" s="42" t="s">
        <v>2843</v>
      </c>
      <c r="O1031" s="2" t="s">
        <v>2482</v>
      </c>
      <c r="P1031" t="s">
        <v>21</v>
      </c>
      <c r="Q1031" t="s">
        <v>866</v>
      </c>
    </row>
    <row r="1032" spans="1:17" ht="15" customHeight="1" x14ac:dyDescent="0.25">
      <c r="A1032" s="3" t="s">
        <v>1571</v>
      </c>
      <c r="B1032" s="4" t="s">
        <v>2866</v>
      </c>
      <c r="C1032" t="s">
        <v>1415</v>
      </c>
      <c r="D1032">
        <v>1</v>
      </c>
      <c r="E1032" t="s">
        <v>974</v>
      </c>
      <c r="F1032" t="s">
        <v>975</v>
      </c>
      <c r="G1032" t="s">
        <v>976</v>
      </c>
      <c r="H1032" s="1" t="s">
        <v>976</v>
      </c>
      <c r="I1032" s="1">
        <v>630</v>
      </c>
      <c r="J1032" s="20">
        <v>4</v>
      </c>
      <c r="K1032" s="1">
        <v>111</v>
      </c>
      <c r="L1032" s="1">
        <v>444</v>
      </c>
      <c r="M1032" s="42" t="s">
        <v>2843</v>
      </c>
      <c r="O1032" s="2" t="s">
        <v>2447</v>
      </c>
      <c r="P1032" t="s">
        <v>24</v>
      </c>
      <c r="Q1032" t="s">
        <v>867</v>
      </c>
    </row>
    <row r="1033" spans="1:17" ht="15" customHeight="1" x14ac:dyDescent="0.25">
      <c r="A1033" s="3" t="s">
        <v>1572</v>
      </c>
      <c r="B1033" s="4" t="s">
        <v>2866</v>
      </c>
      <c r="C1033" t="s">
        <v>1415</v>
      </c>
      <c r="D1033">
        <v>1</v>
      </c>
      <c r="E1033" t="s">
        <v>974</v>
      </c>
      <c r="F1033" t="s">
        <v>975</v>
      </c>
      <c r="G1033" t="s">
        <v>976</v>
      </c>
      <c r="H1033" s="1" t="s">
        <v>976</v>
      </c>
      <c r="I1033" s="1">
        <v>630</v>
      </c>
      <c r="J1033" s="20">
        <v>1</v>
      </c>
      <c r="K1033" s="1">
        <v>111</v>
      </c>
      <c r="L1033" s="1">
        <v>111</v>
      </c>
      <c r="M1033" s="42" t="s">
        <v>2843</v>
      </c>
      <c r="O1033" s="2" t="s">
        <v>2447</v>
      </c>
      <c r="P1033" t="s">
        <v>25</v>
      </c>
      <c r="Q1033" t="s">
        <v>867</v>
      </c>
    </row>
    <row r="1034" spans="1:17" ht="15" customHeight="1" x14ac:dyDescent="0.25">
      <c r="A1034" s="3" t="s">
        <v>1573</v>
      </c>
      <c r="B1034" s="4" t="s">
        <v>2866</v>
      </c>
      <c r="C1034" t="s">
        <v>1415</v>
      </c>
      <c r="D1034">
        <v>1</v>
      </c>
      <c r="E1034" t="s">
        <v>974</v>
      </c>
      <c r="F1034" t="s">
        <v>975</v>
      </c>
      <c r="G1034" t="s">
        <v>976</v>
      </c>
      <c r="H1034" s="1" t="s">
        <v>976</v>
      </c>
      <c r="I1034" s="1">
        <v>630</v>
      </c>
      <c r="J1034" s="20">
        <v>11</v>
      </c>
      <c r="K1034" s="1">
        <v>111</v>
      </c>
      <c r="L1034" s="1">
        <v>1221</v>
      </c>
      <c r="M1034" s="42" t="s">
        <v>2843</v>
      </c>
      <c r="O1034" s="2" t="s">
        <v>2447</v>
      </c>
      <c r="P1034" t="s">
        <v>23</v>
      </c>
      <c r="Q1034" t="s">
        <v>867</v>
      </c>
    </row>
    <row r="1035" spans="1:17" ht="15" customHeight="1" x14ac:dyDescent="0.25">
      <c r="A1035" s="3" t="s">
        <v>1574</v>
      </c>
      <c r="B1035" s="4" t="s">
        <v>2866</v>
      </c>
      <c r="C1035" t="s">
        <v>1415</v>
      </c>
      <c r="D1035">
        <v>1</v>
      </c>
      <c r="E1035" t="s">
        <v>974</v>
      </c>
      <c r="F1035" t="s">
        <v>975</v>
      </c>
      <c r="G1035" t="s">
        <v>976</v>
      </c>
      <c r="H1035" s="1" t="s">
        <v>976</v>
      </c>
      <c r="I1035" s="1">
        <v>630</v>
      </c>
      <c r="J1035" s="20">
        <v>11</v>
      </c>
      <c r="K1035" s="1">
        <v>111</v>
      </c>
      <c r="L1035" s="1">
        <v>1221</v>
      </c>
      <c r="M1035" s="42" t="s">
        <v>2843</v>
      </c>
      <c r="O1035" s="2" t="s">
        <v>2447</v>
      </c>
      <c r="P1035" t="s">
        <v>22</v>
      </c>
      <c r="Q1035" t="s">
        <v>867</v>
      </c>
    </row>
    <row r="1036" spans="1:17" ht="15" customHeight="1" x14ac:dyDescent="0.25">
      <c r="A1036" s="3" t="s">
        <v>1575</v>
      </c>
      <c r="B1036" s="4" t="s">
        <v>2866</v>
      </c>
      <c r="C1036" t="s">
        <v>1415</v>
      </c>
      <c r="D1036">
        <v>1</v>
      </c>
      <c r="E1036" t="s">
        <v>974</v>
      </c>
      <c r="F1036" t="s">
        <v>975</v>
      </c>
      <c r="G1036" t="s">
        <v>976</v>
      </c>
      <c r="H1036" s="1" t="s">
        <v>976</v>
      </c>
      <c r="I1036" s="1">
        <v>630</v>
      </c>
      <c r="J1036" s="20">
        <v>3</v>
      </c>
      <c r="K1036" s="1">
        <v>111</v>
      </c>
      <c r="L1036" s="1">
        <v>333</v>
      </c>
      <c r="M1036" s="42" t="s">
        <v>2843</v>
      </c>
      <c r="O1036" s="2" t="s">
        <v>2447</v>
      </c>
      <c r="P1036" t="s">
        <v>21</v>
      </c>
      <c r="Q1036" t="s">
        <v>867</v>
      </c>
    </row>
    <row r="1037" spans="1:17" ht="15" customHeight="1" x14ac:dyDescent="0.25">
      <c r="A1037" s="3" t="s">
        <v>1576</v>
      </c>
      <c r="B1037" s="4" t="s">
        <v>314</v>
      </c>
      <c r="C1037" t="s">
        <v>1415</v>
      </c>
      <c r="D1037">
        <v>1</v>
      </c>
      <c r="E1037" t="s">
        <v>974</v>
      </c>
      <c r="F1037" t="s">
        <v>975</v>
      </c>
      <c r="G1037" t="s">
        <v>180</v>
      </c>
      <c r="H1037" s="1" t="s">
        <v>976</v>
      </c>
      <c r="I1037" s="1">
        <v>470</v>
      </c>
      <c r="J1037" s="20">
        <v>-1</v>
      </c>
      <c r="K1037" s="1">
        <v>0</v>
      </c>
      <c r="L1037" s="1">
        <v>0</v>
      </c>
      <c r="M1037" s="42" t="s">
        <v>2843</v>
      </c>
      <c r="Q1037" t="s">
        <v>314</v>
      </c>
    </row>
    <row r="1038" spans="1:17" ht="15" customHeight="1" x14ac:dyDescent="0.25">
      <c r="A1038" s="3" t="s">
        <v>1577</v>
      </c>
      <c r="B1038" s="4" t="s">
        <v>2866</v>
      </c>
      <c r="C1038" t="s">
        <v>1415</v>
      </c>
      <c r="D1038">
        <v>1</v>
      </c>
      <c r="E1038" t="s">
        <v>974</v>
      </c>
      <c r="F1038" t="s">
        <v>975</v>
      </c>
      <c r="G1038" t="s">
        <v>976</v>
      </c>
      <c r="H1038" s="1" t="s">
        <v>976</v>
      </c>
      <c r="I1038" s="1">
        <v>630</v>
      </c>
      <c r="J1038" s="20">
        <v>2</v>
      </c>
      <c r="K1038" s="1">
        <v>111</v>
      </c>
      <c r="L1038" s="1">
        <v>222</v>
      </c>
      <c r="M1038" s="42" t="s">
        <v>2843</v>
      </c>
      <c r="O1038" s="2" t="s">
        <v>2535</v>
      </c>
      <c r="P1038" t="s">
        <v>24</v>
      </c>
      <c r="Q1038" t="s">
        <v>868</v>
      </c>
    </row>
    <row r="1039" spans="1:17" ht="15" customHeight="1" x14ac:dyDescent="0.25">
      <c r="A1039" s="3" t="s">
        <v>1578</v>
      </c>
      <c r="B1039" s="4" t="s">
        <v>2866</v>
      </c>
      <c r="C1039" t="s">
        <v>1415</v>
      </c>
      <c r="D1039">
        <v>1</v>
      </c>
      <c r="E1039" t="s">
        <v>974</v>
      </c>
      <c r="F1039" t="s">
        <v>975</v>
      </c>
      <c r="G1039" t="s">
        <v>976</v>
      </c>
      <c r="H1039" s="1" t="s">
        <v>976</v>
      </c>
      <c r="I1039" s="1">
        <v>630</v>
      </c>
      <c r="J1039" s="20">
        <v>2</v>
      </c>
      <c r="K1039" s="1">
        <v>111</v>
      </c>
      <c r="L1039" s="1">
        <v>222</v>
      </c>
      <c r="M1039" s="42" t="s">
        <v>2843</v>
      </c>
      <c r="O1039" s="2" t="s">
        <v>2535</v>
      </c>
      <c r="P1039" t="s">
        <v>25</v>
      </c>
      <c r="Q1039" t="s">
        <v>868</v>
      </c>
    </row>
    <row r="1040" spans="1:17" ht="15" customHeight="1" x14ac:dyDescent="0.25">
      <c r="A1040" s="3" t="s">
        <v>1579</v>
      </c>
      <c r="B1040" s="4" t="s">
        <v>2866</v>
      </c>
      <c r="C1040" t="s">
        <v>1415</v>
      </c>
      <c r="D1040">
        <v>1</v>
      </c>
      <c r="E1040" t="s">
        <v>974</v>
      </c>
      <c r="F1040" t="s">
        <v>975</v>
      </c>
      <c r="G1040" t="s">
        <v>976</v>
      </c>
      <c r="H1040" s="1" t="s">
        <v>976</v>
      </c>
      <c r="I1040" s="1">
        <v>630</v>
      </c>
      <c r="J1040" s="20">
        <v>13</v>
      </c>
      <c r="K1040" s="1">
        <v>103.071428</v>
      </c>
      <c r="L1040" s="1">
        <v>1339.93</v>
      </c>
      <c r="M1040" s="42" t="s">
        <v>2843</v>
      </c>
      <c r="O1040" s="2" t="s">
        <v>2535</v>
      </c>
      <c r="P1040" t="s">
        <v>23</v>
      </c>
      <c r="Q1040" t="s">
        <v>868</v>
      </c>
    </row>
    <row r="1041" spans="1:17" ht="15" customHeight="1" x14ac:dyDescent="0.25">
      <c r="A1041" s="3" t="s">
        <v>1580</v>
      </c>
      <c r="B1041" s="4" t="s">
        <v>2866</v>
      </c>
      <c r="C1041" t="s">
        <v>1415</v>
      </c>
      <c r="D1041">
        <v>1</v>
      </c>
      <c r="E1041" t="s">
        <v>974</v>
      </c>
      <c r="F1041" t="s">
        <v>975</v>
      </c>
      <c r="G1041" t="s">
        <v>976</v>
      </c>
      <c r="H1041" s="1" t="s">
        <v>976</v>
      </c>
      <c r="I1041" s="1">
        <v>630</v>
      </c>
      <c r="J1041" s="20">
        <v>7</v>
      </c>
      <c r="K1041" s="1">
        <v>98.666666000000006</v>
      </c>
      <c r="L1041" s="1">
        <v>690.67</v>
      </c>
      <c r="M1041" s="42" t="s">
        <v>2843</v>
      </c>
      <c r="O1041" s="2" t="s">
        <v>2535</v>
      </c>
      <c r="P1041" t="s">
        <v>22</v>
      </c>
      <c r="Q1041" t="s">
        <v>868</v>
      </c>
    </row>
    <row r="1042" spans="1:17" ht="15" customHeight="1" x14ac:dyDescent="0.25">
      <c r="A1042" s="3" t="s">
        <v>1581</v>
      </c>
      <c r="B1042" s="4" t="s">
        <v>2866</v>
      </c>
      <c r="C1042" t="s">
        <v>1415</v>
      </c>
      <c r="D1042">
        <v>1</v>
      </c>
      <c r="E1042" t="s">
        <v>974</v>
      </c>
      <c r="F1042" t="s">
        <v>975</v>
      </c>
      <c r="G1042" t="s">
        <v>976</v>
      </c>
      <c r="H1042" s="1" t="s">
        <v>976</v>
      </c>
      <c r="I1042" s="1">
        <v>630</v>
      </c>
      <c r="J1042" s="20">
        <v>1</v>
      </c>
      <c r="K1042" s="1">
        <v>111</v>
      </c>
      <c r="L1042" s="1">
        <v>111</v>
      </c>
      <c r="M1042" s="42" t="s">
        <v>2843</v>
      </c>
      <c r="O1042" s="2" t="s">
        <v>2535</v>
      </c>
      <c r="P1042" t="s">
        <v>21</v>
      </c>
      <c r="Q1042" t="s">
        <v>868</v>
      </c>
    </row>
    <row r="1043" spans="1:17" ht="15" customHeight="1" x14ac:dyDescent="0.25">
      <c r="A1043" s="3" t="s">
        <v>1582</v>
      </c>
      <c r="B1043" s="4" t="s">
        <v>2867</v>
      </c>
      <c r="C1043" t="s">
        <v>1415</v>
      </c>
      <c r="D1043">
        <v>1</v>
      </c>
      <c r="E1043" t="s">
        <v>974</v>
      </c>
      <c r="F1043" t="s">
        <v>975</v>
      </c>
      <c r="G1043" t="s">
        <v>180</v>
      </c>
      <c r="H1043" s="1" t="s">
        <v>976</v>
      </c>
      <c r="I1043" s="1">
        <v>485</v>
      </c>
      <c r="J1043" s="20">
        <v>5</v>
      </c>
      <c r="K1043" s="1">
        <v>84.62</v>
      </c>
      <c r="L1043" s="1">
        <v>423.1</v>
      </c>
      <c r="M1043" s="42" t="s">
        <v>2843</v>
      </c>
      <c r="O1043" s="2" t="s">
        <v>2482</v>
      </c>
      <c r="P1043" t="s">
        <v>24</v>
      </c>
      <c r="Q1043" t="s">
        <v>869</v>
      </c>
    </row>
    <row r="1044" spans="1:17" ht="15" customHeight="1" x14ac:dyDescent="0.25">
      <c r="A1044" s="3" t="s">
        <v>1583</v>
      </c>
      <c r="B1044" s="4" t="s">
        <v>2867</v>
      </c>
      <c r="C1044" t="s">
        <v>1415</v>
      </c>
      <c r="D1044">
        <v>1</v>
      </c>
      <c r="E1044" t="s">
        <v>974</v>
      </c>
      <c r="F1044" t="s">
        <v>975</v>
      </c>
      <c r="G1044" t="s">
        <v>180</v>
      </c>
      <c r="H1044" s="1" t="s">
        <v>976</v>
      </c>
      <c r="I1044" s="1">
        <v>485</v>
      </c>
      <c r="J1044" s="20">
        <v>2</v>
      </c>
      <c r="K1044" s="1">
        <v>84.62</v>
      </c>
      <c r="L1044" s="1">
        <v>169.24</v>
      </c>
      <c r="M1044" s="42" t="s">
        <v>2843</v>
      </c>
      <c r="O1044" s="2" t="s">
        <v>2482</v>
      </c>
      <c r="P1044" t="s">
        <v>25</v>
      </c>
      <c r="Q1044" t="s">
        <v>869</v>
      </c>
    </row>
    <row r="1045" spans="1:17" ht="15" customHeight="1" x14ac:dyDescent="0.25">
      <c r="A1045" s="3" t="s">
        <v>1584</v>
      </c>
      <c r="B1045" s="4" t="s">
        <v>2867</v>
      </c>
      <c r="C1045" t="s">
        <v>1415</v>
      </c>
      <c r="D1045">
        <v>1</v>
      </c>
      <c r="E1045" t="s">
        <v>974</v>
      </c>
      <c r="F1045" t="s">
        <v>975</v>
      </c>
      <c r="G1045" t="s">
        <v>180</v>
      </c>
      <c r="H1045" s="1" t="s">
        <v>976</v>
      </c>
      <c r="I1045" s="1">
        <v>485</v>
      </c>
      <c r="J1045" s="20">
        <v>12</v>
      </c>
      <c r="K1045" s="1">
        <v>84.62</v>
      </c>
      <c r="L1045" s="1">
        <v>1015.44</v>
      </c>
      <c r="M1045" s="42" t="s">
        <v>2843</v>
      </c>
      <c r="O1045" s="2" t="s">
        <v>2482</v>
      </c>
      <c r="P1045" t="s">
        <v>23</v>
      </c>
      <c r="Q1045" t="s">
        <v>869</v>
      </c>
    </row>
    <row r="1046" spans="1:17" ht="15" customHeight="1" x14ac:dyDescent="0.25">
      <c r="A1046" s="3" t="s">
        <v>1585</v>
      </c>
      <c r="B1046" s="4" t="s">
        <v>2867</v>
      </c>
      <c r="C1046" t="s">
        <v>1415</v>
      </c>
      <c r="D1046">
        <v>1</v>
      </c>
      <c r="E1046" t="s">
        <v>974</v>
      </c>
      <c r="F1046" t="s">
        <v>975</v>
      </c>
      <c r="G1046" t="s">
        <v>180</v>
      </c>
      <c r="H1046" s="1" t="s">
        <v>976</v>
      </c>
      <c r="I1046" s="1">
        <v>485</v>
      </c>
      <c r="J1046" s="20">
        <v>2</v>
      </c>
      <c r="K1046" s="1">
        <v>84.62</v>
      </c>
      <c r="L1046" s="1">
        <v>169.24</v>
      </c>
      <c r="M1046" s="42" t="s">
        <v>2843</v>
      </c>
      <c r="O1046" s="2" t="s">
        <v>2482</v>
      </c>
      <c r="P1046" t="s">
        <v>22</v>
      </c>
      <c r="Q1046" t="s">
        <v>869</v>
      </c>
    </row>
    <row r="1047" spans="1:17" ht="15" customHeight="1" x14ac:dyDescent="0.25">
      <c r="A1047" s="3" t="s">
        <v>1586</v>
      </c>
      <c r="B1047" s="4" t="s">
        <v>2867</v>
      </c>
      <c r="C1047" t="s">
        <v>1415</v>
      </c>
      <c r="D1047">
        <v>1</v>
      </c>
      <c r="E1047" t="s">
        <v>974</v>
      </c>
      <c r="F1047" t="s">
        <v>975</v>
      </c>
      <c r="G1047" t="s">
        <v>180</v>
      </c>
      <c r="H1047" s="1" t="s">
        <v>976</v>
      </c>
      <c r="I1047" s="1">
        <v>485</v>
      </c>
      <c r="J1047" s="20">
        <v>0</v>
      </c>
      <c r="K1047" s="1">
        <v>84.62</v>
      </c>
      <c r="L1047" s="1">
        <v>0</v>
      </c>
      <c r="M1047" s="42" t="s">
        <v>2843</v>
      </c>
      <c r="O1047" s="2" t="s">
        <v>2482</v>
      </c>
      <c r="P1047" t="s">
        <v>21</v>
      </c>
      <c r="Q1047" t="s">
        <v>869</v>
      </c>
    </row>
    <row r="1048" spans="1:17" ht="15" customHeight="1" x14ac:dyDescent="0.25">
      <c r="A1048" s="3" t="s">
        <v>1587</v>
      </c>
      <c r="B1048" s="4" t="s">
        <v>2868</v>
      </c>
      <c r="C1048" t="s">
        <v>1415</v>
      </c>
      <c r="D1048">
        <v>1</v>
      </c>
      <c r="E1048" t="s">
        <v>974</v>
      </c>
      <c r="F1048" t="s">
        <v>975</v>
      </c>
      <c r="G1048" t="s">
        <v>180</v>
      </c>
      <c r="H1048" s="1" t="s">
        <v>976</v>
      </c>
      <c r="I1048" s="1">
        <v>330</v>
      </c>
      <c r="J1048" s="20">
        <v>2</v>
      </c>
      <c r="K1048" s="1">
        <v>50.13</v>
      </c>
      <c r="L1048" s="1">
        <v>100.26</v>
      </c>
      <c r="M1048" s="42" t="s">
        <v>2843</v>
      </c>
      <c r="O1048" s="2" t="s">
        <v>2443</v>
      </c>
      <c r="P1048" t="s">
        <v>24</v>
      </c>
      <c r="Q1048" t="s">
        <v>870</v>
      </c>
    </row>
    <row r="1049" spans="1:17" ht="15" customHeight="1" x14ac:dyDescent="0.25">
      <c r="A1049" s="3" t="s">
        <v>1588</v>
      </c>
      <c r="B1049" s="4" t="s">
        <v>2868</v>
      </c>
      <c r="C1049" t="s">
        <v>1415</v>
      </c>
      <c r="D1049">
        <v>1</v>
      </c>
      <c r="E1049" t="s">
        <v>974</v>
      </c>
      <c r="F1049" t="s">
        <v>975</v>
      </c>
      <c r="G1049" t="s">
        <v>180</v>
      </c>
      <c r="H1049" s="1" t="s">
        <v>976</v>
      </c>
      <c r="I1049" s="1">
        <v>330</v>
      </c>
      <c r="J1049" s="20">
        <v>2</v>
      </c>
      <c r="K1049" s="1">
        <v>50.13</v>
      </c>
      <c r="L1049" s="1">
        <v>100.26</v>
      </c>
      <c r="M1049" s="42" t="s">
        <v>2843</v>
      </c>
      <c r="O1049" s="2" t="s">
        <v>2443</v>
      </c>
      <c r="P1049" t="s">
        <v>25</v>
      </c>
      <c r="Q1049" t="s">
        <v>870</v>
      </c>
    </row>
    <row r="1050" spans="1:17" ht="15" customHeight="1" x14ac:dyDescent="0.25">
      <c r="A1050" s="3" t="s">
        <v>1589</v>
      </c>
      <c r="B1050" s="4" t="s">
        <v>2868</v>
      </c>
      <c r="C1050" t="s">
        <v>1415</v>
      </c>
      <c r="D1050">
        <v>1</v>
      </c>
      <c r="E1050" t="s">
        <v>974</v>
      </c>
      <c r="F1050" t="s">
        <v>975</v>
      </c>
      <c r="G1050" t="s">
        <v>180</v>
      </c>
      <c r="H1050" s="1" t="s">
        <v>976</v>
      </c>
      <c r="I1050" s="1">
        <v>330</v>
      </c>
      <c r="J1050" s="20">
        <v>-1</v>
      </c>
      <c r="K1050" s="1">
        <v>50.13</v>
      </c>
      <c r="L1050" s="1">
        <v>-50.13</v>
      </c>
      <c r="M1050" s="42" t="s">
        <v>2843</v>
      </c>
      <c r="O1050" s="2" t="s">
        <v>2443</v>
      </c>
      <c r="P1050" t="s">
        <v>23</v>
      </c>
      <c r="Q1050" t="s">
        <v>870</v>
      </c>
    </row>
    <row r="1051" spans="1:17" ht="15" customHeight="1" x14ac:dyDescent="0.25">
      <c r="A1051" s="3" t="s">
        <v>1590</v>
      </c>
      <c r="B1051" s="4" t="s">
        <v>2868</v>
      </c>
      <c r="C1051" t="s">
        <v>1415</v>
      </c>
      <c r="D1051">
        <v>1</v>
      </c>
      <c r="E1051" t="s">
        <v>974</v>
      </c>
      <c r="F1051" t="s">
        <v>975</v>
      </c>
      <c r="G1051" t="s">
        <v>180</v>
      </c>
      <c r="H1051" s="1" t="s">
        <v>976</v>
      </c>
      <c r="I1051" s="1">
        <v>330</v>
      </c>
      <c r="J1051" s="20">
        <v>0</v>
      </c>
      <c r="K1051" s="1">
        <v>50.13</v>
      </c>
      <c r="L1051" s="1">
        <v>0</v>
      </c>
      <c r="M1051" s="42" t="s">
        <v>2843</v>
      </c>
      <c r="O1051" s="2" t="s">
        <v>2443</v>
      </c>
      <c r="P1051" t="s">
        <v>22</v>
      </c>
      <c r="Q1051" t="s">
        <v>870</v>
      </c>
    </row>
    <row r="1052" spans="1:17" ht="15" customHeight="1" x14ac:dyDescent="0.25">
      <c r="A1052" s="41" t="s">
        <v>1590</v>
      </c>
      <c r="B1052" s="3" t="s">
        <v>2868</v>
      </c>
      <c r="C1052" s="41" t="s">
        <v>1415</v>
      </c>
      <c r="D1052">
        <v>3</v>
      </c>
      <c r="E1052" t="s">
        <v>1179</v>
      </c>
      <c r="F1052" t="s">
        <v>1180</v>
      </c>
      <c r="G1052" t="s">
        <v>180</v>
      </c>
      <c r="H1052" s="1" t="s">
        <v>976</v>
      </c>
      <c r="I1052" s="1">
        <v>330</v>
      </c>
      <c r="J1052" s="20">
        <v>0</v>
      </c>
      <c r="K1052" s="1">
        <v>50.13</v>
      </c>
      <c r="L1052" s="1">
        <v>0</v>
      </c>
      <c r="M1052" s="42" t="s">
        <v>2843</v>
      </c>
      <c r="O1052" s="2" t="s">
        <v>2443</v>
      </c>
      <c r="P1052" t="s">
        <v>22</v>
      </c>
      <c r="Q1052" t="s">
        <v>870</v>
      </c>
    </row>
    <row r="1053" spans="1:17" ht="15" customHeight="1" x14ac:dyDescent="0.25">
      <c r="A1053" s="3" t="s">
        <v>2154</v>
      </c>
      <c r="B1053" s="4" t="s">
        <v>2869</v>
      </c>
      <c r="C1053" t="s">
        <v>1415</v>
      </c>
      <c r="D1053">
        <v>1</v>
      </c>
      <c r="E1053" t="s">
        <v>974</v>
      </c>
      <c r="F1053" t="s">
        <v>975</v>
      </c>
      <c r="G1053" t="s">
        <v>180</v>
      </c>
      <c r="H1053" s="1" t="s">
        <v>976</v>
      </c>
      <c r="I1053" s="1">
        <v>455</v>
      </c>
      <c r="J1053" s="20">
        <v>0</v>
      </c>
      <c r="K1053" s="1">
        <v>91</v>
      </c>
      <c r="L1053" s="1">
        <v>0</v>
      </c>
      <c r="M1053" s="42" t="s">
        <v>2843</v>
      </c>
      <c r="O1053" s="2" t="s">
        <v>2443</v>
      </c>
      <c r="P1053" t="s">
        <v>23</v>
      </c>
      <c r="Q1053" t="s">
        <v>871</v>
      </c>
    </row>
    <row r="1054" spans="1:17" ht="15" customHeight="1" x14ac:dyDescent="0.25">
      <c r="A1054" s="3" t="s">
        <v>2155</v>
      </c>
      <c r="B1054" s="4" t="s">
        <v>2869</v>
      </c>
      <c r="C1054" t="s">
        <v>1415</v>
      </c>
      <c r="D1054">
        <v>1</v>
      </c>
      <c r="E1054" t="s">
        <v>974</v>
      </c>
      <c r="F1054" t="s">
        <v>975</v>
      </c>
      <c r="G1054" t="s">
        <v>180</v>
      </c>
      <c r="H1054" s="1" t="s">
        <v>976</v>
      </c>
      <c r="I1054" s="1">
        <v>455</v>
      </c>
      <c r="J1054" s="20">
        <v>0</v>
      </c>
      <c r="K1054" s="1">
        <v>0</v>
      </c>
      <c r="L1054" s="1">
        <v>0</v>
      </c>
      <c r="M1054" s="42" t="s">
        <v>2843</v>
      </c>
      <c r="O1054" s="2" t="s">
        <v>2443</v>
      </c>
      <c r="P1054" t="s">
        <v>22</v>
      </c>
      <c r="Q1054" t="s">
        <v>871</v>
      </c>
    </row>
    <row r="1055" spans="1:17" ht="15" customHeight="1" x14ac:dyDescent="0.25">
      <c r="A1055" s="3" t="s">
        <v>2156</v>
      </c>
      <c r="B1055" s="4" t="s">
        <v>2869</v>
      </c>
      <c r="C1055" t="s">
        <v>1415</v>
      </c>
      <c r="D1055">
        <v>1</v>
      </c>
      <c r="E1055" t="s">
        <v>974</v>
      </c>
      <c r="F1055" t="s">
        <v>975</v>
      </c>
      <c r="G1055" t="s">
        <v>180</v>
      </c>
      <c r="H1055" s="1" t="s">
        <v>976</v>
      </c>
      <c r="I1055" s="1">
        <v>455</v>
      </c>
      <c r="J1055" s="20">
        <v>0</v>
      </c>
      <c r="K1055" s="1">
        <v>91</v>
      </c>
      <c r="L1055" s="1">
        <v>0</v>
      </c>
      <c r="M1055" s="42" t="s">
        <v>2843</v>
      </c>
      <c r="O1055" s="2" t="s">
        <v>2443</v>
      </c>
      <c r="P1055" t="s">
        <v>24</v>
      </c>
      <c r="Q1055" t="s">
        <v>871</v>
      </c>
    </row>
    <row r="1056" spans="1:17" ht="15" customHeight="1" x14ac:dyDescent="0.25">
      <c r="A1056" s="3" t="s">
        <v>1591</v>
      </c>
      <c r="B1056" s="4" t="s">
        <v>2867</v>
      </c>
      <c r="C1056" t="s">
        <v>1415</v>
      </c>
      <c r="D1056">
        <v>1</v>
      </c>
      <c r="E1056" t="s">
        <v>974</v>
      </c>
      <c r="F1056" t="s">
        <v>975</v>
      </c>
      <c r="G1056" t="s">
        <v>180</v>
      </c>
      <c r="H1056" s="1" t="s">
        <v>976</v>
      </c>
      <c r="I1056" s="1">
        <v>470</v>
      </c>
      <c r="J1056" s="20">
        <v>2</v>
      </c>
      <c r="K1056" s="1">
        <v>61.41</v>
      </c>
      <c r="L1056" s="1">
        <v>122.82</v>
      </c>
      <c r="M1056" s="42" t="s">
        <v>2843</v>
      </c>
      <c r="O1056" s="2" t="s">
        <v>2482</v>
      </c>
      <c r="P1056" t="s">
        <v>24</v>
      </c>
      <c r="Q1056" t="s">
        <v>869</v>
      </c>
    </row>
    <row r="1057" spans="1:17" ht="15" customHeight="1" x14ac:dyDescent="0.25">
      <c r="A1057" s="3" t="s">
        <v>1592</v>
      </c>
      <c r="B1057" s="4" t="s">
        <v>2867</v>
      </c>
      <c r="C1057" t="s">
        <v>1415</v>
      </c>
      <c r="D1057">
        <v>1</v>
      </c>
      <c r="E1057" t="s">
        <v>974</v>
      </c>
      <c r="F1057" t="s">
        <v>975</v>
      </c>
      <c r="G1057" t="s">
        <v>180</v>
      </c>
      <c r="H1057" s="1" t="s">
        <v>976</v>
      </c>
      <c r="I1057" s="1">
        <v>470</v>
      </c>
      <c r="J1057" s="20">
        <v>0</v>
      </c>
      <c r="K1057" s="1">
        <v>61.41</v>
      </c>
      <c r="L1057" s="1">
        <v>0</v>
      </c>
      <c r="M1057" s="42" t="s">
        <v>2843</v>
      </c>
      <c r="O1057" s="2" t="s">
        <v>2482</v>
      </c>
      <c r="P1057" t="s">
        <v>23</v>
      </c>
      <c r="Q1057" t="s">
        <v>869</v>
      </c>
    </row>
    <row r="1058" spans="1:17" ht="15" customHeight="1" x14ac:dyDescent="0.25">
      <c r="A1058" s="3" t="s">
        <v>1593</v>
      </c>
      <c r="B1058" s="4" t="s">
        <v>2867</v>
      </c>
      <c r="C1058" t="s">
        <v>1415</v>
      </c>
      <c r="D1058">
        <v>1</v>
      </c>
      <c r="E1058" t="s">
        <v>974</v>
      </c>
      <c r="F1058" t="s">
        <v>975</v>
      </c>
      <c r="G1058" t="s">
        <v>180</v>
      </c>
      <c r="H1058" s="1" t="s">
        <v>976</v>
      </c>
      <c r="I1058" s="1">
        <v>470</v>
      </c>
      <c r="J1058" s="20">
        <v>0</v>
      </c>
      <c r="K1058" s="1">
        <v>61.41</v>
      </c>
      <c r="L1058" s="1">
        <v>0</v>
      </c>
      <c r="M1058" s="42" t="s">
        <v>2843</v>
      </c>
      <c r="O1058" s="2" t="s">
        <v>2482</v>
      </c>
      <c r="P1058" t="s">
        <v>22</v>
      </c>
      <c r="Q1058" t="s">
        <v>869</v>
      </c>
    </row>
    <row r="1059" spans="1:17" ht="15" customHeight="1" x14ac:dyDescent="0.25">
      <c r="A1059" s="3" t="s">
        <v>1594</v>
      </c>
      <c r="B1059" s="4" t="s">
        <v>315</v>
      </c>
      <c r="C1059" t="s">
        <v>1595</v>
      </c>
      <c r="D1059">
        <v>1</v>
      </c>
      <c r="E1059" t="s">
        <v>974</v>
      </c>
      <c r="F1059" t="s">
        <v>975</v>
      </c>
      <c r="G1059" t="s">
        <v>180</v>
      </c>
      <c r="H1059" s="1" t="s">
        <v>976</v>
      </c>
      <c r="I1059" s="1">
        <v>1480</v>
      </c>
      <c r="J1059" s="20">
        <v>1</v>
      </c>
      <c r="K1059" s="1">
        <v>0</v>
      </c>
      <c r="L1059" s="1">
        <v>0</v>
      </c>
      <c r="M1059" s="42" t="s">
        <v>2843</v>
      </c>
      <c r="P1059" t="s">
        <v>23</v>
      </c>
      <c r="Q1059" t="s">
        <v>315</v>
      </c>
    </row>
    <row r="1060" spans="1:17" ht="15" customHeight="1" x14ac:dyDescent="0.25">
      <c r="A1060" s="3" t="s">
        <v>1596</v>
      </c>
      <c r="B1060" s="4" t="s">
        <v>2851</v>
      </c>
      <c r="C1060" t="s">
        <v>1415</v>
      </c>
      <c r="D1060">
        <v>1</v>
      </c>
      <c r="E1060" t="s">
        <v>974</v>
      </c>
      <c r="F1060" t="s">
        <v>975</v>
      </c>
      <c r="G1060" t="s">
        <v>180</v>
      </c>
      <c r="H1060" s="1" t="s">
        <v>976</v>
      </c>
      <c r="I1060" s="1">
        <v>595</v>
      </c>
      <c r="J1060" s="20">
        <v>7</v>
      </c>
      <c r="K1060" s="1">
        <v>42</v>
      </c>
      <c r="L1060" s="1">
        <v>294</v>
      </c>
      <c r="M1060" s="42" t="s">
        <v>2843</v>
      </c>
      <c r="O1060" s="2" t="s">
        <v>2443</v>
      </c>
      <c r="P1060" t="s">
        <v>24</v>
      </c>
      <c r="Q1060" t="s">
        <v>872</v>
      </c>
    </row>
    <row r="1061" spans="1:17" ht="15" customHeight="1" x14ac:dyDescent="0.25">
      <c r="A1061" s="41" t="s">
        <v>1596</v>
      </c>
      <c r="B1061" s="3" t="s">
        <v>2851</v>
      </c>
      <c r="C1061" s="41" t="s">
        <v>1415</v>
      </c>
      <c r="D1061">
        <v>4</v>
      </c>
      <c r="E1061" t="s">
        <v>1018</v>
      </c>
      <c r="F1061" t="s">
        <v>975</v>
      </c>
      <c r="G1061" t="s">
        <v>180</v>
      </c>
      <c r="H1061" s="1" t="s">
        <v>976</v>
      </c>
      <c r="I1061" s="1">
        <v>595</v>
      </c>
      <c r="J1061" s="20">
        <v>1</v>
      </c>
      <c r="K1061" s="1">
        <v>595</v>
      </c>
      <c r="L1061" s="1">
        <v>595</v>
      </c>
      <c r="M1061" s="42" t="s">
        <v>2843</v>
      </c>
      <c r="O1061" s="2" t="s">
        <v>2443</v>
      </c>
      <c r="P1061" t="s">
        <v>24</v>
      </c>
      <c r="Q1061" t="s">
        <v>872</v>
      </c>
    </row>
    <row r="1062" spans="1:17" ht="15" customHeight="1" x14ac:dyDescent="0.25">
      <c r="A1062" s="3" t="s">
        <v>1597</v>
      </c>
      <c r="B1062" s="4" t="s">
        <v>2851</v>
      </c>
      <c r="C1062" t="s">
        <v>1415</v>
      </c>
      <c r="D1062">
        <v>1</v>
      </c>
      <c r="E1062" t="s">
        <v>974</v>
      </c>
      <c r="F1062" t="s">
        <v>975</v>
      </c>
      <c r="G1062" t="s">
        <v>180</v>
      </c>
      <c r="H1062" s="1" t="s">
        <v>976</v>
      </c>
      <c r="I1062" s="1">
        <v>595</v>
      </c>
      <c r="J1062" s="20">
        <v>3</v>
      </c>
      <c r="K1062" s="1">
        <v>42</v>
      </c>
      <c r="L1062" s="1">
        <v>126</v>
      </c>
      <c r="M1062" s="42" t="s">
        <v>2843</v>
      </c>
      <c r="O1062" s="2" t="s">
        <v>2443</v>
      </c>
      <c r="P1062" t="s">
        <v>25</v>
      </c>
      <c r="Q1062" t="s">
        <v>872</v>
      </c>
    </row>
    <row r="1063" spans="1:17" ht="15" customHeight="1" x14ac:dyDescent="0.25">
      <c r="A1063" s="3" t="s">
        <v>1598</v>
      </c>
      <c r="B1063" s="4" t="s">
        <v>2851</v>
      </c>
      <c r="C1063" t="s">
        <v>1415</v>
      </c>
      <c r="D1063">
        <v>1</v>
      </c>
      <c r="E1063" t="s">
        <v>974</v>
      </c>
      <c r="F1063" t="s">
        <v>975</v>
      </c>
      <c r="G1063" t="s">
        <v>180</v>
      </c>
      <c r="H1063" s="1" t="s">
        <v>976</v>
      </c>
      <c r="I1063" s="1">
        <v>595</v>
      </c>
      <c r="J1063" s="20">
        <v>8</v>
      </c>
      <c r="K1063" s="1">
        <v>42</v>
      </c>
      <c r="L1063" s="1">
        <v>336</v>
      </c>
      <c r="M1063" s="42" t="s">
        <v>2843</v>
      </c>
      <c r="O1063" s="2" t="s">
        <v>2443</v>
      </c>
      <c r="P1063" t="s">
        <v>23</v>
      </c>
      <c r="Q1063" t="s">
        <v>872</v>
      </c>
    </row>
    <row r="1064" spans="1:17" ht="15" customHeight="1" x14ac:dyDescent="0.25">
      <c r="A1064" s="3" t="s">
        <v>1599</v>
      </c>
      <c r="B1064" s="4" t="s">
        <v>2851</v>
      </c>
      <c r="C1064" t="s">
        <v>1415</v>
      </c>
      <c r="D1064">
        <v>1</v>
      </c>
      <c r="E1064" t="s">
        <v>974</v>
      </c>
      <c r="F1064" t="s">
        <v>975</v>
      </c>
      <c r="G1064" t="s">
        <v>180</v>
      </c>
      <c r="H1064" s="1" t="s">
        <v>976</v>
      </c>
      <c r="I1064" s="1">
        <v>595</v>
      </c>
      <c r="J1064" s="20">
        <v>3</v>
      </c>
      <c r="K1064" s="1">
        <v>42</v>
      </c>
      <c r="L1064" s="1">
        <v>126</v>
      </c>
      <c r="M1064" s="42" t="s">
        <v>2843</v>
      </c>
      <c r="O1064" s="2" t="s">
        <v>2443</v>
      </c>
      <c r="P1064" t="s">
        <v>22</v>
      </c>
      <c r="Q1064" t="s">
        <v>872</v>
      </c>
    </row>
    <row r="1065" spans="1:17" ht="15" customHeight="1" x14ac:dyDescent="0.25">
      <c r="A1065" s="3" t="s">
        <v>1600</v>
      </c>
      <c r="B1065" s="4" t="s">
        <v>316</v>
      </c>
      <c r="C1065" t="s">
        <v>1415</v>
      </c>
      <c r="D1065">
        <v>1</v>
      </c>
      <c r="E1065" t="s">
        <v>974</v>
      </c>
      <c r="F1065" t="s">
        <v>975</v>
      </c>
      <c r="G1065" t="s">
        <v>180</v>
      </c>
      <c r="H1065" s="1" t="s">
        <v>976</v>
      </c>
      <c r="I1065" s="1">
        <v>595</v>
      </c>
      <c r="J1065" s="20">
        <v>8</v>
      </c>
      <c r="K1065" s="1">
        <v>42</v>
      </c>
      <c r="L1065" s="1">
        <v>336</v>
      </c>
      <c r="M1065" s="42" t="s">
        <v>2843</v>
      </c>
      <c r="P1065" t="s">
        <v>24</v>
      </c>
      <c r="Q1065" t="s">
        <v>316</v>
      </c>
    </row>
    <row r="1066" spans="1:17" ht="15" customHeight="1" x14ac:dyDescent="0.25">
      <c r="A1066" s="3" t="s">
        <v>1601</v>
      </c>
      <c r="B1066" s="4" t="s">
        <v>317</v>
      </c>
      <c r="C1066" t="s">
        <v>1415</v>
      </c>
      <c r="D1066">
        <v>1</v>
      </c>
      <c r="E1066" t="s">
        <v>974</v>
      </c>
      <c r="F1066" t="s">
        <v>975</v>
      </c>
      <c r="G1066" t="s">
        <v>180</v>
      </c>
      <c r="H1066" s="1" t="s">
        <v>976</v>
      </c>
      <c r="I1066" s="1">
        <v>595</v>
      </c>
      <c r="J1066" s="20">
        <v>2</v>
      </c>
      <c r="K1066" s="1">
        <v>42</v>
      </c>
      <c r="L1066" s="1">
        <v>84</v>
      </c>
      <c r="M1066" s="42" t="s">
        <v>2843</v>
      </c>
      <c r="P1066" t="s">
        <v>25</v>
      </c>
      <c r="Q1066" t="s">
        <v>317</v>
      </c>
    </row>
    <row r="1067" spans="1:17" ht="15" customHeight="1" x14ac:dyDescent="0.25">
      <c r="A1067" s="3" t="s">
        <v>1602</v>
      </c>
      <c r="B1067" s="4" t="s">
        <v>318</v>
      </c>
      <c r="C1067" t="s">
        <v>1415</v>
      </c>
      <c r="D1067">
        <v>1</v>
      </c>
      <c r="E1067" t="s">
        <v>974</v>
      </c>
      <c r="F1067" t="s">
        <v>975</v>
      </c>
      <c r="G1067" t="s">
        <v>180</v>
      </c>
      <c r="H1067" s="1" t="s">
        <v>976</v>
      </c>
      <c r="I1067" s="1">
        <v>595</v>
      </c>
      <c r="J1067" s="20">
        <v>5</v>
      </c>
      <c r="K1067" s="1">
        <v>42</v>
      </c>
      <c r="L1067" s="1">
        <v>210</v>
      </c>
      <c r="M1067" s="42" t="s">
        <v>2843</v>
      </c>
      <c r="P1067" t="s">
        <v>23</v>
      </c>
      <c r="Q1067" t="s">
        <v>318</v>
      </c>
    </row>
    <row r="1068" spans="1:17" ht="15" customHeight="1" x14ac:dyDescent="0.25">
      <c r="A1068" s="3" t="s">
        <v>1603</v>
      </c>
      <c r="B1068" s="4" t="s">
        <v>319</v>
      </c>
      <c r="C1068" t="s">
        <v>1415</v>
      </c>
      <c r="D1068">
        <v>1</v>
      </c>
      <c r="E1068" t="s">
        <v>974</v>
      </c>
      <c r="F1068" t="s">
        <v>975</v>
      </c>
      <c r="G1068" t="s">
        <v>180</v>
      </c>
      <c r="H1068" s="1" t="s">
        <v>976</v>
      </c>
      <c r="I1068" s="1">
        <v>595</v>
      </c>
      <c r="J1068" s="20">
        <v>4</v>
      </c>
      <c r="K1068" s="1">
        <v>42</v>
      </c>
      <c r="L1068" s="1">
        <v>168</v>
      </c>
      <c r="M1068" s="42" t="s">
        <v>2843</v>
      </c>
      <c r="P1068" t="s">
        <v>22</v>
      </c>
      <c r="Q1068" t="s">
        <v>319</v>
      </c>
    </row>
    <row r="1069" spans="1:17" ht="15" customHeight="1" x14ac:dyDescent="0.25">
      <c r="A1069" s="3" t="s">
        <v>1604</v>
      </c>
      <c r="B1069" s="4" t="s">
        <v>320</v>
      </c>
      <c r="C1069" t="s">
        <v>1415</v>
      </c>
      <c r="D1069">
        <v>1</v>
      </c>
      <c r="E1069" t="s">
        <v>974</v>
      </c>
      <c r="F1069" t="s">
        <v>975</v>
      </c>
      <c r="G1069" t="s">
        <v>180</v>
      </c>
      <c r="H1069" s="1" t="s">
        <v>976</v>
      </c>
      <c r="I1069" s="1">
        <v>790</v>
      </c>
      <c r="J1069" s="20">
        <v>0</v>
      </c>
      <c r="K1069" s="1">
        <v>120</v>
      </c>
      <c r="L1069" s="1">
        <v>0</v>
      </c>
      <c r="M1069" s="42" t="s">
        <v>2843</v>
      </c>
      <c r="P1069" t="s">
        <v>23</v>
      </c>
      <c r="Q1069" t="s">
        <v>320</v>
      </c>
    </row>
    <row r="1070" spans="1:17" ht="15" customHeight="1" x14ac:dyDescent="0.25">
      <c r="A1070" s="3" t="s">
        <v>1605</v>
      </c>
      <c r="B1070" s="4" t="s">
        <v>2867</v>
      </c>
      <c r="C1070" t="s">
        <v>1415</v>
      </c>
      <c r="D1070">
        <v>1</v>
      </c>
      <c r="E1070" t="s">
        <v>974</v>
      </c>
      <c r="F1070" t="s">
        <v>975</v>
      </c>
      <c r="G1070" t="s">
        <v>180</v>
      </c>
      <c r="H1070" s="1" t="s">
        <v>976</v>
      </c>
      <c r="I1070" s="1">
        <v>530</v>
      </c>
      <c r="J1070" s="20">
        <v>4</v>
      </c>
      <c r="K1070" s="1">
        <v>81.349999999999994</v>
      </c>
      <c r="L1070" s="1">
        <v>325.39999999999998</v>
      </c>
      <c r="M1070" s="42" t="s">
        <v>2843</v>
      </c>
      <c r="O1070" s="2" t="s">
        <v>2447</v>
      </c>
      <c r="P1070" t="s">
        <v>24</v>
      </c>
      <c r="Q1070" t="s">
        <v>873</v>
      </c>
    </row>
    <row r="1071" spans="1:17" ht="15" customHeight="1" x14ac:dyDescent="0.25">
      <c r="A1071" s="3" t="s">
        <v>1606</v>
      </c>
      <c r="B1071" s="4" t="s">
        <v>2867</v>
      </c>
      <c r="C1071" t="s">
        <v>1415</v>
      </c>
      <c r="D1071">
        <v>1</v>
      </c>
      <c r="E1071" t="s">
        <v>974</v>
      </c>
      <c r="F1071" t="s">
        <v>975</v>
      </c>
      <c r="G1071" t="s">
        <v>180</v>
      </c>
      <c r="H1071" s="1" t="s">
        <v>976</v>
      </c>
      <c r="I1071" s="1">
        <v>530</v>
      </c>
      <c r="J1071" s="20">
        <v>2</v>
      </c>
      <c r="K1071" s="1">
        <v>81.349999999999994</v>
      </c>
      <c r="L1071" s="1">
        <v>162.69999999999999</v>
      </c>
      <c r="M1071" s="42" t="s">
        <v>2843</v>
      </c>
      <c r="O1071" s="2" t="s">
        <v>2447</v>
      </c>
      <c r="P1071" t="s">
        <v>25</v>
      </c>
      <c r="Q1071" t="s">
        <v>873</v>
      </c>
    </row>
    <row r="1072" spans="1:17" ht="15" customHeight="1" x14ac:dyDescent="0.25">
      <c r="A1072" s="3" t="s">
        <v>1607</v>
      </c>
      <c r="B1072" s="4" t="s">
        <v>2867</v>
      </c>
      <c r="C1072" t="s">
        <v>1415</v>
      </c>
      <c r="D1072">
        <v>1</v>
      </c>
      <c r="E1072" t="s">
        <v>974</v>
      </c>
      <c r="F1072" t="s">
        <v>975</v>
      </c>
      <c r="G1072" t="s">
        <v>180</v>
      </c>
      <c r="H1072" s="1" t="s">
        <v>976</v>
      </c>
      <c r="I1072" s="1">
        <v>530</v>
      </c>
      <c r="J1072" s="20">
        <v>4</v>
      </c>
      <c r="K1072" s="1">
        <v>81.349999999999994</v>
      </c>
      <c r="L1072" s="1">
        <v>325.39999999999998</v>
      </c>
      <c r="M1072" s="42" t="s">
        <v>2843</v>
      </c>
      <c r="O1072" s="2" t="s">
        <v>2447</v>
      </c>
      <c r="P1072" t="s">
        <v>23</v>
      </c>
      <c r="Q1072" t="s">
        <v>873</v>
      </c>
    </row>
    <row r="1073" spans="1:17" ht="15" customHeight="1" x14ac:dyDescent="0.25">
      <c r="A1073" s="3" t="s">
        <v>1608</v>
      </c>
      <c r="B1073" s="4" t="s">
        <v>2867</v>
      </c>
      <c r="C1073" t="s">
        <v>1415</v>
      </c>
      <c r="D1073">
        <v>1</v>
      </c>
      <c r="E1073" t="s">
        <v>974</v>
      </c>
      <c r="F1073" t="s">
        <v>975</v>
      </c>
      <c r="G1073" t="s">
        <v>180</v>
      </c>
      <c r="H1073" s="1" t="s">
        <v>976</v>
      </c>
      <c r="I1073" s="1">
        <v>530</v>
      </c>
      <c r="J1073" s="20">
        <v>3</v>
      </c>
      <c r="K1073" s="1">
        <v>81.349999999999994</v>
      </c>
      <c r="L1073" s="1">
        <v>244.05</v>
      </c>
      <c r="M1073" s="42" t="s">
        <v>2843</v>
      </c>
      <c r="O1073" s="2" t="s">
        <v>2447</v>
      </c>
      <c r="P1073" t="s">
        <v>22</v>
      </c>
      <c r="Q1073" t="s">
        <v>873</v>
      </c>
    </row>
    <row r="1074" spans="1:17" ht="15" customHeight="1" x14ac:dyDescent="0.25">
      <c r="A1074" s="3" t="s">
        <v>1609</v>
      </c>
      <c r="B1074" s="4" t="s">
        <v>321</v>
      </c>
      <c r="C1074" t="s">
        <v>1415</v>
      </c>
      <c r="D1074">
        <v>1</v>
      </c>
      <c r="E1074" t="s">
        <v>974</v>
      </c>
      <c r="F1074" t="s">
        <v>975</v>
      </c>
      <c r="G1074" t="s">
        <v>180</v>
      </c>
      <c r="H1074" s="1" t="s">
        <v>976</v>
      </c>
      <c r="I1074" s="1">
        <v>980</v>
      </c>
      <c r="J1074" s="20">
        <v>0</v>
      </c>
      <c r="K1074" s="1">
        <v>0</v>
      </c>
      <c r="L1074" s="1">
        <v>0</v>
      </c>
      <c r="M1074" s="42" t="s">
        <v>2843</v>
      </c>
      <c r="P1074" t="s">
        <v>24</v>
      </c>
      <c r="Q1074" t="s">
        <v>321</v>
      </c>
    </row>
    <row r="1075" spans="1:17" ht="15" customHeight="1" x14ac:dyDescent="0.25">
      <c r="A1075" s="3" t="s">
        <v>1610</v>
      </c>
      <c r="B1075" s="4" t="s">
        <v>322</v>
      </c>
      <c r="C1075" t="s">
        <v>1415</v>
      </c>
      <c r="D1075">
        <v>1</v>
      </c>
      <c r="E1075" t="s">
        <v>974</v>
      </c>
      <c r="F1075" t="s">
        <v>975</v>
      </c>
      <c r="G1075" t="s">
        <v>180</v>
      </c>
      <c r="H1075" s="1" t="s">
        <v>976</v>
      </c>
      <c r="I1075" s="1">
        <v>980</v>
      </c>
      <c r="J1075" s="20">
        <v>0</v>
      </c>
      <c r="K1075" s="1">
        <v>0</v>
      </c>
      <c r="L1075" s="1">
        <v>0</v>
      </c>
      <c r="M1075" s="42" t="s">
        <v>2843</v>
      </c>
      <c r="P1075" t="s">
        <v>25</v>
      </c>
      <c r="Q1075" t="s">
        <v>322</v>
      </c>
    </row>
    <row r="1076" spans="1:17" ht="15" customHeight="1" x14ac:dyDescent="0.25">
      <c r="A1076" s="3" t="s">
        <v>1611</v>
      </c>
      <c r="B1076" s="4" t="s">
        <v>323</v>
      </c>
      <c r="C1076" t="s">
        <v>1415</v>
      </c>
      <c r="D1076">
        <v>1</v>
      </c>
      <c r="E1076" t="s">
        <v>974</v>
      </c>
      <c r="F1076" t="s">
        <v>975</v>
      </c>
      <c r="G1076" t="s">
        <v>180</v>
      </c>
      <c r="H1076" s="1" t="s">
        <v>976</v>
      </c>
      <c r="I1076" s="1">
        <v>980</v>
      </c>
      <c r="J1076" s="20">
        <v>1</v>
      </c>
      <c r="K1076" s="1">
        <v>100</v>
      </c>
      <c r="L1076" s="1">
        <v>100</v>
      </c>
      <c r="M1076" s="42" t="s">
        <v>2843</v>
      </c>
      <c r="P1076" t="s">
        <v>23</v>
      </c>
      <c r="Q1076" t="s">
        <v>323</v>
      </c>
    </row>
    <row r="1077" spans="1:17" ht="15" customHeight="1" x14ac:dyDescent="0.25">
      <c r="A1077" s="41" t="s">
        <v>1611</v>
      </c>
      <c r="B1077" s="3" t="s">
        <v>323</v>
      </c>
      <c r="C1077" s="41" t="s">
        <v>1415</v>
      </c>
      <c r="D1077">
        <v>3</v>
      </c>
      <c r="E1077" t="s">
        <v>1179</v>
      </c>
      <c r="F1077" t="s">
        <v>1180</v>
      </c>
      <c r="G1077" t="s">
        <v>180</v>
      </c>
      <c r="H1077" s="1" t="s">
        <v>976</v>
      </c>
      <c r="I1077" s="1">
        <v>980</v>
      </c>
      <c r="J1077" s="20">
        <v>0</v>
      </c>
      <c r="K1077" s="1">
        <v>100</v>
      </c>
      <c r="L1077" s="1">
        <v>0</v>
      </c>
      <c r="M1077" s="42" t="s">
        <v>2843</v>
      </c>
      <c r="P1077" t="s">
        <v>23</v>
      </c>
      <c r="Q1077" t="s">
        <v>323</v>
      </c>
    </row>
    <row r="1078" spans="1:17" ht="15" customHeight="1" x14ac:dyDescent="0.25">
      <c r="A1078" s="3" t="s">
        <v>1612</v>
      </c>
      <c r="B1078" s="4" t="s">
        <v>324</v>
      </c>
      <c r="C1078" t="s">
        <v>1415</v>
      </c>
      <c r="D1078">
        <v>1</v>
      </c>
      <c r="E1078" t="s">
        <v>974</v>
      </c>
      <c r="F1078" t="s">
        <v>975</v>
      </c>
      <c r="G1078" t="s">
        <v>180</v>
      </c>
      <c r="H1078" s="1" t="s">
        <v>976</v>
      </c>
      <c r="I1078" s="1">
        <v>980</v>
      </c>
      <c r="J1078" s="20">
        <v>0</v>
      </c>
      <c r="K1078" s="1">
        <v>0</v>
      </c>
      <c r="L1078" s="1">
        <v>0</v>
      </c>
      <c r="M1078" s="42" t="s">
        <v>2843</v>
      </c>
      <c r="P1078" t="s">
        <v>22</v>
      </c>
      <c r="Q1078" t="s">
        <v>324</v>
      </c>
    </row>
    <row r="1079" spans="1:17" ht="15" customHeight="1" x14ac:dyDescent="0.25">
      <c r="A1079" s="3" t="s">
        <v>1613</v>
      </c>
      <c r="B1079" s="4" t="s">
        <v>2870</v>
      </c>
      <c r="C1079" t="s">
        <v>1415</v>
      </c>
      <c r="D1079">
        <v>1</v>
      </c>
      <c r="E1079" t="s">
        <v>974</v>
      </c>
      <c r="F1079" t="s">
        <v>975</v>
      </c>
      <c r="G1079" t="s">
        <v>180</v>
      </c>
      <c r="H1079" s="1" t="s">
        <v>976</v>
      </c>
      <c r="I1079" s="1">
        <v>390</v>
      </c>
      <c r="J1079" s="20">
        <v>3</v>
      </c>
      <c r="K1079" s="1">
        <v>32</v>
      </c>
      <c r="L1079" s="1">
        <v>96</v>
      </c>
      <c r="M1079" s="42" t="s">
        <v>2843</v>
      </c>
      <c r="O1079" s="2" t="s">
        <v>2528</v>
      </c>
      <c r="P1079" t="s">
        <v>24</v>
      </c>
      <c r="Q1079" t="s">
        <v>874</v>
      </c>
    </row>
    <row r="1080" spans="1:17" ht="15" customHeight="1" x14ac:dyDescent="0.25">
      <c r="A1080" s="3" t="s">
        <v>1614</v>
      </c>
      <c r="B1080" s="4" t="s">
        <v>2870</v>
      </c>
      <c r="C1080" t="s">
        <v>1415</v>
      </c>
      <c r="D1080">
        <v>1</v>
      </c>
      <c r="E1080" t="s">
        <v>974</v>
      </c>
      <c r="F1080" t="s">
        <v>975</v>
      </c>
      <c r="G1080" t="s">
        <v>180</v>
      </c>
      <c r="H1080" s="1" t="s">
        <v>976</v>
      </c>
      <c r="I1080" s="1">
        <v>390</v>
      </c>
      <c r="J1080" s="20">
        <v>2</v>
      </c>
      <c r="K1080" s="1">
        <v>32</v>
      </c>
      <c r="L1080" s="1">
        <v>64</v>
      </c>
      <c r="M1080" s="42" t="s">
        <v>2843</v>
      </c>
      <c r="O1080" s="2" t="s">
        <v>2528</v>
      </c>
      <c r="P1080" t="s">
        <v>25</v>
      </c>
      <c r="Q1080" t="s">
        <v>874</v>
      </c>
    </row>
    <row r="1081" spans="1:17" ht="15" customHeight="1" x14ac:dyDescent="0.25">
      <c r="A1081" s="3" t="s">
        <v>1615</v>
      </c>
      <c r="B1081" s="4" t="s">
        <v>2870</v>
      </c>
      <c r="C1081" t="s">
        <v>1415</v>
      </c>
      <c r="D1081">
        <v>1</v>
      </c>
      <c r="E1081" t="s">
        <v>974</v>
      </c>
      <c r="F1081" t="s">
        <v>975</v>
      </c>
      <c r="G1081" t="s">
        <v>180</v>
      </c>
      <c r="H1081" s="1" t="s">
        <v>976</v>
      </c>
      <c r="I1081" s="1">
        <v>390</v>
      </c>
      <c r="J1081" s="20">
        <v>0</v>
      </c>
      <c r="K1081" s="1">
        <v>32</v>
      </c>
      <c r="L1081" s="1">
        <v>0</v>
      </c>
      <c r="M1081" s="42" t="s">
        <v>2843</v>
      </c>
      <c r="O1081" s="2" t="s">
        <v>2528</v>
      </c>
      <c r="P1081" t="s">
        <v>23</v>
      </c>
      <c r="Q1081" t="s">
        <v>874</v>
      </c>
    </row>
    <row r="1082" spans="1:17" ht="15" customHeight="1" x14ac:dyDescent="0.25">
      <c r="A1082" s="3" t="s">
        <v>1616</v>
      </c>
      <c r="B1082" s="4" t="s">
        <v>2870</v>
      </c>
      <c r="C1082" t="s">
        <v>1415</v>
      </c>
      <c r="D1082">
        <v>1</v>
      </c>
      <c r="E1082" t="s">
        <v>974</v>
      </c>
      <c r="F1082" t="s">
        <v>975</v>
      </c>
      <c r="G1082" t="s">
        <v>180</v>
      </c>
      <c r="H1082" s="1" t="s">
        <v>976</v>
      </c>
      <c r="I1082" s="1">
        <v>390</v>
      </c>
      <c r="J1082" s="20">
        <v>0</v>
      </c>
      <c r="K1082" s="1">
        <v>32</v>
      </c>
      <c r="L1082" s="1">
        <v>0</v>
      </c>
      <c r="M1082" s="42" t="s">
        <v>2843</v>
      </c>
      <c r="O1082" s="2" t="s">
        <v>2528</v>
      </c>
      <c r="P1082" t="s">
        <v>22</v>
      </c>
      <c r="Q1082" t="s">
        <v>874</v>
      </c>
    </row>
    <row r="1083" spans="1:17" ht="15" customHeight="1" x14ac:dyDescent="0.25">
      <c r="A1083" s="3" t="s">
        <v>2157</v>
      </c>
      <c r="B1083" s="4" t="s">
        <v>2871</v>
      </c>
      <c r="C1083" t="s">
        <v>1595</v>
      </c>
      <c r="D1083">
        <v>1</v>
      </c>
      <c r="E1083" t="s">
        <v>974</v>
      </c>
      <c r="F1083" t="s">
        <v>975</v>
      </c>
      <c r="G1083" t="s">
        <v>180</v>
      </c>
      <c r="H1083" s="1" t="s">
        <v>976</v>
      </c>
      <c r="I1083" s="1">
        <v>590</v>
      </c>
      <c r="J1083" s="20">
        <v>4</v>
      </c>
      <c r="K1083" s="1">
        <v>117.87</v>
      </c>
      <c r="L1083" s="1">
        <v>471.48</v>
      </c>
      <c r="M1083" s="42" t="s">
        <v>2843</v>
      </c>
      <c r="O1083" s="2" t="s">
        <v>2447</v>
      </c>
      <c r="P1083" t="s">
        <v>23</v>
      </c>
      <c r="Q1083" t="s">
        <v>875</v>
      </c>
    </row>
    <row r="1084" spans="1:17" ht="15" customHeight="1" x14ac:dyDescent="0.25">
      <c r="A1084" s="41" t="s">
        <v>2157</v>
      </c>
      <c r="B1084" s="3" t="s">
        <v>2871</v>
      </c>
      <c r="C1084" s="41" t="s">
        <v>1595</v>
      </c>
      <c r="D1084">
        <v>2</v>
      </c>
      <c r="E1084" t="s">
        <v>1017</v>
      </c>
      <c r="F1084" t="s">
        <v>975</v>
      </c>
      <c r="G1084" t="s">
        <v>180</v>
      </c>
      <c r="H1084" s="1" t="s">
        <v>976</v>
      </c>
      <c r="I1084" s="1">
        <v>590</v>
      </c>
      <c r="J1084" s="20">
        <v>0</v>
      </c>
      <c r="K1084" s="1">
        <v>117.87</v>
      </c>
      <c r="L1084" s="1">
        <v>0</v>
      </c>
      <c r="M1084" s="42" t="s">
        <v>2843</v>
      </c>
      <c r="O1084" s="2" t="s">
        <v>2447</v>
      </c>
      <c r="P1084" t="s">
        <v>23</v>
      </c>
      <c r="Q1084" t="s">
        <v>875</v>
      </c>
    </row>
    <row r="1085" spans="1:17" ht="15" customHeight="1" x14ac:dyDescent="0.25">
      <c r="A1085" s="3" t="s">
        <v>1617</v>
      </c>
      <c r="B1085" s="4" t="s">
        <v>1415</v>
      </c>
      <c r="C1085" t="s">
        <v>1415</v>
      </c>
      <c r="D1085">
        <v>1</v>
      </c>
      <c r="E1085" t="s">
        <v>974</v>
      </c>
      <c r="F1085" t="s">
        <v>975</v>
      </c>
      <c r="G1085" t="s">
        <v>180</v>
      </c>
      <c r="H1085" s="1" t="s">
        <v>976</v>
      </c>
      <c r="I1085" s="1">
        <v>615</v>
      </c>
      <c r="J1085" s="20">
        <v>0</v>
      </c>
      <c r="K1085" s="1">
        <v>135.4</v>
      </c>
      <c r="L1085" s="1">
        <v>0</v>
      </c>
      <c r="M1085" s="42" t="s">
        <v>2843</v>
      </c>
      <c r="O1085" s="2" t="s">
        <v>2443</v>
      </c>
      <c r="P1085" t="s">
        <v>24</v>
      </c>
      <c r="Q1085" t="s">
        <v>876</v>
      </c>
    </row>
    <row r="1086" spans="1:17" ht="15" customHeight="1" x14ac:dyDescent="0.25">
      <c r="A1086" s="3" t="s">
        <v>1618</v>
      </c>
      <c r="B1086" s="4" t="s">
        <v>1415</v>
      </c>
      <c r="C1086" t="s">
        <v>1415</v>
      </c>
      <c r="D1086">
        <v>1</v>
      </c>
      <c r="E1086" t="s">
        <v>974</v>
      </c>
      <c r="F1086" t="s">
        <v>975</v>
      </c>
      <c r="G1086" t="s">
        <v>180</v>
      </c>
      <c r="H1086" s="1" t="s">
        <v>976</v>
      </c>
      <c r="I1086" s="1">
        <v>615</v>
      </c>
      <c r="J1086" s="20">
        <v>0</v>
      </c>
      <c r="K1086" s="1">
        <v>135.4</v>
      </c>
      <c r="L1086" s="1">
        <v>0</v>
      </c>
      <c r="M1086" s="42" t="s">
        <v>2843</v>
      </c>
      <c r="O1086" s="2" t="s">
        <v>2443</v>
      </c>
      <c r="P1086" t="s">
        <v>23</v>
      </c>
      <c r="Q1086" t="s">
        <v>876</v>
      </c>
    </row>
    <row r="1087" spans="1:17" ht="15" customHeight="1" x14ac:dyDescent="0.25">
      <c r="A1087" s="3" t="s">
        <v>1619</v>
      </c>
      <c r="B1087" s="4" t="s">
        <v>1415</v>
      </c>
      <c r="C1087" t="s">
        <v>1415</v>
      </c>
      <c r="D1087">
        <v>1</v>
      </c>
      <c r="E1087" t="s">
        <v>974</v>
      </c>
      <c r="F1087" t="s">
        <v>975</v>
      </c>
      <c r="G1087" t="s">
        <v>180</v>
      </c>
      <c r="H1087" s="1" t="s">
        <v>976</v>
      </c>
      <c r="I1087" s="1">
        <v>615</v>
      </c>
      <c r="J1087" s="20">
        <v>0</v>
      </c>
      <c r="K1087" s="1">
        <v>135.4</v>
      </c>
      <c r="L1087" s="1">
        <v>0</v>
      </c>
      <c r="M1087" s="42" t="s">
        <v>2843</v>
      </c>
      <c r="O1087" s="2" t="s">
        <v>2443</v>
      </c>
      <c r="P1087" t="s">
        <v>22</v>
      </c>
      <c r="Q1087" t="s">
        <v>876</v>
      </c>
    </row>
    <row r="1088" spans="1:17" ht="15" customHeight="1" x14ac:dyDescent="0.25">
      <c r="A1088" s="3" t="s">
        <v>1620</v>
      </c>
      <c r="B1088" s="4" t="s">
        <v>1595</v>
      </c>
      <c r="C1088" t="s">
        <v>1595</v>
      </c>
      <c r="D1088">
        <v>1</v>
      </c>
      <c r="E1088" t="s">
        <v>974</v>
      </c>
      <c r="F1088" t="s">
        <v>975</v>
      </c>
      <c r="G1088" t="s">
        <v>180</v>
      </c>
      <c r="H1088" s="1" t="s">
        <v>976</v>
      </c>
      <c r="I1088" s="1">
        <v>560</v>
      </c>
      <c r="J1088" s="20">
        <v>3</v>
      </c>
      <c r="K1088" s="1">
        <v>94.25</v>
      </c>
      <c r="L1088" s="1">
        <v>282.75</v>
      </c>
      <c r="M1088" s="42" t="s">
        <v>2872</v>
      </c>
      <c r="O1088" s="2" t="s">
        <v>2463</v>
      </c>
      <c r="P1088" t="s">
        <v>24</v>
      </c>
      <c r="Q1088" t="s">
        <v>877</v>
      </c>
    </row>
    <row r="1089" spans="1:17" ht="15" customHeight="1" x14ac:dyDescent="0.25">
      <c r="A1089" s="41" t="s">
        <v>1620</v>
      </c>
      <c r="B1089" s="3" t="s">
        <v>1595</v>
      </c>
      <c r="C1089" s="41" t="s">
        <v>1595</v>
      </c>
      <c r="D1089">
        <v>4</v>
      </c>
      <c r="E1089" t="s">
        <v>1018</v>
      </c>
      <c r="F1089" t="s">
        <v>975</v>
      </c>
      <c r="G1089" t="s">
        <v>180</v>
      </c>
      <c r="H1089" s="1" t="s">
        <v>976</v>
      </c>
      <c r="I1089" s="1">
        <v>560</v>
      </c>
      <c r="J1089" s="20">
        <v>1</v>
      </c>
      <c r="K1089" s="1">
        <v>560</v>
      </c>
      <c r="L1089" s="1">
        <v>560</v>
      </c>
      <c r="M1089" s="42" t="s">
        <v>2872</v>
      </c>
      <c r="O1089" s="2" t="s">
        <v>2463</v>
      </c>
      <c r="P1089" t="s">
        <v>24</v>
      </c>
      <c r="Q1089" t="s">
        <v>877</v>
      </c>
    </row>
    <row r="1090" spans="1:17" ht="15" customHeight="1" x14ac:dyDescent="0.25">
      <c r="A1090" s="3" t="s">
        <v>1621</v>
      </c>
      <c r="B1090" s="4" t="s">
        <v>1595</v>
      </c>
      <c r="C1090" t="s">
        <v>1595</v>
      </c>
      <c r="D1090">
        <v>1</v>
      </c>
      <c r="E1090" t="s">
        <v>974</v>
      </c>
      <c r="F1090" t="s">
        <v>975</v>
      </c>
      <c r="G1090" t="s">
        <v>180</v>
      </c>
      <c r="H1090" s="1" t="s">
        <v>976</v>
      </c>
      <c r="I1090" s="1">
        <v>560</v>
      </c>
      <c r="J1090" s="20">
        <v>2</v>
      </c>
      <c r="K1090" s="1">
        <v>94.25</v>
      </c>
      <c r="L1090" s="1">
        <v>188.5</v>
      </c>
      <c r="M1090" s="42" t="s">
        <v>2872</v>
      </c>
      <c r="O1090" s="2" t="s">
        <v>2463</v>
      </c>
      <c r="P1090" t="s">
        <v>25</v>
      </c>
      <c r="Q1090" t="s">
        <v>877</v>
      </c>
    </row>
    <row r="1091" spans="1:17" ht="15" customHeight="1" x14ac:dyDescent="0.25">
      <c r="A1091" s="3" t="s">
        <v>1622</v>
      </c>
      <c r="B1091" s="4" t="s">
        <v>1595</v>
      </c>
      <c r="C1091" t="s">
        <v>1595</v>
      </c>
      <c r="D1091">
        <v>1</v>
      </c>
      <c r="E1091" t="s">
        <v>974</v>
      </c>
      <c r="F1091" t="s">
        <v>975</v>
      </c>
      <c r="G1091" t="s">
        <v>180</v>
      </c>
      <c r="H1091" s="1" t="s">
        <v>976</v>
      </c>
      <c r="I1091" s="1">
        <v>560</v>
      </c>
      <c r="J1091" s="20">
        <v>0</v>
      </c>
      <c r="K1091" s="1">
        <v>94.25</v>
      </c>
      <c r="L1091" s="1">
        <v>0</v>
      </c>
      <c r="M1091" s="42" t="s">
        <v>2872</v>
      </c>
      <c r="O1091" s="2" t="s">
        <v>2463</v>
      </c>
      <c r="P1091" t="s">
        <v>23</v>
      </c>
      <c r="Q1091" t="s">
        <v>877</v>
      </c>
    </row>
    <row r="1092" spans="1:17" ht="15" customHeight="1" x14ac:dyDescent="0.25">
      <c r="A1092" s="41" t="s">
        <v>1622</v>
      </c>
      <c r="B1092" s="3" t="s">
        <v>1595</v>
      </c>
      <c r="C1092" s="41" t="s">
        <v>1595</v>
      </c>
      <c r="D1092">
        <v>2</v>
      </c>
      <c r="E1092" t="s">
        <v>1017</v>
      </c>
      <c r="F1092" t="s">
        <v>975</v>
      </c>
      <c r="G1092" t="s">
        <v>180</v>
      </c>
      <c r="H1092" s="1" t="s">
        <v>976</v>
      </c>
      <c r="I1092" s="1">
        <v>560</v>
      </c>
      <c r="J1092" s="20">
        <v>0</v>
      </c>
      <c r="K1092" s="1">
        <v>94.25</v>
      </c>
      <c r="L1092" s="1">
        <v>0</v>
      </c>
      <c r="M1092" s="42" t="s">
        <v>2872</v>
      </c>
      <c r="O1092" s="2" t="s">
        <v>2463</v>
      </c>
      <c r="P1092" t="s">
        <v>23</v>
      </c>
      <c r="Q1092" t="s">
        <v>877</v>
      </c>
    </row>
    <row r="1093" spans="1:17" ht="15" customHeight="1" x14ac:dyDescent="0.25">
      <c r="A1093" s="3" t="s">
        <v>1623</v>
      </c>
      <c r="B1093" s="4" t="s">
        <v>1595</v>
      </c>
      <c r="C1093" t="s">
        <v>1595</v>
      </c>
      <c r="D1093">
        <v>1</v>
      </c>
      <c r="E1093" t="s">
        <v>974</v>
      </c>
      <c r="F1093" t="s">
        <v>975</v>
      </c>
      <c r="G1093" t="s">
        <v>180</v>
      </c>
      <c r="H1093" s="1" t="s">
        <v>976</v>
      </c>
      <c r="I1093" s="1">
        <v>560</v>
      </c>
      <c r="J1093" s="20">
        <v>0</v>
      </c>
      <c r="K1093" s="1">
        <v>94.25</v>
      </c>
      <c r="L1093" s="1">
        <v>0</v>
      </c>
      <c r="M1093" s="42" t="s">
        <v>2872</v>
      </c>
      <c r="O1093" s="2" t="s">
        <v>2463</v>
      </c>
      <c r="P1093" t="s">
        <v>22</v>
      </c>
      <c r="Q1093" t="s">
        <v>877</v>
      </c>
    </row>
    <row r="1094" spans="1:17" ht="15" customHeight="1" x14ac:dyDescent="0.25">
      <c r="A1094" s="41" t="s">
        <v>1623</v>
      </c>
      <c r="B1094" s="3" t="s">
        <v>1595</v>
      </c>
      <c r="C1094" s="41" t="s">
        <v>1595</v>
      </c>
      <c r="D1094">
        <v>2</v>
      </c>
      <c r="E1094" t="s">
        <v>1017</v>
      </c>
      <c r="F1094" t="s">
        <v>975</v>
      </c>
      <c r="G1094" t="s">
        <v>180</v>
      </c>
      <c r="H1094" s="1" t="s">
        <v>976</v>
      </c>
      <c r="I1094" s="1">
        <v>560</v>
      </c>
      <c r="J1094" s="20">
        <v>0</v>
      </c>
      <c r="K1094" s="1">
        <v>94.25</v>
      </c>
      <c r="L1094" s="1">
        <v>0</v>
      </c>
      <c r="M1094" s="42" t="s">
        <v>2872</v>
      </c>
      <c r="O1094" s="2" t="s">
        <v>2463</v>
      </c>
      <c r="P1094" t="s">
        <v>22</v>
      </c>
      <c r="Q1094" t="s">
        <v>877</v>
      </c>
    </row>
    <row r="1095" spans="1:17" ht="15" customHeight="1" x14ac:dyDescent="0.25">
      <c r="A1095" s="3" t="s">
        <v>1624</v>
      </c>
      <c r="B1095" s="4" t="s">
        <v>2874</v>
      </c>
      <c r="C1095" t="s">
        <v>1595</v>
      </c>
      <c r="D1095">
        <v>1</v>
      </c>
      <c r="E1095" t="s">
        <v>974</v>
      </c>
      <c r="F1095" t="s">
        <v>975</v>
      </c>
      <c r="G1095" t="s">
        <v>180</v>
      </c>
      <c r="H1095" s="1" t="s">
        <v>976</v>
      </c>
      <c r="I1095" s="1">
        <v>1330</v>
      </c>
      <c r="J1095" s="20">
        <v>0</v>
      </c>
      <c r="K1095" s="1">
        <v>205.68</v>
      </c>
      <c r="L1095" s="1">
        <v>0</v>
      </c>
      <c r="M1095" s="42" t="s">
        <v>2873</v>
      </c>
      <c r="O1095" s="2" t="s">
        <v>2508</v>
      </c>
      <c r="P1095" t="s">
        <v>24</v>
      </c>
      <c r="Q1095" t="s">
        <v>878</v>
      </c>
    </row>
    <row r="1096" spans="1:17" ht="15" customHeight="1" x14ac:dyDescent="0.25">
      <c r="A1096" s="3" t="s">
        <v>1625</v>
      </c>
      <c r="B1096" s="4" t="s">
        <v>2874</v>
      </c>
      <c r="C1096" t="s">
        <v>1595</v>
      </c>
      <c r="D1096">
        <v>1</v>
      </c>
      <c r="E1096" t="s">
        <v>974</v>
      </c>
      <c r="F1096" t="s">
        <v>975</v>
      </c>
      <c r="G1096" t="s">
        <v>180</v>
      </c>
      <c r="H1096" s="1" t="s">
        <v>976</v>
      </c>
      <c r="I1096" s="1">
        <v>1330</v>
      </c>
      <c r="J1096" s="20">
        <v>0</v>
      </c>
      <c r="K1096" s="1">
        <v>205.68</v>
      </c>
      <c r="L1096" s="1">
        <v>0</v>
      </c>
      <c r="M1096" s="42" t="s">
        <v>2873</v>
      </c>
      <c r="O1096" s="2" t="s">
        <v>2508</v>
      </c>
      <c r="P1096" t="s">
        <v>25</v>
      </c>
      <c r="Q1096" t="s">
        <v>878</v>
      </c>
    </row>
    <row r="1097" spans="1:17" ht="15" customHeight="1" x14ac:dyDescent="0.25">
      <c r="A1097" s="3" t="s">
        <v>1626</v>
      </c>
      <c r="B1097" s="4" t="s">
        <v>2874</v>
      </c>
      <c r="C1097" t="s">
        <v>1595</v>
      </c>
      <c r="D1097">
        <v>1</v>
      </c>
      <c r="E1097" t="s">
        <v>974</v>
      </c>
      <c r="F1097" t="s">
        <v>975</v>
      </c>
      <c r="G1097" t="s">
        <v>180</v>
      </c>
      <c r="H1097" s="1" t="s">
        <v>976</v>
      </c>
      <c r="I1097" s="1">
        <v>1330</v>
      </c>
      <c r="J1097" s="20">
        <v>-1</v>
      </c>
      <c r="K1097" s="1">
        <v>205.68</v>
      </c>
      <c r="L1097" s="1">
        <v>-205.68</v>
      </c>
      <c r="M1097" s="42" t="s">
        <v>2873</v>
      </c>
      <c r="O1097" s="2" t="s">
        <v>2508</v>
      </c>
      <c r="P1097" t="s">
        <v>23</v>
      </c>
      <c r="Q1097" t="s">
        <v>878</v>
      </c>
    </row>
    <row r="1098" spans="1:17" ht="15" customHeight="1" x14ac:dyDescent="0.25">
      <c r="A1098" s="41" t="s">
        <v>1626</v>
      </c>
      <c r="B1098" s="3" t="s">
        <v>2874</v>
      </c>
      <c r="C1098" s="41" t="s">
        <v>1595</v>
      </c>
      <c r="D1098">
        <v>2</v>
      </c>
      <c r="E1098" t="s">
        <v>1017</v>
      </c>
      <c r="F1098" t="s">
        <v>975</v>
      </c>
      <c r="G1098" t="s">
        <v>180</v>
      </c>
      <c r="H1098" s="1" t="s">
        <v>976</v>
      </c>
      <c r="I1098" s="1">
        <v>1330</v>
      </c>
      <c r="J1098" s="20">
        <v>1</v>
      </c>
      <c r="K1098" s="1">
        <v>205.68</v>
      </c>
      <c r="L1098" s="1">
        <v>205.68</v>
      </c>
      <c r="M1098" s="42" t="s">
        <v>2873</v>
      </c>
      <c r="O1098" s="2" t="s">
        <v>2508</v>
      </c>
      <c r="P1098" t="s">
        <v>23</v>
      </c>
      <c r="Q1098" t="s">
        <v>878</v>
      </c>
    </row>
    <row r="1099" spans="1:17" ht="15" customHeight="1" x14ac:dyDescent="0.25">
      <c r="A1099" s="3" t="s">
        <v>1627</v>
      </c>
      <c r="B1099" s="4" t="s">
        <v>2874</v>
      </c>
      <c r="C1099" t="s">
        <v>1595</v>
      </c>
      <c r="D1099">
        <v>1</v>
      </c>
      <c r="E1099" t="s">
        <v>974</v>
      </c>
      <c r="F1099" t="s">
        <v>975</v>
      </c>
      <c r="G1099" t="s">
        <v>180</v>
      </c>
      <c r="H1099" s="1" t="s">
        <v>976</v>
      </c>
      <c r="I1099" s="1">
        <v>1330</v>
      </c>
      <c r="J1099" s="20">
        <v>0</v>
      </c>
      <c r="K1099" s="1">
        <v>205.68</v>
      </c>
      <c r="L1099" s="1">
        <v>0</v>
      </c>
      <c r="M1099" s="42" t="s">
        <v>2873</v>
      </c>
      <c r="O1099" s="2" t="s">
        <v>2508</v>
      </c>
      <c r="P1099" t="s">
        <v>22</v>
      </c>
      <c r="Q1099" t="s">
        <v>878</v>
      </c>
    </row>
    <row r="1100" spans="1:17" ht="15" customHeight="1" x14ac:dyDescent="0.25">
      <c r="A1100" s="41" t="s">
        <v>1627</v>
      </c>
      <c r="B1100" s="3" t="s">
        <v>2874</v>
      </c>
      <c r="C1100" s="41" t="s">
        <v>1595</v>
      </c>
      <c r="D1100">
        <v>2</v>
      </c>
      <c r="E1100" t="s">
        <v>1017</v>
      </c>
      <c r="F1100" t="s">
        <v>975</v>
      </c>
      <c r="G1100" t="s">
        <v>180</v>
      </c>
      <c r="H1100" s="1" t="s">
        <v>976</v>
      </c>
      <c r="I1100" s="1">
        <v>1330</v>
      </c>
      <c r="J1100" s="20">
        <v>1</v>
      </c>
      <c r="K1100" s="1">
        <v>205.68</v>
      </c>
      <c r="L1100" s="1">
        <v>205.68</v>
      </c>
      <c r="M1100" s="42" t="s">
        <v>2873</v>
      </c>
      <c r="O1100" s="2" t="s">
        <v>2508</v>
      </c>
      <c r="P1100" t="s">
        <v>22</v>
      </c>
      <c r="Q1100" t="s">
        <v>878</v>
      </c>
    </row>
    <row r="1101" spans="1:17" ht="15" customHeight="1" x14ac:dyDescent="0.25">
      <c r="A1101" s="3" t="s">
        <v>1628</v>
      </c>
      <c r="B1101" s="4" t="s">
        <v>2874</v>
      </c>
      <c r="C1101" t="s">
        <v>1415</v>
      </c>
      <c r="D1101">
        <v>1</v>
      </c>
      <c r="E1101" t="s">
        <v>974</v>
      </c>
      <c r="F1101" t="s">
        <v>975</v>
      </c>
      <c r="G1101" t="s">
        <v>180</v>
      </c>
      <c r="H1101" s="1" t="s">
        <v>976</v>
      </c>
      <c r="I1101" s="1">
        <v>1330</v>
      </c>
      <c r="J1101" s="20">
        <v>0</v>
      </c>
      <c r="K1101" s="1">
        <v>205.68</v>
      </c>
      <c r="L1101" s="1">
        <v>0</v>
      </c>
      <c r="M1101" s="42" t="s">
        <v>2873</v>
      </c>
      <c r="O1101" s="2" t="s">
        <v>2508</v>
      </c>
      <c r="P1101" t="s">
        <v>21</v>
      </c>
      <c r="Q1101" t="s">
        <v>878</v>
      </c>
    </row>
    <row r="1102" spans="1:17" ht="15" customHeight="1" x14ac:dyDescent="0.25">
      <c r="A1102" s="41" t="s">
        <v>1628</v>
      </c>
      <c r="B1102" s="3" t="s">
        <v>2874</v>
      </c>
      <c r="C1102" s="41" t="s">
        <v>1415</v>
      </c>
      <c r="D1102">
        <v>2</v>
      </c>
      <c r="E1102" t="s">
        <v>1017</v>
      </c>
      <c r="F1102" t="s">
        <v>975</v>
      </c>
      <c r="G1102" t="s">
        <v>180</v>
      </c>
      <c r="H1102" s="1" t="s">
        <v>976</v>
      </c>
      <c r="I1102" s="1">
        <v>1330</v>
      </c>
      <c r="J1102" s="20">
        <v>1</v>
      </c>
      <c r="K1102" s="1">
        <v>205.68</v>
      </c>
      <c r="L1102" s="1">
        <v>205.68</v>
      </c>
      <c r="M1102" s="42" t="s">
        <v>2873</v>
      </c>
      <c r="O1102" s="2" t="s">
        <v>2508</v>
      </c>
      <c r="P1102" t="s">
        <v>21</v>
      </c>
      <c r="Q1102" t="s">
        <v>878</v>
      </c>
    </row>
    <row r="1103" spans="1:17" ht="15" customHeight="1" x14ac:dyDescent="0.25">
      <c r="A1103" s="3" t="s">
        <v>1629</v>
      </c>
      <c r="B1103" s="4" t="s">
        <v>2874</v>
      </c>
      <c r="C1103" t="s">
        <v>1415</v>
      </c>
      <c r="D1103">
        <v>1</v>
      </c>
      <c r="E1103" t="s">
        <v>974</v>
      </c>
      <c r="F1103" t="s">
        <v>975</v>
      </c>
      <c r="G1103" t="s">
        <v>180</v>
      </c>
      <c r="H1103" s="1" t="s">
        <v>976</v>
      </c>
      <c r="I1103" s="1">
        <v>0</v>
      </c>
      <c r="J1103" s="20">
        <v>1</v>
      </c>
      <c r="K1103" s="1">
        <v>100</v>
      </c>
      <c r="L1103" s="1">
        <v>100</v>
      </c>
      <c r="M1103" s="42" t="s">
        <v>2873</v>
      </c>
      <c r="N1103" s="1" t="s">
        <v>2616</v>
      </c>
      <c r="O1103" s="2" t="s">
        <v>2508</v>
      </c>
      <c r="Q1103" t="s">
        <v>878</v>
      </c>
    </row>
    <row r="1104" spans="1:17" ht="15" customHeight="1" x14ac:dyDescent="0.25">
      <c r="A1104" s="3" t="s">
        <v>1630</v>
      </c>
      <c r="B1104" s="4" t="s">
        <v>2874</v>
      </c>
      <c r="C1104" t="s">
        <v>1595</v>
      </c>
      <c r="D1104">
        <v>1</v>
      </c>
      <c r="E1104" t="s">
        <v>974</v>
      </c>
      <c r="F1104" t="s">
        <v>975</v>
      </c>
      <c r="G1104" t="s">
        <v>180</v>
      </c>
      <c r="H1104" s="1" t="s">
        <v>976</v>
      </c>
      <c r="I1104" s="1">
        <v>1330</v>
      </c>
      <c r="J1104" s="20">
        <v>0</v>
      </c>
      <c r="K1104" s="1">
        <v>230</v>
      </c>
      <c r="L1104" s="1">
        <v>0</v>
      </c>
      <c r="M1104" s="42" t="s">
        <v>2873</v>
      </c>
      <c r="O1104" s="2" t="s">
        <v>2482</v>
      </c>
      <c r="P1104" t="s">
        <v>24</v>
      </c>
      <c r="Q1104" t="s">
        <v>879</v>
      </c>
    </row>
    <row r="1105" spans="1:17" ht="15" customHeight="1" x14ac:dyDescent="0.25">
      <c r="A1105" s="3" t="s">
        <v>1631</v>
      </c>
      <c r="B1105" s="4" t="s">
        <v>2874</v>
      </c>
      <c r="C1105" t="s">
        <v>1595</v>
      </c>
      <c r="D1105">
        <v>1</v>
      </c>
      <c r="E1105" t="s">
        <v>974</v>
      </c>
      <c r="F1105" t="s">
        <v>975</v>
      </c>
      <c r="G1105" t="s">
        <v>180</v>
      </c>
      <c r="H1105" s="1" t="s">
        <v>976</v>
      </c>
      <c r="I1105" s="1">
        <v>1330</v>
      </c>
      <c r="J1105" s="20">
        <v>0</v>
      </c>
      <c r="K1105" s="1">
        <v>230</v>
      </c>
      <c r="L1105" s="1">
        <v>0</v>
      </c>
      <c r="M1105" s="42" t="s">
        <v>2873</v>
      </c>
      <c r="O1105" s="2" t="s">
        <v>2482</v>
      </c>
      <c r="P1105" t="s">
        <v>25</v>
      </c>
      <c r="Q1105" t="s">
        <v>879</v>
      </c>
    </row>
    <row r="1106" spans="1:17" ht="15" customHeight="1" x14ac:dyDescent="0.25">
      <c r="A1106" s="3" t="s">
        <v>1632</v>
      </c>
      <c r="B1106" s="4" t="s">
        <v>2874</v>
      </c>
      <c r="C1106" t="s">
        <v>1595</v>
      </c>
      <c r="D1106">
        <v>1</v>
      </c>
      <c r="E1106" t="s">
        <v>974</v>
      </c>
      <c r="F1106" t="s">
        <v>975</v>
      </c>
      <c r="G1106" t="s">
        <v>180</v>
      </c>
      <c r="H1106" s="1" t="s">
        <v>976</v>
      </c>
      <c r="I1106" s="1">
        <v>1330</v>
      </c>
      <c r="J1106" s="20">
        <v>0</v>
      </c>
      <c r="K1106" s="1">
        <v>230</v>
      </c>
      <c r="L1106" s="1">
        <v>0</v>
      </c>
      <c r="M1106" s="42" t="s">
        <v>2873</v>
      </c>
      <c r="O1106" s="2" t="s">
        <v>2482</v>
      </c>
      <c r="P1106" t="s">
        <v>23</v>
      </c>
      <c r="Q1106" t="s">
        <v>879</v>
      </c>
    </row>
    <row r="1107" spans="1:17" ht="15" customHeight="1" x14ac:dyDescent="0.25">
      <c r="A1107" s="41" t="s">
        <v>1632</v>
      </c>
      <c r="B1107" s="3" t="s">
        <v>2874</v>
      </c>
      <c r="C1107" s="41" t="s">
        <v>1595</v>
      </c>
      <c r="D1107">
        <v>4</v>
      </c>
      <c r="E1107" t="s">
        <v>1018</v>
      </c>
      <c r="F1107" t="s">
        <v>975</v>
      </c>
      <c r="G1107" t="s">
        <v>180</v>
      </c>
      <c r="H1107" s="1" t="s">
        <v>976</v>
      </c>
      <c r="I1107" s="1">
        <v>1330</v>
      </c>
      <c r="J1107" s="20">
        <v>1</v>
      </c>
      <c r="K1107" s="1">
        <v>0</v>
      </c>
      <c r="L1107" s="1">
        <v>0</v>
      </c>
      <c r="M1107" s="42" t="s">
        <v>2873</v>
      </c>
      <c r="O1107" s="2" t="s">
        <v>2482</v>
      </c>
      <c r="P1107" t="s">
        <v>23</v>
      </c>
      <c r="Q1107" t="s">
        <v>879</v>
      </c>
    </row>
    <row r="1108" spans="1:17" ht="15" customHeight="1" x14ac:dyDescent="0.25">
      <c r="A1108" s="3" t="s">
        <v>1633</v>
      </c>
      <c r="B1108" s="4" t="s">
        <v>2874</v>
      </c>
      <c r="C1108" t="s">
        <v>1595</v>
      </c>
      <c r="D1108">
        <v>1</v>
      </c>
      <c r="E1108" t="s">
        <v>974</v>
      </c>
      <c r="F1108" t="s">
        <v>975</v>
      </c>
      <c r="G1108" t="s">
        <v>180</v>
      </c>
      <c r="H1108" s="1" t="s">
        <v>976</v>
      </c>
      <c r="I1108" s="1">
        <v>1330</v>
      </c>
      <c r="J1108" s="20">
        <v>0</v>
      </c>
      <c r="K1108" s="1">
        <v>230</v>
      </c>
      <c r="L1108" s="1">
        <v>0</v>
      </c>
      <c r="M1108" s="42" t="s">
        <v>2873</v>
      </c>
      <c r="O1108" s="2" t="s">
        <v>2482</v>
      </c>
      <c r="P1108" t="s">
        <v>22</v>
      </c>
      <c r="Q1108" t="s">
        <v>879</v>
      </c>
    </row>
    <row r="1109" spans="1:17" ht="15" customHeight="1" x14ac:dyDescent="0.25">
      <c r="A1109" s="3" t="s">
        <v>1634</v>
      </c>
      <c r="B1109" s="4" t="s">
        <v>2874</v>
      </c>
      <c r="C1109" t="s">
        <v>1595</v>
      </c>
      <c r="D1109">
        <v>4</v>
      </c>
      <c r="E1109" t="s">
        <v>1018</v>
      </c>
      <c r="F1109" t="s">
        <v>975</v>
      </c>
      <c r="G1109" t="s">
        <v>180</v>
      </c>
      <c r="H1109" s="1" t="s">
        <v>976</v>
      </c>
      <c r="I1109" s="1">
        <v>1330</v>
      </c>
      <c r="J1109" s="20">
        <v>0</v>
      </c>
      <c r="K1109" s="1">
        <v>0</v>
      </c>
      <c r="L1109" s="1">
        <v>0</v>
      </c>
      <c r="M1109" s="42" t="s">
        <v>2873</v>
      </c>
      <c r="N1109" s="1" t="s">
        <v>2616</v>
      </c>
      <c r="O1109" s="2" t="s">
        <v>2482</v>
      </c>
      <c r="Q1109" t="s">
        <v>879</v>
      </c>
    </row>
    <row r="1110" spans="1:17" ht="15" customHeight="1" x14ac:dyDescent="0.25">
      <c r="A1110" s="3" t="s">
        <v>1635</v>
      </c>
      <c r="B1110" s="4" t="s">
        <v>2874</v>
      </c>
      <c r="C1110" t="s">
        <v>1595</v>
      </c>
      <c r="D1110">
        <v>1</v>
      </c>
      <c r="E1110" t="s">
        <v>974</v>
      </c>
      <c r="F1110" t="s">
        <v>975</v>
      </c>
      <c r="G1110" t="s">
        <v>180</v>
      </c>
      <c r="H1110" s="1" t="s">
        <v>976</v>
      </c>
      <c r="I1110" s="1">
        <v>1330</v>
      </c>
      <c r="J1110" s="20">
        <v>0</v>
      </c>
      <c r="K1110" s="1">
        <v>230</v>
      </c>
      <c r="L1110" s="1">
        <v>0</v>
      </c>
      <c r="M1110" s="42" t="s">
        <v>2873</v>
      </c>
      <c r="O1110" s="2" t="s">
        <v>2482</v>
      </c>
      <c r="P1110" t="s">
        <v>21</v>
      </c>
      <c r="Q1110" t="s">
        <v>879</v>
      </c>
    </row>
    <row r="1111" spans="1:17" ht="15" customHeight="1" x14ac:dyDescent="0.25">
      <c r="A1111" s="3" t="s">
        <v>1636</v>
      </c>
      <c r="B1111" s="4" t="s">
        <v>325</v>
      </c>
      <c r="C1111" t="s">
        <v>1595</v>
      </c>
      <c r="D1111">
        <v>1</v>
      </c>
      <c r="E1111" t="s">
        <v>974</v>
      </c>
      <c r="F1111" t="s">
        <v>975</v>
      </c>
      <c r="G1111" t="s">
        <v>976</v>
      </c>
      <c r="H1111" s="1" t="s">
        <v>976</v>
      </c>
      <c r="I1111" s="1">
        <v>880</v>
      </c>
      <c r="J1111" s="20">
        <v>14</v>
      </c>
      <c r="K1111" s="1">
        <v>160</v>
      </c>
      <c r="L1111" s="1">
        <v>2240</v>
      </c>
      <c r="M1111" s="42" t="s">
        <v>2873</v>
      </c>
      <c r="P1111" t="s">
        <v>24</v>
      </c>
      <c r="Q1111" t="s">
        <v>325</v>
      </c>
    </row>
    <row r="1112" spans="1:17" ht="15" customHeight="1" x14ac:dyDescent="0.25">
      <c r="A1112" s="3" t="s">
        <v>1637</v>
      </c>
      <c r="B1112" s="4" t="s">
        <v>326</v>
      </c>
      <c r="C1112" t="s">
        <v>1595</v>
      </c>
      <c r="D1112">
        <v>1</v>
      </c>
      <c r="E1112" t="s">
        <v>974</v>
      </c>
      <c r="F1112" t="s">
        <v>975</v>
      </c>
      <c r="G1112" t="s">
        <v>976</v>
      </c>
      <c r="H1112" s="1" t="s">
        <v>976</v>
      </c>
      <c r="I1112" s="1">
        <v>880</v>
      </c>
      <c r="J1112" s="20">
        <v>1</v>
      </c>
      <c r="K1112" s="1">
        <v>160</v>
      </c>
      <c r="L1112" s="1">
        <v>160</v>
      </c>
      <c r="M1112" s="42" t="s">
        <v>2873</v>
      </c>
      <c r="P1112" t="s">
        <v>25</v>
      </c>
      <c r="Q1112" t="s">
        <v>326</v>
      </c>
    </row>
    <row r="1113" spans="1:17" ht="15" customHeight="1" x14ac:dyDescent="0.25">
      <c r="A1113" s="3" t="s">
        <v>1638</v>
      </c>
      <c r="B1113" s="4" t="s">
        <v>327</v>
      </c>
      <c r="C1113" t="s">
        <v>1595</v>
      </c>
      <c r="D1113">
        <v>1</v>
      </c>
      <c r="E1113" t="s">
        <v>974</v>
      </c>
      <c r="F1113" t="s">
        <v>975</v>
      </c>
      <c r="G1113" t="s">
        <v>976</v>
      </c>
      <c r="H1113" s="1" t="s">
        <v>976</v>
      </c>
      <c r="I1113" s="1">
        <v>880</v>
      </c>
      <c r="J1113" s="20">
        <v>14</v>
      </c>
      <c r="K1113" s="1">
        <v>160</v>
      </c>
      <c r="L1113" s="1">
        <v>2240</v>
      </c>
      <c r="M1113" s="42" t="s">
        <v>2873</v>
      </c>
      <c r="P1113" t="s">
        <v>23</v>
      </c>
      <c r="Q1113" t="s">
        <v>327</v>
      </c>
    </row>
    <row r="1114" spans="1:17" ht="15" customHeight="1" x14ac:dyDescent="0.25">
      <c r="A1114" s="3" t="s">
        <v>1639</v>
      </c>
      <c r="B1114" s="4" t="s">
        <v>328</v>
      </c>
      <c r="C1114" t="s">
        <v>1595</v>
      </c>
      <c r="D1114">
        <v>1</v>
      </c>
      <c r="E1114" t="s">
        <v>974</v>
      </c>
      <c r="F1114" t="s">
        <v>975</v>
      </c>
      <c r="G1114" t="s">
        <v>976</v>
      </c>
      <c r="H1114" s="1" t="s">
        <v>976</v>
      </c>
      <c r="I1114" s="1">
        <v>880</v>
      </c>
      <c r="J1114" s="20">
        <v>4</v>
      </c>
      <c r="K1114" s="1">
        <v>160</v>
      </c>
      <c r="L1114" s="1">
        <v>640</v>
      </c>
      <c r="M1114" s="42" t="s">
        <v>2873</v>
      </c>
      <c r="P1114" t="s">
        <v>22</v>
      </c>
      <c r="Q1114" t="s">
        <v>328</v>
      </c>
    </row>
    <row r="1115" spans="1:17" ht="15" customHeight="1" x14ac:dyDescent="0.25">
      <c r="A1115" s="3" t="s">
        <v>2158</v>
      </c>
      <c r="B1115" s="4" t="s">
        <v>2871</v>
      </c>
      <c r="C1115" t="s">
        <v>1595</v>
      </c>
      <c r="D1115">
        <v>1</v>
      </c>
      <c r="E1115" t="s">
        <v>974</v>
      </c>
      <c r="F1115" t="s">
        <v>975</v>
      </c>
      <c r="G1115" t="s">
        <v>180</v>
      </c>
      <c r="H1115" s="1" t="s">
        <v>976</v>
      </c>
      <c r="I1115" s="1">
        <v>590</v>
      </c>
      <c r="J1115" s="20">
        <v>0</v>
      </c>
      <c r="K1115" s="1">
        <v>117.87</v>
      </c>
      <c r="L1115" s="1">
        <v>0</v>
      </c>
      <c r="M1115" s="42" t="s">
        <v>2873</v>
      </c>
      <c r="O1115" s="2" t="s">
        <v>2437</v>
      </c>
      <c r="P1115" t="s">
        <v>24</v>
      </c>
      <c r="Q1115" t="s">
        <v>880</v>
      </c>
    </row>
    <row r="1116" spans="1:17" ht="15" customHeight="1" x14ac:dyDescent="0.25">
      <c r="A1116" s="41" t="s">
        <v>2158</v>
      </c>
      <c r="B1116" s="3" t="s">
        <v>2871</v>
      </c>
      <c r="C1116" s="41" t="s">
        <v>1595</v>
      </c>
      <c r="D1116">
        <v>3</v>
      </c>
      <c r="E1116" t="s">
        <v>1179</v>
      </c>
      <c r="F1116" t="s">
        <v>1180</v>
      </c>
      <c r="G1116" t="s">
        <v>180</v>
      </c>
      <c r="H1116" s="1" t="s">
        <v>976</v>
      </c>
      <c r="I1116" s="1">
        <v>590</v>
      </c>
      <c r="J1116" s="20">
        <v>0</v>
      </c>
      <c r="K1116" s="1">
        <v>0</v>
      </c>
      <c r="L1116" s="1">
        <v>0</v>
      </c>
      <c r="M1116" s="42" t="s">
        <v>2873</v>
      </c>
      <c r="O1116" s="2" t="s">
        <v>2437</v>
      </c>
      <c r="P1116" t="s">
        <v>24</v>
      </c>
      <c r="Q1116" t="s">
        <v>880</v>
      </c>
    </row>
    <row r="1117" spans="1:17" ht="15" customHeight="1" x14ac:dyDescent="0.25">
      <c r="A1117" s="3" t="s">
        <v>2159</v>
      </c>
      <c r="B1117" s="4" t="s">
        <v>2871</v>
      </c>
      <c r="C1117" t="s">
        <v>1595</v>
      </c>
      <c r="D1117">
        <v>1</v>
      </c>
      <c r="E1117" t="s">
        <v>974</v>
      </c>
      <c r="F1117" t="s">
        <v>975</v>
      </c>
      <c r="G1117" t="s">
        <v>180</v>
      </c>
      <c r="H1117" s="1" t="s">
        <v>976</v>
      </c>
      <c r="I1117" s="1">
        <v>590</v>
      </c>
      <c r="J1117" s="20">
        <v>0</v>
      </c>
      <c r="K1117" s="1">
        <v>117.87</v>
      </c>
      <c r="L1117" s="1">
        <v>0</v>
      </c>
      <c r="M1117" s="42" t="s">
        <v>2873</v>
      </c>
      <c r="O1117" s="2" t="s">
        <v>2437</v>
      </c>
      <c r="P1117" t="s">
        <v>23</v>
      </c>
      <c r="Q1117" t="s">
        <v>880</v>
      </c>
    </row>
    <row r="1118" spans="1:17" ht="15" customHeight="1" x14ac:dyDescent="0.25">
      <c r="A1118" s="41" t="s">
        <v>2159</v>
      </c>
      <c r="B1118" s="3" t="s">
        <v>2871</v>
      </c>
      <c r="C1118" s="41" t="s">
        <v>1595</v>
      </c>
      <c r="D1118">
        <v>3</v>
      </c>
      <c r="E1118" t="s">
        <v>1179</v>
      </c>
      <c r="F1118" t="s">
        <v>1180</v>
      </c>
      <c r="G1118" t="s">
        <v>180</v>
      </c>
      <c r="H1118" s="1" t="s">
        <v>976</v>
      </c>
      <c r="I1118" s="1">
        <v>590</v>
      </c>
      <c r="J1118" s="20">
        <v>0</v>
      </c>
      <c r="K1118" s="1">
        <v>0</v>
      </c>
      <c r="L1118" s="1">
        <v>0</v>
      </c>
      <c r="M1118" s="42" t="s">
        <v>2873</v>
      </c>
      <c r="O1118" s="2" t="s">
        <v>2437</v>
      </c>
      <c r="P1118" t="s">
        <v>23</v>
      </c>
      <c r="Q1118" t="s">
        <v>880</v>
      </c>
    </row>
    <row r="1119" spans="1:17" ht="15" customHeight="1" x14ac:dyDescent="0.25">
      <c r="A1119" s="3" t="s">
        <v>1640</v>
      </c>
      <c r="B1119" s="4" t="s">
        <v>2875</v>
      </c>
      <c r="C1119" t="s">
        <v>1595</v>
      </c>
      <c r="D1119">
        <v>1</v>
      </c>
      <c r="E1119" t="s">
        <v>974</v>
      </c>
      <c r="F1119" t="s">
        <v>975</v>
      </c>
      <c r="G1119" t="s">
        <v>180</v>
      </c>
      <c r="H1119" s="1" t="s">
        <v>976</v>
      </c>
      <c r="I1119" s="1">
        <v>640</v>
      </c>
      <c r="J1119" s="20">
        <v>0</v>
      </c>
      <c r="K1119" s="1">
        <v>0</v>
      </c>
      <c r="L1119" s="1">
        <v>0</v>
      </c>
      <c r="M1119" s="42" t="s">
        <v>2873</v>
      </c>
      <c r="O1119" s="2" t="s">
        <v>2482</v>
      </c>
      <c r="P1119" t="s">
        <v>23</v>
      </c>
      <c r="Q1119" t="s">
        <v>881</v>
      </c>
    </row>
    <row r="1120" spans="1:17" ht="15" customHeight="1" x14ac:dyDescent="0.25">
      <c r="A1120" s="41" t="s">
        <v>1640</v>
      </c>
      <c r="B1120" s="3" t="s">
        <v>2875</v>
      </c>
      <c r="C1120" s="41" t="s">
        <v>1595</v>
      </c>
      <c r="D1120">
        <v>3</v>
      </c>
      <c r="E1120" t="s">
        <v>1179</v>
      </c>
      <c r="F1120" t="s">
        <v>1180</v>
      </c>
      <c r="G1120" t="s">
        <v>180</v>
      </c>
      <c r="H1120" s="1" t="s">
        <v>976</v>
      </c>
      <c r="I1120" s="1">
        <v>640</v>
      </c>
      <c r="J1120" s="20">
        <v>0</v>
      </c>
      <c r="K1120" s="1">
        <v>0</v>
      </c>
      <c r="L1120" s="1">
        <v>0</v>
      </c>
      <c r="M1120" s="42" t="s">
        <v>2873</v>
      </c>
      <c r="O1120" s="2" t="s">
        <v>2482</v>
      </c>
      <c r="P1120" t="s">
        <v>23</v>
      </c>
      <c r="Q1120" t="s">
        <v>881</v>
      </c>
    </row>
    <row r="1121" spans="1:17" ht="15" customHeight="1" x14ac:dyDescent="0.25">
      <c r="A1121" s="3" t="s">
        <v>1641</v>
      </c>
      <c r="B1121" s="4" t="s">
        <v>2876</v>
      </c>
      <c r="C1121" t="s">
        <v>1595</v>
      </c>
      <c r="D1121">
        <v>1</v>
      </c>
      <c r="E1121" t="s">
        <v>974</v>
      </c>
      <c r="F1121" t="s">
        <v>975</v>
      </c>
      <c r="G1121" t="s">
        <v>180</v>
      </c>
      <c r="H1121" s="1" t="s">
        <v>976</v>
      </c>
      <c r="I1121" s="1">
        <v>810</v>
      </c>
      <c r="J1121" s="20">
        <v>3</v>
      </c>
      <c r="K1121" s="1">
        <v>116.66666600000001</v>
      </c>
      <c r="L1121" s="1">
        <v>350</v>
      </c>
      <c r="M1121" s="42" t="s">
        <v>2873</v>
      </c>
      <c r="O1121" s="2" t="s">
        <v>2447</v>
      </c>
      <c r="P1121" t="s">
        <v>24</v>
      </c>
      <c r="Q1121" t="s">
        <v>882</v>
      </c>
    </row>
    <row r="1122" spans="1:17" ht="15" customHeight="1" x14ac:dyDescent="0.25">
      <c r="A1122" s="41" t="s">
        <v>1641</v>
      </c>
      <c r="B1122" s="3" t="s">
        <v>2876</v>
      </c>
      <c r="C1122" s="41" t="s">
        <v>1595</v>
      </c>
      <c r="D1122">
        <v>3</v>
      </c>
      <c r="E1122" t="s">
        <v>1179</v>
      </c>
      <c r="F1122" t="s">
        <v>1180</v>
      </c>
      <c r="G1122" t="s">
        <v>180</v>
      </c>
      <c r="H1122" s="1" t="s">
        <v>976</v>
      </c>
      <c r="I1122" s="1">
        <v>810</v>
      </c>
      <c r="J1122" s="20">
        <v>0</v>
      </c>
      <c r="K1122" s="1">
        <v>90</v>
      </c>
      <c r="L1122" s="1">
        <v>0</v>
      </c>
      <c r="M1122" s="42" t="s">
        <v>2873</v>
      </c>
      <c r="O1122" s="2" t="s">
        <v>2447</v>
      </c>
      <c r="P1122" t="s">
        <v>24</v>
      </c>
      <c r="Q1122" t="s">
        <v>882</v>
      </c>
    </row>
    <row r="1123" spans="1:17" ht="15" customHeight="1" x14ac:dyDescent="0.25">
      <c r="A1123" s="3" t="s">
        <v>1642</v>
      </c>
      <c r="B1123" s="4" t="s">
        <v>2876</v>
      </c>
      <c r="C1123" t="s">
        <v>1595</v>
      </c>
      <c r="D1123">
        <v>1</v>
      </c>
      <c r="E1123" t="s">
        <v>974</v>
      </c>
      <c r="F1123" t="s">
        <v>975</v>
      </c>
      <c r="G1123" t="s">
        <v>180</v>
      </c>
      <c r="H1123" s="1" t="s">
        <v>976</v>
      </c>
      <c r="I1123" s="1">
        <v>810</v>
      </c>
      <c r="J1123" s="20">
        <v>2</v>
      </c>
      <c r="K1123" s="1">
        <v>170</v>
      </c>
      <c r="L1123" s="1">
        <v>340</v>
      </c>
      <c r="M1123" s="42" t="s">
        <v>2873</v>
      </c>
      <c r="O1123" s="2" t="s">
        <v>2447</v>
      </c>
      <c r="P1123" t="s">
        <v>23</v>
      </c>
      <c r="Q1123" t="s">
        <v>882</v>
      </c>
    </row>
    <row r="1124" spans="1:17" ht="15" customHeight="1" x14ac:dyDescent="0.25">
      <c r="A1124" s="41" t="s">
        <v>1642</v>
      </c>
      <c r="B1124" s="3" t="s">
        <v>2876</v>
      </c>
      <c r="C1124" s="41" t="s">
        <v>1595</v>
      </c>
      <c r="D1124">
        <v>3</v>
      </c>
      <c r="E1124" t="s">
        <v>1179</v>
      </c>
      <c r="F1124" t="s">
        <v>1180</v>
      </c>
      <c r="G1124" t="s">
        <v>180</v>
      </c>
      <c r="H1124" s="1" t="s">
        <v>976</v>
      </c>
      <c r="I1124" s="1">
        <v>810</v>
      </c>
      <c r="J1124" s="20">
        <v>0</v>
      </c>
      <c r="K1124" s="1">
        <v>0</v>
      </c>
      <c r="L1124" s="1">
        <v>0</v>
      </c>
      <c r="M1124" s="42" t="s">
        <v>2873</v>
      </c>
      <c r="O1124" s="2" t="s">
        <v>2447</v>
      </c>
      <c r="P1124" t="s">
        <v>23</v>
      </c>
      <c r="Q1124" t="s">
        <v>882</v>
      </c>
    </row>
    <row r="1125" spans="1:17" ht="15" customHeight="1" x14ac:dyDescent="0.25">
      <c r="A1125" s="3" t="s">
        <v>1643</v>
      </c>
      <c r="B1125" s="4" t="s">
        <v>2876</v>
      </c>
      <c r="C1125" t="s">
        <v>1595</v>
      </c>
      <c r="D1125">
        <v>1</v>
      </c>
      <c r="E1125" t="s">
        <v>974</v>
      </c>
      <c r="F1125" t="s">
        <v>975</v>
      </c>
      <c r="G1125" t="s">
        <v>180</v>
      </c>
      <c r="H1125" s="1" t="s">
        <v>976</v>
      </c>
      <c r="I1125" s="1">
        <v>810</v>
      </c>
      <c r="J1125" s="20">
        <v>0</v>
      </c>
      <c r="K1125" s="1">
        <v>0</v>
      </c>
      <c r="L1125" s="1">
        <v>0</v>
      </c>
      <c r="M1125" s="42" t="s">
        <v>2873</v>
      </c>
      <c r="O1125" s="2" t="s">
        <v>2447</v>
      </c>
      <c r="P1125" t="s">
        <v>22</v>
      </c>
      <c r="Q1125" t="s">
        <v>882</v>
      </c>
    </row>
    <row r="1126" spans="1:17" ht="15" customHeight="1" x14ac:dyDescent="0.25">
      <c r="A1126" s="3" t="s">
        <v>2411</v>
      </c>
      <c r="B1126" s="4" t="s">
        <v>2877</v>
      </c>
      <c r="C1126" t="s">
        <v>1595</v>
      </c>
      <c r="D1126">
        <v>1</v>
      </c>
      <c r="E1126" t="s">
        <v>974</v>
      </c>
      <c r="F1126" t="s">
        <v>975</v>
      </c>
      <c r="G1126" t="s">
        <v>976</v>
      </c>
      <c r="H1126" s="1" t="s">
        <v>976</v>
      </c>
      <c r="I1126" s="1">
        <v>870</v>
      </c>
      <c r="J1126" s="20">
        <v>7</v>
      </c>
      <c r="K1126" s="1">
        <v>172</v>
      </c>
      <c r="L1126" s="1">
        <v>1204</v>
      </c>
      <c r="M1126" s="42" t="s">
        <v>2873</v>
      </c>
      <c r="O1126" s="2" t="s">
        <v>2447</v>
      </c>
      <c r="P1126" t="s">
        <v>24</v>
      </c>
      <c r="Q1126" t="s">
        <v>883</v>
      </c>
    </row>
    <row r="1127" spans="1:17" ht="15" customHeight="1" x14ac:dyDescent="0.25">
      <c r="A1127" s="3" t="s">
        <v>2412</v>
      </c>
      <c r="B1127" s="4" t="s">
        <v>2877</v>
      </c>
      <c r="C1127" t="s">
        <v>1595</v>
      </c>
      <c r="D1127">
        <v>1</v>
      </c>
      <c r="E1127" t="s">
        <v>974</v>
      </c>
      <c r="F1127" t="s">
        <v>975</v>
      </c>
      <c r="G1127" t="s">
        <v>976</v>
      </c>
      <c r="H1127" s="1" t="s">
        <v>976</v>
      </c>
      <c r="I1127" s="1">
        <v>870</v>
      </c>
      <c r="J1127" s="20">
        <v>2</v>
      </c>
      <c r="K1127" s="1">
        <v>172</v>
      </c>
      <c r="L1127" s="1">
        <v>344</v>
      </c>
      <c r="M1127" s="42" t="s">
        <v>2873</v>
      </c>
      <c r="O1127" s="2" t="s">
        <v>2447</v>
      </c>
      <c r="P1127" t="s">
        <v>25</v>
      </c>
      <c r="Q1127" t="s">
        <v>883</v>
      </c>
    </row>
    <row r="1128" spans="1:17" ht="15" customHeight="1" x14ac:dyDescent="0.25">
      <c r="A1128" s="3" t="s">
        <v>2413</v>
      </c>
      <c r="B1128" s="4" t="s">
        <v>2877</v>
      </c>
      <c r="C1128" t="s">
        <v>1595</v>
      </c>
      <c r="D1128">
        <v>1</v>
      </c>
      <c r="E1128" t="s">
        <v>974</v>
      </c>
      <c r="F1128" t="s">
        <v>975</v>
      </c>
      <c r="G1128" t="s">
        <v>976</v>
      </c>
      <c r="H1128" s="1" t="s">
        <v>976</v>
      </c>
      <c r="I1128" s="1">
        <v>870</v>
      </c>
      <c r="J1128" s="20">
        <v>14</v>
      </c>
      <c r="K1128" s="1">
        <v>162.94736800000001</v>
      </c>
      <c r="L1128" s="1">
        <v>2281.2600000000002</v>
      </c>
      <c r="M1128" s="42" t="s">
        <v>2873</v>
      </c>
      <c r="O1128" s="2" t="s">
        <v>2447</v>
      </c>
      <c r="P1128" t="s">
        <v>23</v>
      </c>
      <c r="Q1128" t="s">
        <v>883</v>
      </c>
    </row>
    <row r="1129" spans="1:17" ht="15" customHeight="1" x14ac:dyDescent="0.25">
      <c r="A1129" s="3" t="s">
        <v>2414</v>
      </c>
      <c r="B1129" s="4" t="s">
        <v>2877</v>
      </c>
      <c r="C1129" t="s">
        <v>1595</v>
      </c>
      <c r="D1129">
        <v>1</v>
      </c>
      <c r="E1129" t="s">
        <v>974</v>
      </c>
      <c r="F1129" t="s">
        <v>975</v>
      </c>
      <c r="G1129" t="s">
        <v>976</v>
      </c>
      <c r="H1129" s="1" t="s">
        <v>976</v>
      </c>
      <c r="I1129" s="1">
        <v>870</v>
      </c>
      <c r="J1129" s="20">
        <v>9</v>
      </c>
      <c r="K1129" s="1">
        <v>172</v>
      </c>
      <c r="L1129" s="1">
        <v>1548</v>
      </c>
      <c r="M1129" s="42" t="s">
        <v>2873</v>
      </c>
      <c r="O1129" s="2" t="s">
        <v>2447</v>
      </c>
      <c r="P1129" t="s">
        <v>22</v>
      </c>
      <c r="Q1129" t="s">
        <v>883</v>
      </c>
    </row>
    <row r="1130" spans="1:17" ht="15" customHeight="1" x14ac:dyDescent="0.25">
      <c r="A1130" s="3" t="s">
        <v>2415</v>
      </c>
      <c r="B1130" s="4" t="s">
        <v>2877</v>
      </c>
      <c r="C1130" t="s">
        <v>1595</v>
      </c>
      <c r="D1130">
        <v>1</v>
      </c>
      <c r="E1130" t="s">
        <v>974</v>
      </c>
      <c r="F1130" t="s">
        <v>975</v>
      </c>
      <c r="G1130" t="s">
        <v>976</v>
      </c>
      <c r="H1130" s="1" t="s">
        <v>976</v>
      </c>
      <c r="I1130" s="1">
        <v>870</v>
      </c>
      <c r="J1130" s="20">
        <v>2</v>
      </c>
      <c r="K1130" s="1">
        <v>172</v>
      </c>
      <c r="L1130" s="1">
        <v>344</v>
      </c>
      <c r="M1130" s="42" t="s">
        <v>2873</v>
      </c>
      <c r="O1130" s="2" t="s">
        <v>2447</v>
      </c>
      <c r="P1130" t="s">
        <v>21</v>
      </c>
      <c r="Q1130" t="s">
        <v>883</v>
      </c>
    </row>
    <row r="1131" spans="1:17" ht="15" customHeight="1" x14ac:dyDescent="0.25">
      <c r="A1131" s="3" t="s">
        <v>2416</v>
      </c>
      <c r="B1131" s="4" t="s">
        <v>2877</v>
      </c>
      <c r="C1131" t="s">
        <v>1595</v>
      </c>
      <c r="D1131">
        <v>1</v>
      </c>
      <c r="E1131" t="s">
        <v>974</v>
      </c>
      <c r="F1131" t="s">
        <v>975</v>
      </c>
      <c r="G1131" t="s">
        <v>976</v>
      </c>
      <c r="H1131" s="1" t="s">
        <v>976</v>
      </c>
      <c r="I1131" s="1">
        <v>870</v>
      </c>
      <c r="J1131" s="20">
        <v>4</v>
      </c>
      <c r="K1131" s="1">
        <v>172</v>
      </c>
      <c r="L1131" s="1">
        <v>688</v>
      </c>
      <c r="M1131" s="42" t="s">
        <v>2873</v>
      </c>
      <c r="O1131" s="2" t="s">
        <v>2443</v>
      </c>
      <c r="P1131" t="s">
        <v>24</v>
      </c>
      <c r="Q1131" t="s">
        <v>884</v>
      </c>
    </row>
    <row r="1132" spans="1:17" ht="15" customHeight="1" x14ac:dyDescent="0.25">
      <c r="A1132" s="3" t="s">
        <v>2417</v>
      </c>
      <c r="B1132" s="4" t="s">
        <v>2877</v>
      </c>
      <c r="C1132" t="s">
        <v>1595</v>
      </c>
      <c r="D1132">
        <v>1</v>
      </c>
      <c r="E1132" t="s">
        <v>974</v>
      </c>
      <c r="F1132" t="s">
        <v>975</v>
      </c>
      <c r="G1132" t="s">
        <v>976</v>
      </c>
      <c r="H1132" s="1" t="s">
        <v>976</v>
      </c>
      <c r="I1132" s="1">
        <v>870</v>
      </c>
      <c r="J1132" s="20">
        <v>0</v>
      </c>
      <c r="K1132" s="1">
        <v>172</v>
      </c>
      <c r="L1132" s="1">
        <v>0</v>
      </c>
      <c r="M1132" s="42" t="s">
        <v>2873</v>
      </c>
      <c r="O1132" s="2" t="s">
        <v>2443</v>
      </c>
      <c r="P1132" t="s">
        <v>25</v>
      </c>
      <c r="Q1132" t="s">
        <v>884</v>
      </c>
    </row>
    <row r="1133" spans="1:17" ht="15" customHeight="1" x14ac:dyDescent="0.25">
      <c r="A1133" s="3" t="s">
        <v>2418</v>
      </c>
      <c r="B1133" s="4" t="s">
        <v>2877</v>
      </c>
      <c r="C1133" t="s">
        <v>1595</v>
      </c>
      <c r="D1133">
        <v>1</v>
      </c>
      <c r="E1133" t="s">
        <v>974</v>
      </c>
      <c r="F1133" t="s">
        <v>975</v>
      </c>
      <c r="G1133" t="s">
        <v>976</v>
      </c>
      <c r="H1133" s="1" t="s">
        <v>976</v>
      </c>
      <c r="I1133" s="1">
        <v>870</v>
      </c>
      <c r="J1133" s="20">
        <v>14</v>
      </c>
      <c r="K1133" s="1">
        <v>172</v>
      </c>
      <c r="L1133" s="1">
        <v>2408</v>
      </c>
      <c r="M1133" s="42" t="s">
        <v>2873</v>
      </c>
      <c r="O1133" s="2" t="s">
        <v>2443</v>
      </c>
      <c r="P1133" t="s">
        <v>23</v>
      </c>
      <c r="Q1133" t="s">
        <v>884</v>
      </c>
    </row>
    <row r="1134" spans="1:17" ht="15" customHeight="1" x14ac:dyDescent="0.25">
      <c r="A1134" s="3" t="s">
        <v>2419</v>
      </c>
      <c r="B1134" s="4" t="s">
        <v>2877</v>
      </c>
      <c r="C1134" t="s">
        <v>1595</v>
      </c>
      <c r="D1134">
        <v>1</v>
      </c>
      <c r="E1134" t="s">
        <v>974</v>
      </c>
      <c r="F1134" t="s">
        <v>975</v>
      </c>
      <c r="G1134" t="s">
        <v>976</v>
      </c>
      <c r="H1134" s="1" t="s">
        <v>976</v>
      </c>
      <c r="I1134" s="1">
        <v>870</v>
      </c>
      <c r="J1134" s="20">
        <v>3</v>
      </c>
      <c r="K1134" s="1">
        <v>172</v>
      </c>
      <c r="L1134" s="1">
        <v>516</v>
      </c>
      <c r="M1134" s="42" t="s">
        <v>2873</v>
      </c>
      <c r="O1134" s="2" t="s">
        <v>2443</v>
      </c>
      <c r="P1134" t="s">
        <v>22</v>
      </c>
      <c r="Q1134" t="s">
        <v>884</v>
      </c>
    </row>
    <row r="1135" spans="1:17" ht="15" customHeight="1" x14ac:dyDescent="0.25">
      <c r="A1135" s="3" t="s">
        <v>2420</v>
      </c>
      <c r="B1135" s="4" t="s">
        <v>2877</v>
      </c>
      <c r="C1135" t="s">
        <v>1595</v>
      </c>
      <c r="D1135">
        <v>1</v>
      </c>
      <c r="E1135" t="s">
        <v>974</v>
      </c>
      <c r="F1135" t="s">
        <v>975</v>
      </c>
      <c r="G1135" t="s">
        <v>976</v>
      </c>
      <c r="H1135" s="1" t="s">
        <v>976</v>
      </c>
      <c r="I1135" s="1">
        <v>870</v>
      </c>
      <c r="J1135" s="20">
        <v>2</v>
      </c>
      <c r="K1135" s="1">
        <v>172</v>
      </c>
      <c r="L1135" s="1">
        <v>344</v>
      </c>
      <c r="M1135" s="42" t="s">
        <v>2873</v>
      </c>
      <c r="O1135" s="2" t="s">
        <v>2443</v>
      </c>
      <c r="P1135" t="s">
        <v>21</v>
      </c>
      <c r="Q1135" t="s">
        <v>884</v>
      </c>
    </row>
    <row r="1136" spans="1:17" ht="15" customHeight="1" x14ac:dyDescent="0.25">
      <c r="A1136" s="3" t="s">
        <v>1644</v>
      </c>
      <c r="B1136" s="4" t="s">
        <v>2878</v>
      </c>
      <c r="C1136" t="s">
        <v>1595</v>
      </c>
      <c r="D1136">
        <v>1</v>
      </c>
      <c r="E1136" t="s">
        <v>974</v>
      </c>
      <c r="F1136" t="s">
        <v>975</v>
      </c>
      <c r="G1136" t="s">
        <v>180</v>
      </c>
      <c r="H1136" s="1" t="s">
        <v>976</v>
      </c>
      <c r="I1136" s="1">
        <v>615</v>
      </c>
      <c r="J1136" s="20">
        <v>0</v>
      </c>
      <c r="K1136" s="1">
        <v>0</v>
      </c>
      <c r="L1136" s="1">
        <v>0</v>
      </c>
      <c r="M1136" s="42" t="s">
        <v>2873</v>
      </c>
      <c r="O1136" s="2" t="s">
        <v>2443</v>
      </c>
      <c r="Q1136" t="s">
        <v>885</v>
      </c>
    </row>
    <row r="1137" spans="1:17" ht="15" customHeight="1" x14ac:dyDescent="0.25">
      <c r="A1137" s="3" t="s">
        <v>1645</v>
      </c>
      <c r="B1137" s="4" t="s">
        <v>2879</v>
      </c>
      <c r="C1137" t="s">
        <v>1595</v>
      </c>
      <c r="D1137">
        <v>1</v>
      </c>
      <c r="E1137" t="s">
        <v>974</v>
      </c>
      <c r="F1137" t="s">
        <v>975</v>
      </c>
      <c r="G1137" t="s">
        <v>180</v>
      </c>
      <c r="H1137" s="1" t="s">
        <v>976</v>
      </c>
      <c r="I1137" s="1">
        <v>915</v>
      </c>
      <c r="J1137" s="20">
        <v>0</v>
      </c>
      <c r="K1137" s="1">
        <v>176.5</v>
      </c>
      <c r="L1137" s="1">
        <v>0</v>
      </c>
      <c r="M1137" s="42" t="s">
        <v>2873</v>
      </c>
      <c r="O1137" s="2" t="s">
        <v>2443</v>
      </c>
      <c r="Q1137" t="s">
        <v>886</v>
      </c>
    </row>
    <row r="1138" spans="1:17" ht="15" customHeight="1" x14ac:dyDescent="0.25">
      <c r="A1138" s="3" t="s">
        <v>1646</v>
      </c>
      <c r="B1138" s="4" t="s">
        <v>2879</v>
      </c>
      <c r="C1138" t="s">
        <v>1595</v>
      </c>
      <c r="D1138">
        <v>1</v>
      </c>
      <c r="E1138" t="s">
        <v>974</v>
      </c>
      <c r="F1138" t="s">
        <v>975</v>
      </c>
      <c r="G1138" t="s">
        <v>180</v>
      </c>
      <c r="H1138" s="1" t="s">
        <v>976</v>
      </c>
      <c r="I1138" s="1">
        <v>915</v>
      </c>
      <c r="J1138" s="20">
        <v>0</v>
      </c>
      <c r="K1138" s="1">
        <v>178.66666599999999</v>
      </c>
      <c r="L1138" s="1">
        <v>0</v>
      </c>
      <c r="M1138" s="42" t="s">
        <v>2873</v>
      </c>
      <c r="O1138" s="2" t="s">
        <v>2443</v>
      </c>
      <c r="Q1138" t="s">
        <v>886</v>
      </c>
    </row>
    <row r="1139" spans="1:17" ht="15" customHeight="1" x14ac:dyDescent="0.25">
      <c r="A1139" s="3" t="s">
        <v>1647</v>
      </c>
      <c r="B1139" s="4" t="s">
        <v>2879</v>
      </c>
      <c r="C1139" t="s">
        <v>1595</v>
      </c>
      <c r="D1139">
        <v>1</v>
      </c>
      <c r="E1139" t="s">
        <v>974</v>
      </c>
      <c r="F1139" t="s">
        <v>975</v>
      </c>
      <c r="G1139" t="s">
        <v>180</v>
      </c>
      <c r="H1139" s="1" t="s">
        <v>976</v>
      </c>
      <c r="I1139" s="1">
        <v>915</v>
      </c>
      <c r="J1139" s="20">
        <v>0</v>
      </c>
      <c r="K1139" s="1">
        <v>0</v>
      </c>
      <c r="L1139" s="1">
        <v>0</v>
      </c>
      <c r="M1139" s="42" t="s">
        <v>2873</v>
      </c>
      <c r="O1139" s="2" t="s">
        <v>2443</v>
      </c>
      <c r="P1139" t="s">
        <v>22</v>
      </c>
      <c r="Q1139" t="s">
        <v>886</v>
      </c>
    </row>
    <row r="1140" spans="1:17" ht="15" customHeight="1" x14ac:dyDescent="0.25">
      <c r="A1140" s="3" t="s">
        <v>1648</v>
      </c>
      <c r="B1140" s="4" t="s">
        <v>2880</v>
      </c>
      <c r="C1140" t="s">
        <v>1595</v>
      </c>
      <c r="D1140">
        <v>1</v>
      </c>
      <c r="E1140" t="s">
        <v>974</v>
      </c>
      <c r="F1140" t="s">
        <v>975</v>
      </c>
      <c r="G1140" t="s">
        <v>180</v>
      </c>
      <c r="H1140" s="1" t="s">
        <v>976</v>
      </c>
      <c r="I1140" s="1">
        <v>740</v>
      </c>
      <c r="J1140" s="20">
        <v>2</v>
      </c>
      <c r="K1140" s="1">
        <v>132.19999999999999</v>
      </c>
      <c r="L1140" s="1">
        <v>264.39999999999998</v>
      </c>
      <c r="M1140" s="42" t="s">
        <v>2873</v>
      </c>
      <c r="O1140" s="2" t="s">
        <v>2447</v>
      </c>
      <c r="P1140" t="s">
        <v>24</v>
      </c>
      <c r="Q1140" t="s">
        <v>887</v>
      </c>
    </row>
    <row r="1141" spans="1:17" ht="15" customHeight="1" x14ac:dyDescent="0.25">
      <c r="A1141" s="3" t="s">
        <v>1649</v>
      </c>
      <c r="B1141" s="4" t="s">
        <v>2880</v>
      </c>
      <c r="C1141" t="s">
        <v>1595</v>
      </c>
      <c r="D1141">
        <v>1</v>
      </c>
      <c r="E1141" t="s">
        <v>974</v>
      </c>
      <c r="F1141" t="s">
        <v>975</v>
      </c>
      <c r="G1141" t="s">
        <v>180</v>
      </c>
      <c r="H1141" s="1" t="s">
        <v>976</v>
      </c>
      <c r="I1141" s="1">
        <v>740</v>
      </c>
      <c r="J1141" s="20">
        <v>5</v>
      </c>
      <c r="K1141" s="1">
        <v>132.19999999999999</v>
      </c>
      <c r="L1141" s="1">
        <v>661</v>
      </c>
      <c r="M1141" s="42" t="s">
        <v>2873</v>
      </c>
      <c r="O1141" s="2" t="s">
        <v>2447</v>
      </c>
      <c r="P1141" t="s">
        <v>23</v>
      </c>
      <c r="Q1141" t="s">
        <v>887</v>
      </c>
    </row>
    <row r="1142" spans="1:17" ht="15" customHeight="1" x14ac:dyDescent="0.25">
      <c r="A1142" s="3" t="s">
        <v>1650</v>
      </c>
      <c r="B1142" s="4" t="s">
        <v>2880</v>
      </c>
      <c r="C1142" t="s">
        <v>1595</v>
      </c>
      <c r="D1142">
        <v>1</v>
      </c>
      <c r="E1142" t="s">
        <v>974</v>
      </c>
      <c r="F1142" t="s">
        <v>975</v>
      </c>
      <c r="G1142" t="s">
        <v>180</v>
      </c>
      <c r="H1142" s="1" t="s">
        <v>976</v>
      </c>
      <c r="I1142" s="1">
        <v>740</v>
      </c>
      <c r="J1142" s="20">
        <v>2</v>
      </c>
      <c r="K1142" s="1">
        <v>132.19999999999999</v>
      </c>
      <c r="L1142" s="1">
        <v>264.39999999999998</v>
      </c>
      <c r="M1142" s="42" t="s">
        <v>2873</v>
      </c>
      <c r="O1142" s="2" t="s">
        <v>2447</v>
      </c>
      <c r="P1142" t="s">
        <v>22</v>
      </c>
      <c r="Q1142" t="s">
        <v>887</v>
      </c>
    </row>
    <row r="1143" spans="1:17" ht="15" customHeight="1" x14ac:dyDescent="0.25">
      <c r="A1143" s="3" t="s">
        <v>1651</v>
      </c>
      <c r="B1143" s="4" t="s">
        <v>329</v>
      </c>
      <c r="C1143" t="s">
        <v>1595</v>
      </c>
      <c r="D1143">
        <v>1</v>
      </c>
      <c r="E1143" t="s">
        <v>974</v>
      </c>
      <c r="F1143" t="s">
        <v>975</v>
      </c>
      <c r="G1143" t="s">
        <v>180</v>
      </c>
      <c r="H1143" s="1" t="s">
        <v>976</v>
      </c>
      <c r="I1143" s="1">
        <v>740</v>
      </c>
      <c r="J1143" s="20">
        <v>4</v>
      </c>
      <c r="K1143" s="1">
        <v>104.59</v>
      </c>
      <c r="L1143" s="1">
        <v>418.36</v>
      </c>
      <c r="M1143" s="42" t="s">
        <v>2873</v>
      </c>
      <c r="P1143" t="s">
        <v>24</v>
      </c>
      <c r="Q1143" t="s">
        <v>329</v>
      </c>
    </row>
    <row r="1144" spans="1:17" ht="15" customHeight="1" x14ac:dyDescent="0.25">
      <c r="A1144" s="3" t="s">
        <v>1652</v>
      </c>
      <c r="B1144" s="4" t="s">
        <v>330</v>
      </c>
      <c r="C1144" t="s">
        <v>1595</v>
      </c>
      <c r="D1144">
        <v>1</v>
      </c>
      <c r="E1144" t="s">
        <v>974</v>
      </c>
      <c r="F1144" t="s">
        <v>975</v>
      </c>
      <c r="G1144" t="s">
        <v>180</v>
      </c>
      <c r="H1144" s="1" t="s">
        <v>976</v>
      </c>
      <c r="I1144" s="1">
        <v>740</v>
      </c>
      <c r="J1144" s="20">
        <v>1</v>
      </c>
      <c r="K1144" s="1">
        <v>104.59</v>
      </c>
      <c r="L1144" s="1">
        <v>104.59</v>
      </c>
      <c r="M1144" s="42" t="s">
        <v>2873</v>
      </c>
      <c r="P1144" t="s">
        <v>25</v>
      </c>
      <c r="Q1144" t="s">
        <v>330</v>
      </c>
    </row>
    <row r="1145" spans="1:17" ht="15" customHeight="1" x14ac:dyDescent="0.25">
      <c r="A1145" s="3" t="s">
        <v>1653</v>
      </c>
      <c r="B1145" s="4" t="s">
        <v>331</v>
      </c>
      <c r="C1145" t="s">
        <v>1595</v>
      </c>
      <c r="D1145">
        <v>1</v>
      </c>
      <c r="E1145" t="s">
        <v>974</v>
      </c>
      <c r="F1145" t="s">
        <v>975</v>
      </c>
      <c r="G1145" t="s">
        <v>180</v>
      </c>
      <c r="H1145" s="1" t="s">
        <v>976</v>
      </c>
      <c r="I1145" s="1">
        <v>740</v>
      </c>
      <c r="J1145" s="20">
        <v>0</v>
      </c>
      <c r="K1145" s="1">
        <v>104.59</v>
      </c>
      <c r="L1145" s="1">
        <v>0</v>
      </c>
      <c r="M1145" s="42" t="s">
        <v>2873</v>
      </c>
      <c r="P1145" t="s">
        <v>23</v>
      </c>
      <c r="Q1145" t="s">
        <v>331</v>
      </c>
    </row>
    <row r="1146" spans="1:17" ht="15" customHeight="1" x14ac:dyDescent="0.25">
      <c r="A1146" s="3" t="s">
        <v>1654</v>
      </c>
      <c r="B1146" s="4" t="s">
        <v>332</v>
      </c>
      <c r="C1146" t="s">
        <v>1595</v>
      </c>
      <c r="D1146">
        <v>1</v>
      </c>
      <c r="E1146" t="s">
        <v>974</v>
      </c>
      <c r="F1146" t="s">
        <v>975</v>
      </c>
      <c r="G1146" t="s">
        <v>180</v>
      </c>
      <c r="H1146" s="1" t="s">
        <v>976</v>
      </c>
      <c r="I1146" s="1">
        <v>740</v>
      </c>
      <c r="J1146" s="20">
        <v>0</v>
      </c>
      <c r="K1146" s="1">
        <v>104.59</v>
      </c>
      <c r="L1146" s="1">
        <v>0</v>
      </c>
      <c r="M1146" s="42" t="s">
        <v>2873</v>
      </c>
      <c r="P1146" t="s">
        <v>22</v>
      </c>
      <c r="Q1146" t="s">
        <v>332</v>
      </c>
    </row>
    <row r="1147" spans="1:17" ht="15" customHeight="1" x14ac:dyDescent="0.25">
      <c r="A1147" s="3" t="s">
        <v>1655</v>
      </c>
      <c r="B1147" s="4" t="s">
        <v>2880</v>
      </c>
      <c r="C1147" t="s">
        <v>1595</v>
      </c>
      <c r="D1147">
        <v>1</v>
      </c>
      <c r="E1147" t="s">
        <v>974</v>
      </c>
      <c r="F1147" t="s">
        <v>975</v>
      </c>
      <c r="G1147" t="s">
        <v>180</v>
      </c>
      <c r="H1147" s="1" t="s">
        <v>976</v>
      </c>
      <c r="I1147" s="1">
        <v>740</v>
      </c>
      <c r="J1147" s="20">
        <v>3</v>
      </c>
      <c r="K1147" s="1">
        <v>132.19999999999999</v>
      </c>
      <c r="L1147" s="1">
        <v>396.6</v>
      </c>
      <c r="M1147" s="42" t="s">
        <v>2873</v>
      </c>
      <c r="O1147" s="2" t="s">
        <v>2482</v>
      </c>
      <c r="P1147" t="s">
        <v>24</v>
      </c>
      <c r="Q1147" t="s">
        <v>888</v>
      </c>
    </row>
    <row r="1148" spans="1:17" ht="15" customHeight="1" x14ac:dyDescent="0.25">
      <c r="A1148" s="3" t="s">
        <v>1656</v>
      </c>
      <c r="B1148" s="4" t="s">
        <v>2880</v>
      </c>
      <c r="C1148" t="s">
        <v>1595</v>
      </c>
      <c r="D1148">
        <v>1</v>
      </c>
      <c r="E1148" t="s">
        <v>974</v>
      </c>
      <c r="F1148" t="s">
        <v>975</v>
      </c>
      <c r="G1148" t="s">
        <v>180</v>
      </c>
      <c r="H1148" s="1" t="s">
        <v>976</v>
      </c>
      <c r="I1148" s="1">
        <v>585</v>
      </c>
      <c r="J1148" s="20">
        <v>0</v>
      </c>
      <c r="K1148" s="1">
        <v>104.59</v>
      </c>
      <c r="L1148" s="1">
        <v>0</v>
      </c>
      <c r="M1148" s="42" t="s">
        <v>2873</v>
      </c>
      <c r="O1148" s="2" t="s">
        <v>2482</v>
      </c>
      <c r="P1148" t="s">
        <v>25</v>
      </c>
      <c r="Q1148" t="s">
        <v>888</v>
      </c>
    </row>
    <row r="1149" spans="1:17" ht="15" customHeight="1" x14ac:dyDescent="0.25">
      <c r="A1149" s="3" t="s">
        <v>1657</v>
      </c>
      <c r="B1149" s="4" t="s">
        <v>2880</v>
      </c>
      <c r="C1149" t="s">
        <v>1595</v>
      </c>
      <c r="D1149">
        <v>1</v>
      </c>
      <c r="E1149" t="s">
        <v>974</v>
      </c>
      <c r="F1149" t="s">
        <v>975</v>
      </c>
      <c r="G1149" t="s">
        <v>180</v>
      </c>
      <c r="H1149" s="1" t="s">
        <v>976</v>
      </c>
      <c r="I1149" s="1">
        <v>740</v>
      </c>
      <c r="J1149" s="20">
        <v>0</v>
      </c>
      <c r="K1149" s="1">
        <v>132.19999999999999</v>
      </c>
      <c r="L1149" s="1">
        <v>0</v>
      </c>
      <c r="M1149" s="42" t="s">
        <v>2873</v>
      </c>
      <c r="O1149" s="2" t="s">
        <v>2482</v>
      </c>
      <c r="P1149" t="s">
        <v>23</v>
      </c>
      <c r="Q1149" t="s">
        <v>888</v>
      </c>
    </row>
    <row r="1150" spans="1:17" ht="15" customHeight="1" x14ac:dyDescent="0.25">
      <c r="A1150" s="3" t="s">
        <v>1658</v>
      </c>
      <c r="B1150" s="4" t="s">
        <v>2880</v>
      </c>
      <c r="C1150" t="s">
        <v>1595</v>
      </c>
      <c r="D1150">
        <v>1</v>
      </c>
      <c r="E1150" t="s">
        <v>974</v>
      </c>
      <c r="F1150" t="s">
        <v>975</v>
      </c>
      <c r="G1150" t="s">
        <v>180</v>
      </c>
      <c r="H1150" s="1" t="s">
        <v>976</v>
      </c>
      <c r="I1150" s="1">
        <v>740</v>
      </c>
      <c r="J1150" s="20">
        <v>6</v>
      </c>
      <c r="K1150" s="1">
        <v>130.22999999999999</v>
      </c>
      <c r="L1150" s="1">
        <v>781.38</v>
      </c>
      <c r="M1150" s="42" t="s">
        <v>2873</v>
      </c>
      <c r="O1150" s="2" t="s">
        <v>2482</v>
      </c>
      <c r="P1150" t="s">
        <v>22</v>
      </c>
      <c r="Q1150" t="s">
        <v>888</v>
      </c>
    </row>
    <row r="1151" spans="1:17" ht="15" customHeight="1" x14ac:dyDescent="0.25">
      <c r="A1151" s="3" t="s">
        <v>1659</v>
      </c>
      <c r="B1151" s="4" t="s">
        <v>333</v>
      </c>
      <c r="C1151" t="s">
        <v>1595</v>
      </c>
      <c r="D1151">
        <v>1</v>
      </c>
      <c r="E1151" t="s">
        <v>974</v>
      </c>
      <c r="F1151" t="s">
        <v>975</v>
      </c>
      <c r="G1151" t="s">
        <v>180</v>
      </c>
      <c r="H1151" s="1" t="s">
        <v>976</v>
      </c>
      <c r="I1151" s="1">
        <v>1480</v>
      </c>
      <c r="J1151" s="20">
        <v>0</v>
      </c>
      <c r="K1151" s="1">
        <v>200</v>
      </c>
      <c r="L1151" s="1">
        <v>0</v>
      </c>
      <c r="M1151" s="42" t="s">
        <v>2873</v>
      </c>
      <c r="P1151" t="s">
        <v>23</v>
      </c>
      <c r="Q1151" t="s">
        <v>333</v>
      </c>
    </row>
    <row r="1152" spans="1:17" ht="15" customHeight="1" x14ac:dyDescent="0.25">
      <c r="A1152" s="3" t="s">
        <v>1660</v>
      </c>
      <c r="B1152" s="4" t="s">
        <v>2881</v>
      </c>
      <c r="C1152" t="s">
        <v>1595</v>
      </c>
      <c r="D1152">
        <v>1</v>
      </c>
      <c r="E1152" t="s">
        <v>974</v>
      </c>
      <c r="F1152" t="s">
        <v>975</v>
      </c>
      <c r="G1152" t="s">
        <v>180</v>
      </c>
      <c r="H1152" s="1" t="s">
        <v>976</v>
      </c>
      <c r="I1152" s="1">
        <v>630</v>
      </c>
      <c r="J1152" s="20">
        <v>1</v>
      </c>
      <c r="K1152" s="1">
        <v>112.68</v>
      </c>
      <c r="L1152" s="1">
        <v>112.68</v>
      </c>
      <c r="M1152" s="42" t="s">
        <v>2873</v>
      </c>
      <c r="O1152" s="2" t="s">
        <v>2447</v>
      </c>
      <c r="P1152" t="s">
        <v>24</v>
      </c>
      <c r="Q1152" t="s">
        <v>889</v>
      </c>
    </row>
    <row r="1153" spans="1:17" ht="15" customHeight="1" x14ac:dyDescent="0.25">
      <c r="A1153" s="41" t="s">
        <v>1660</v>
      </c>
      <c r="B1153" s="3" t="s">
        <v>2881</v>
      </c>
      <c r="C1153" s="41" t="s">
        <v>1595</v>
      </c>
      <c r="D1153">
        <v>3</v>
      </c>
      <c r="E1153" t="s">
        <v>1179</v>
      </c>
      <c r="F1153" t="s">
        <v>1180</v>
      </c>
      <c r="G1153" t="s">
        <v>180</v>
      </c>
      <c r="H1153" s="1" t="s">
        <v>976</v>
      </c>
      <c r="I1153" s="1">
        <v>630</v>
      </c>
      <c r="J1153" s="20">
        <v>0</v>
      </c>
      <c r="K1153" s="1">
        <v>112.68</v>
      </c>
      <c r="L1153" s="1">
        <v>0</v>
      </c>
      <c r="M1153" s="42" t="s">
        <v>2873</v>
      </c>
      <c r="O1153" s="2" t="s">
        <v>2447</v>
      </c>
      <c r="P1153" t="s">
        <v>24</v>
      </c>
      <c r="Q1153" t="s">
        <v>889</v>
      </c>
    </row>
    <row r="1154" spans="1:17" ht="15" customHeight="1" x14ac:dyDescent="0.25">
      <c r="A1154" s="3" t="s">
        <v>1661</v>
      </c>
      <c r="B1154" s="4" t="s">
        <v>2881</v>
      </c>
      <c r="C1154" t="s">
        <v>1595</v>
      </c>
      <c r="D1154">
        <v>1</v>
      </c>
      <c r="E1154" t="s">
        <v>974</v>
      </c>
      <c r="F1154" t="s">
        <v>975</v>
      </c>
      <c r="G1154" t="s">
        <v>976</v>
      </c>
      <c r="H1154" s="1" t="s">
        <v>976</v>
      </c>
      <c r="I1154" s="1">
        <v>630</v>
      </c>
      <c r="J1154" s="20">
        <v>1</v>
      </c>
      <c r="K1154" s="1">
        <v>112.68</v>
      </c>
      <c r="L1154" s="1">
        <v>112.68</v>
      </c>
      <c r="M1154" s="42" t="s">
        <v>2873</v>
      </c>
      <c r="O1154" s="2" t="s">
        <v>2447</v>
      </c>
      <c r="P1154" t="s">
        <v>25</v>
      </c>
      <c r="Q1154" t="s">
        <v>889</v>
      </c>
    </row>
    <row r="1155" spans="1:17" ht="15" customHeight="1" x14ac:dyDescent="0.25">
      <c r="A1155" s="3" t="s">
        <v>1662</v>
      </c>
      <c r="B1155" s="4" t="s">
        <v>2881</v>
      </c>
      <c r="C1155" t="s">
        <v>1595</v>
      </c>
      <c r="D1155">
        <v>1</v>
      </c>
      <c r="E1155" t="s">
        <v>974</v>
      </c>
      <c r="F1155" t="s">
        <v>975</v>
      </c>
      <c r="G1155" t="s">
        <v>976</v>
      </c>
      <c r="H1155" s="1" t="s">
        <v>976</v>
      </c>
      <c r="I1155" s="1">
        <v>630</v>
      </c>
      <c r="J1155" s="20">
        <v>0</v>
      </c>
      <c r="K1155" s="1">
        <v>112.68</v>
      </c>
      <c r="L1155" s="1">
        <v>0</v>
      </c>
      <c r="M1155" s="42" t="s">
        <v>2873</v>
      </c>
      <c r="O1155" s="2" t="s">
        <v>2447</v>
      </c>
      <c r="P1155" t="s">
        <v>23</v>
      </c>
      <c r="Q1155" t="s">
        <v>889</v>
      </c>
    </row>
    <row r="1156" spans="1:17" ht="15" customHeight="1" x14ac:dyDescent="0.25">
      <c r="A1156" s="41" t="s">
        <v>1662</v>
      </c>
      <c r="B1156" s="3" t="s">
        <v>2881</v>
      </c>
      <c r="C1156" s="41" t="s">
        <v>1595</v>
      </c>
      <c r="D1156">
        <v>3</v>
      </c>
      <c r="E1156" t="s">
        <v>1179</v>
      </c>
      <c r="F1156" t="s">
        <v>1180</v>
      </c>
      <c r="G1156" t="s">
        <v>976</v>
      </c>
      <c r="H1156" s="1" t="s">
        <v>976</v>
      </c>
      <c r="I1156" s="1">
        <v>630</v>
      </c>
      <c r="J1156" s="20">
        <v>0</v>
      </c>
      <c r="K1156" s="1">
        <v>112.68</v>
      </c>
      <c r="L1156" s="1">
        <v>0</v>
      </c>
      <c r="M1156" s="42" t="s">
        <v>2873</v>
      </c>
      <c r="O1156" s="2" t="s">
        <v>2447</v>
      </c>
      <c r="P1156" t="s">
        <v>23</v>
      </c>
      <c r="Q1156" t="s">
        <v>889</v>
      </c>
    </row>
    <row r="1157" spans="1:17" ht="15" customHeight="1" x14ac:dyDescent="0.25">
      <c r="A1157" s="3" t="s">
        <v>1663</v>
      </c>
      <c r="B1157" s="4" t="s">
        <v>2881</v>
      </c>
      <c r="C1157" t="s">
        <v>1595</v>
      </c>
      <c r="D1157">
        <v>1</v>
      </c>
      <c r="E1157" t="s">
        <v>974</v>
      </c>
      <c r="F1157" t="s">
        <v>975</v>
      </c>
      <c r="G1157" t="s">
        <v>180</v>
      </c>
      <c r="H1157" s="1" t="s">
        <v>976</v>
      </c>
      <c r="I1157" s="1">
        <v>630</v>
      </c>
      <c r="J1157" s="20">
        <v>0</v>
      </c>
      <c r="K1157" s="1">
        <v>112.68</v>
      </c>
      <c r="L1157" s="1">
        <v>0</v>
      </c>
      <c r="M1157" s="42" t="s">
        <v>2873</v>
      </c>
      <c r="O1157" s="2" t="s">
        <v>2447</v>
      </c>
      <c r="P1157" t="s">
        <v>22</v>
      </c>
      <c r="Q1157" t="s">
        <v>889</v>
      </c>
    </row>
    <row r="1158" spans="1:17" ht="15" customHeight="1" x14ac:dyDescent="0.25">
      <c r="A1158" s="41" t="s">
        <v>1663</v>
      </c>
      <c r="B1158" s="3" t="s">
        <v>2881</v>
      </c>
      <c r="C1158" s="41" t="s">
        <v>1595</v>
      </c>
      <c r="D1158">
        <v>3</v>
      </c>
      <c r="E1158" t="s">
        <v>1179</v>
      </c>
      <c r="F1158" t="s">
        <v>1180</v>
      </c>
      <c r="G1158" t="s">
        <v>180</v>
      </c>
      <c r="H1158" s="1" t="s">
        <v>976</v>
      </c>
      <c r="I1158" s="1">
        <v>630</v>
      </c>
      <c r="J1158" s="20">
        <v>0</v>
      </c>
      <c r="K1158" s="1">
        <v>112.68</v>
      </c>
      <c r="L1158" s="1">
        <v>0</v>
      </c>
      <c r="M1158" s="42" t="s">
        <v>2873</v>
      </c>
      <c r="O1158" s="2" t="s">
        <v>2447</v>
      </c>
      <c r="P1158" t="s">
        <v>22</v>
      </c>
      <c r="Q1158" t="s">
        <v>889</v>
      </c>
    </row>
    <row r="1159" spans="1:17" ht="15" customHeight="1" x14ac:dyDescent="0.25">
      <c r="A1159" s="3" t="s">
        <v>1664</v>
      </c>
      <c r="B1159" s="4" t="s">
        <v>2882</v>
      </c>
      <c r="C1159" t="s">
        <v>1595</v>
      </c>
      <c r="D1159">
        <v>1</v>
      </c>
      <c r="E1159" t="s">
        <v>974</v>
      </c>
      <c r="F1159" t="s">
        <v>975</v>
      </c>
      <c r="G1159" t="s">
        <v>180</v>
      </c>
      <c r="H1159" s="1" t="s">
        <v>976</v>
      </c>
      <c r="I1159" s="1">
        <v>630</v>
      </c>
      <c r="J1159" s="20">
        <v>2</v>
      </c>
      <c r="K1159" s="1">
        <v>99.22</v>
      </c>
      <c r="L1159" s="1">
        <v>198.44</v>
      </c>
      <c r="M1159" s="42" t="s">
        <v>2873</v>
      </c>
      <c r="O1159" s="2" t="s">
        <v>2447</v>
      </c>
      <c r="P1159" t="s">
        <v>24</v>
      </c>
      <c r="Q1159" t="s">
        <v>890</v>
      </c>
    </row>
    <row r="1160" spans="1:17" ht="15" customHeight="1" x14ac:dyDescent="0.25">
      <c r="A1160" s="3" t="s">
        <v>1665</v>
      </c>
      <c r="B1160" s="4" t="s">
        <v>2882</v>
      </c>
      <c r="C1160" t="s">
        <v>1595</v>
      </c>
      <c r="D1160">
        <v>1</v>
      </c>
      <c r="E1160" t="s">
        <v>974</v>
      </c>
      <c r="F1160" t="s">
        <v>975</v>
      </c>
      <c r="G1160" t="s">
        <v>180</v>
      </c>
      <c r="H1160" s="1" t="s">
        <v>976</v>
      </c>
      <c r="I1160" s="1">
        <v>630</v>
      </c>
      <c r="J1160" s="20">
        <v>0</v>
      </c>
      <c r="K1160" s="1">
        <v>99.22</v>
      </c>
      <c r="L1160" s="1">
        <v>0</v>
      </c>
      <c r="M1160" s="42" t="s">
        <v>2873</v>
      </c>
      <c r="O1160" s="2" t="s">
        <v>2447</v>
      </c>
      <c r="P1160" t="s">
        <v>25</v>
      </c>
      <c r="Q1160" t="s">
        <v>890</v>
      </c>
    </row>
    <row r="1161" spans="1:17" ht="15" customHeight="1" x14ac:dyDescent="0.25">
      <c r="A1161" s="3" t="s">
        <v>1666</v>
      </c>
      <c r="B1161" s="4" t="s">
        <v>2882</v>
      </c>
      <c r="C1161" t="s">
        <v>1595</v>
      </c>
      <c r="D1161">
        <v>1</v>
      </c>
      <c r="E1161" t="s">
        <v>974</v>
      </c>
      <c r="F1161" t="s">
        <v>975</v>
      </c>
      <c r="G1161" t="s">
        <v>180</v>
      </c>
      <c r="H1161" s="1" t="s">
        <v>976</v>
      </c>
      <c r="I1161" s="1">
        <v>630</v>
      </c>
      <c r="J1161" s="20">
        <v>2</v>
      </c>
      <c r="K1161" s="1">
        <v>99.22</v>
      </c>
      <c r="L1161" s="1">
        <v>198.44</v>
      </c>
      <c r="M1161" s="42" t="s">
        <v>2873</v>
      </c>
      <c r="O1161" s="2" t="s">
        <v>2447</v>
      </c>
      <c r="P1161" t="s">
        <v>23</v>
      </c>
      <c r="Q1161" t="s">
        <v>890</v>
      </c>
    </row>
    <row r="1162" spans="1:17" ht="15" customHeight="1" x14ac:dyDescent="0.25">
      <c r="A1162" s="3" t="s">
        <v>1667</v>
      </c>
      <c r="B1162" s="4" t="s">
        <v>2882</v>
      </c>
      <c r="C1162" t="s">
        <v>1595</v>
      </c>
      <c r="D1162">
        <v>1</v>
      </c>
      <c r="E1162" t="s">
        <v>974</v>
      </c>
      <c r="F1162" t="s">
        <v>975</v>
      </c>
      <c r="G1162" t="s">
        <v>180</v>
      </c>
      <c r="H1162" s="1" t="s">
        <v>976</v>
      </c>
      <c r="I1162" s="1">
        <v>630</v>
      </c>
      <c r="J1162" s="20">
        <v>0</v>
      </c>
      <c r="K1162" s="1">
        <v>99.22</v>
      </c>
      <c r="L1162" s="1">
        <v>0</v>
      </c>
      <c r="M1162" s="42" t="s">
        <v>2873</v>
      </c>
      <c r="O1162" s="2" t="s">
        <v>2447</v>
      </c>
      <c r="P1162" t="s">
        <v>22</v>
      </c>
      <c r="Q1162" t="s">
        <v>890</v>
      </c>
    </row>
    <row r="1163" spans="1:17" ht="15" customHeight="1" x14ac:dyDescent="0.25">
      <c r="A1163" s="3" t="s">
        <v>1668</v>
      </c>
      <c r="B1163" s="4" t="s">
        <v>2883</v>
      </c>
      <c r="C1163" t="s">
        <v>1595</v>
      </c>
      <c r="D1163">
        <v>1</v>
      </c>
      <c r="E1163" t="s">
        <v>974</v>
      </c>
      <c r="F1163" t="s">
        <v>975</v>
      </c>
      <c r="G1163" t="s">
        <v>180</v>
      </c>
      <c r="H1163" s="1" t="s">
        <v>976</v>
      </c>
      <c r="I1163" s="1">
        <v>630</v>
      </c>
      <c r="J1163" s="20">
        <v>2</v>
      </c>
      <c r="K1163" s="1">
        <v>109.53</v>
      </c>
      <c r="L1163" s="1">
        <v>219.06</v>
      </c>
      <c r="M1163" s="42" t="s">
        <v>2873</v>
      </c>
      <c r="O1163" s="2" t="s">
        <v>2528</v>
      </c>
      <c r="P1163" t="s">
        <v>24</v>
      </c>
      <c r="Q1163" t="s">
        <v>891</v>
      </c>
    </row>
    <row r="1164" spans="1:17" ht="15" customHeight="1" x14ac:dyDescent="0.25">
      <c r="A1164" s="3" t="s">
        <v>1669</v>
      </c>
      <c r="B1164" s="4" t="s">
        <v>2883</v>
      </c>
      <c r="C1164" t="s">
        <v>1595</v>
      </c>
      <c r="D1164">
        <v>1</v>
      </c>
      <c r="E1164" t="s">
        <v>974</v>
      </c>
      <c r="F1164" t="s">
        <v>975</v>
      </c>
      <c r="G1164" t="s">
        <v>180</v>
      </c>
      <c r="H1164" s="1" t="s">
        <v>976</v>
      </c>
      <c r="I1164" s="1">
        <v>630</v>
      </c>
      <c r="J1164" s="20">
        <v>1</v>
      </c>
      <c r="K1164" s="1">
        <v>109.53</v>
      </c>
      <c r="L1164" s="1">
        <v>109.53</v>
      </c>
      <c r="M1164" s="42" t="s">
        <v>2873</v>
      </c>
      <c r="O1164" s="2" t="s">
        <v>2528</v>
      </c>
      <c r="P1164" t="s">
        <v>25</v>
      </c>
      <c r="Q1164" t="s">
        <v>891</v>
      </c>
    </row>
    <row r="1165" spans="1:17" ht="15" customHeight="1" x14ac:dyDescent="0.25">
      <c r="A1165" s="3" t="s">
        <v>1670</v>
      </c>
      <c r="B1165" s="4" t="s">
        <v>2883</v>
      </c>
      <c r="C1165" t="s">
        <v>1595</v>
      </c>
      <c r="D1165">
        <v>1</v>
      </c>
      <c r="E1165" t="s">
        <v>974</v>
      </c>
      <c r="F1165" t="s">
        <v>975</v>
      </c>
      <c r="G1165" t="s">
        <v>180</v>
      </c>
      <c r="H1165" s="1" t="s">
        <v>976</v>
      </c>
      <c r="I1165" s="1">
        <v>630</v>
      </c>
      <c r="J1165" s="20">
        <v>3</v>
      </c>
      <c r="K1165" s="1">
        <v>109.53</v>
      </c>
      <c r="L1165" s="1">
        <v>328.59</v>
      </c>
      <c r="M1165" s="42" t="s">
        <v>2873</v>
      </c>
      <c r="O1165" s="2" t="s">
        <v>2528</v>
      </c>
      <c r="P1165" t="s">
        <v>23</v>
      </c>
      <c r="Q1165" t="s">
        <v>891</v>
      </c>
    </row>
    <row r="1166" spans="1:17" ht="15" customHeight="1" x14ac:dyDescent="0.25">
      <c r="A1166" s="3" t="s">
        <v>1671</v>
      </c>
      <c r="B1166" s="4" t="s">
        <v>2883</v>
      </c>
      <c r="C1166" t="s">
        <v>1595</v>
      </c>
      <c r="D1166">
        <v>1</v>
      </c>
      <c r="E1166" t="s">
        <v>974</v>
      </c>
      <c r="F1166" t="s">
        <v>975</v>
      </c>
      <c r="G1166" t="s">
        <v>180</v>
      </c>
      <c r="H1166" s="1" t="s">
        <v>976</v>
      </c>
      <c r="I1166" s="1">
        <v>630</v>
      </c>
      <c r="J1166" s="20">
        <v>2</v>
      </c>
      <c r="K1166" s="1">
        <v>109.53</v>
      </c>
      <c r="L1166" s="1">
        <v>219.06</v>
      </c>
      <c r="M1166" s="42" t="s">
        <v>2873</v>
      </c>
      <c r="O1166" s="2" t="s">
        <v>2528</v>
      </c>
      <c r="P1166" t="s">
        <v>22</v>
      </c>
      <c r="Q1166" t="s">
        <v>891</v>
      </c>
    </row>
    <row r="1167" spans="1:17" ht="15" customHeight="1" x14ac:dyDescent="0.25">
      <c r="A1167" s="3" t="s">
        <v>1672</v>
      </c>
      <c r="B1167" s="4" t="s">
        <v>334</v>
      </c>
      <c r="C1167" t="s">
        <v>1595</v>
      </c>
      <c r="D1167">
        <v>1</v>
      </c>
      <c r="E1167" t="s">
        <v>974</v>
      </c>
      <c r="F1167" t="s">
        <v>975</v>
      </c>
      <c r="G1167" t="s">
        <v>180</v>
      </c>
      <c r="H1167" s="1" t="s">
        <v>976</v>
      </c>
      <c r="I1167" s="1">
        <v>630</v>
      </c>
      <c r="J1167" s="20">
        <v>2</v>
      </c>
      <c r="K1167" s="1">
        <v>113.15</v>
      </c>
      <c r="L1167" s="1">
        <v>226.3</v>
      </c>
      <c r="M1167" s="42" t="s">
        <v>2873</v>
      </c>
      <c r="P1167" t="s">
        <v>24</v>
      </c>
      <c r="Q1167" t="s">
        <v>334</v>
      </c>
    </row>
    <row r="1168" spans="1:17" ht="15" customHeight="1" x14ac:dyDescent="0.25">
      <c r="A1168" s="41" t="s">
        <v>1672</v>
      </c>
      <c r="B1168" s="3" t="s">
        <v>334</v>
      </c>
      <c r="C1168" s="41" t="s">
        <v>1595</v>
      </c>
      <c r="D1168">
        <v>3</v>
      </c>
      <c r="E1168" t="s">
        <v>1179</v>
      </c>
      <c r="F1168" t="s">
        <v>1180</v>
      </c>
      <c r="G1168" t="s">
        <v>180</v>
      </c>
      <c r="H1168" s="1" t="s">
        <v>976</v>
      </c>
      <c r="I1168" s="1">
        <v>630</v>
      </c>
      <c r="J1168" s="20">
        <v>0</v>
      </c>
      <c r="K1168" s="1">
        <v>113.15</v>
      </c>
      <c r="L1168" s="1">
        <v>0</v>
      </c>
      <c r="M1168" s="42" t="s">
        <v>2873</v>
      </c>
      <c r="P1168" t="s">
        <v>24</v>
      </c>
      <c r="Q1168" t="s">
        <v>334</v>
      </c>
    </row>
    <row r="1169" spans="1:17" ht="15" customHeight="1" x14ac:dyDescent="0.25">
      <c r="A1169" s="3" t="s">
        <v>1673</v>
      </c>
      <c r="B1169" s="4" t="s">
        <v>335</v>
      </c>
      <c r="C1169" t="s">
        <v>1595</v>
      </c>
      <c r="D1169">
        <v>1</v>
      </c>
      <c r="E1169" t="s">
        <v>974</v>
      </c>
      <c r="F1169" t="s">
        <v>975</v>
      </c>
      <c r="G1169" t="s">
        <v>180</v>
      </c>
      <c r="H1169" s="1" t="s">
        <v>976</v>
      </c>
      <c r="I1169" s="1">
        <v>630</v>
      </c>
      <c r="J1169" s="20">
        <v>1</v>
      </c>
      <c r="K1169" s="1">
        <v>113.15</v>
      </c>
      <c r="L1169" s="1">
        <v>113.15</v>
      </c>
      <c r="M1169" s="42" t="s">
        <v>2873</v>
      </c>
      <c r="P1169" t="s">
        <v>25</v>
      </c>
      <c r="Q1169" t="s">
        <v>335</v>
      </c>
    </row>
    <row r="1170" spans="1:17" ht="15" customHeight="1" x14ac:dyDescent="0.25">
      <c r="A1170" s="3" t="s">
        <v>1674</v>
      </c>
      <c r="B1170" s="4" t="s">
        <v>336</v>
      </c>
      <c r="C1170" t="s">
        <v>1595</v>
      </c>
      <c r="D1170">
        <v>1</v>
      </c>
      <c r="E1170" t="s">
        <v>974</v>
      </c>
      <c r="F1170" t="s">
        <v>975</v>
      </c>
      <c r="G1170" t="s">
        <v>180</v>
      </c>
      <c r="H1170" s="1" t="s">
        <v>976</v>
      </c>
      <c r="I1170" s="1">
        <v>630</v>
      </c>
      <c r="J1170" s="20">
        <v>3</v>
      </c>
      <c r="K1170" s="1">
        <v>113.15</v>
      </c>
      <c r="L1170" s="1">
        <v>339.45</v>
      </c>
      <c r="M1170" s="42" t="s">
        <v>2873</v>
      </c>
      <c r="P1170" t="s">
        <v>23</v>
      </c>
      <c r="Q1170" t="s">
        <v>336</v>
      </c>
    </row>
    <row r="1171" spans="1:17" ht="15" customHeight="1" x14ac:dyDescent="0.25">
      <c r="A1171" s="41" t="s">
        <v>1674</v>
      </c>
      <c r="B1171" s="3" t="s">
        <v>336</v>
      </c>
      <c r="C1171" s="41" t="s">
        <v>1595</v>
      </c>
      <c r="D1171">
        <v>3</v>
      </c>
      <c r="E1171" t="s">
        <v>1179</v>
      </c>
      <c r="F1171" t="s">
        <v>1180</v>
      </c>
      <c r="G1171" t="s">
        <v>180</v>
      </c>
      <c r="H1171" s="1" t="s">
        <v>976</v>
      </c>
      <c r="I1171" s="1">
        <v>630</v>
      </c>
      <c r="J1171" s="20">
        <v>0</v>
      </c>
      <c r="K1171" s="1">
        <v>113.15</v>
      </c>
      <c r="L1171" s="1">
        <v>0</v>
      </c>
      <c r="M1171" s="42" t="s">
        <v>2873</v>
      </c>
      <c r="P1171" t="s">
        <v>23</v>
      </c>
      <c r="Q1171" t="s">
        <v>336</v>
      </c>
    </row>
    <row r="1172" spans="1:17" ht="15" customHeight="1" x14ac:dyDescent="0.25">
      <c r="A1172" s="3" t="s">
        <v>1675</v>
      </c>
      <c r="B1172" s="4" t="s">
        <v>337</v>
      </c>
      <c r="C1172" t="s">
        <v>1595</v>
      </c>
      <c r="D1172">
        <v>1</v>
      </c>
      <c r="E1172" t="s">
        <v>974</v>
      </c>
      <c r="F1172" t="s">
        <v>975</v>
      </c>
      <c r="G1172" t="s">
        <v>180</v>
      </c>
      <c r="H1172" s="1" t="s">
        <v>976</v>
      </c>
      <c r="I1172" s="1">
        <v>630</v>
      </c>
      <c r="J1172" s="20">
        <v>1</v>
      </c>
      <c r="K1172" s="1">
        <v>113.15</v>
      </c>
      <c r="L1172" s="1">
        <v>113.15</v>
      </c>
      <c r="M1172" s="42" t="s">
        <v>2873</v>
      </c>
      <c r="P1172" t="s">
        <v>22</v>
      </c>
      <c r="Q1172" t="s">
        <v>337</v>
      </c>
    </row>
    <row r="1173" spans="1:17" ht="15" customHeight="1" x14ac:dyDescent="0.25">
      <c r="A1173" s="3" t="s">
        <v>1676</v>
      </c>
      <c r="B1173" s="4" t="s">
        <v>338</v>
      </c>
      <c r="C1173" t="s">
        <v>1595</v>
      </c>
      <c r="D1173">
        <v>1</v>
      </c>
      <c r="E1173" t="s">
        <v>974</v>
      </c>
      <c r="F1173" t="s">
        <v>975</v>
      </c>
      <c r="G1173" t="s">
        <v>180</v>
      </c>
      <c r="H1173" s="1" t="s">
        <v>976</v>
      </c>
      <c r="I1173" s="1">
        <v>630</v>
      </c>
      <c r="J1173" s="20">
        <v>2</v>
      </c>
      <c r="K1173" s="1">
        <v>113.15</v>
      </c>
      <c r="L1173" s="1">
        <v>226.3</v>
      </c>
      <c r="M1173" s="42" t="s">
        <v>2873</v>
      </c>
      <c r="P1173" t="s">
        <v>24</v>
      </c>
      <c r="Q1173" t="s">
        <v>338</v>
      </c>
    </row>
    <row r="1174" spans="1:17" ht="15" customHeight="1" x14ac:dyDescent="0.25">
      <c r="A1174" s="3" t="s">
        <v>1677</v>
      </c>
      <c r="B1174" s="4" t="s">
        <v>339</v>
      </c>
      <c r="C1174" t="s">
        <v>1595</v>
      </c>
      <c r="D1174">
        <v>1</v>
      </c>
      <c r="E1174" t="s">
        <v>974</v>
      </c>
      <c r="F1174" t="s">
        <v>975</v>
      </c>
      <c r="G1174" t="s">
        <v>180</v>
      </c>
      <c r="H1174" s="1" t="s">
        <v>976</v>
      </c>
      <c r="I1174" s="1">
        <v>630</v>
      </c>
      <c r="J1174" s="20">
        <v>1</v>
      </c>
      <c r="K1174" s="1">
        <v>113.15</v>
      </c>
      <c r="L1174" s="1">
        <v>113.15</v>
      </c>
      <c r="M1174" s="42" t="s">
        <v>2873</v>
      </c>
      <c r="P1174" t="s">
        <v>25</v>
      </c>
      <c r="Q1174" t="s">
        <v>339</v>
      </c>
    </row>
    <row r="1175" spans="1:17" ht="15" customHeight="1" x14ac:dyDescent="0.25">
      <c r="A1175" s="3" t="s">
        <v>1678</v>
      </c>
      <c r="B1175" s="4" t="s">
        <v>340</v>
      </c>
      <c r="C1175" t="s">
        <v>1595</v>
      </c>
      <c r="D1175">
        <v>1</v>
      </c>
      <c r="E1175" t="s">
        <v>974</v>
      </c>
      <c r="F1175" t="s">
        <v>975</v>
      </c>
      <c r="G1175" t="s">
        <v>180</v>
      </c>
      <c r="H1175" s="1" t="s">
        <v>976</v>
      </c>
      <c r="I1175" s="1">
        <v>630</v>
      </c>
      <c r="J1175" s="20">
        <v>2</v>
      </c>
      <c r="K1175" s="1">
        <v>113.15</v>
      </c>
      <c r="L1175" s="1">
        <v>226.3</v>
      </c>
      <c r="M1175" s="42" t="s">
        <v>2873</v>
      </c>
      <c r="P1175" t="s">
        <v>23</v>
      </c>
      <c r="Q1175" t="s">
        <v>340</v>
      </c>
    </row>
    <row r="1176" spans="1:17" ht="15" customHeight="1" x14ac:dyDescent="0.25">
      <c r="A1176" s="3" t="s">
        <v>1679</v>
      </c>
      <c r="B1176" s="4" t="s">
        <v>341</v>
      </c>
      <c r="C1176" t="s">
        <v>1595</v>
      </c>
      <c r="D1176">
        <v>1</v>
      </c>
      <c r="E1176" t="s">
        <v>974</v>
      </c>
      <c r="F1176" t="s">
        <v>975</v>
      </c>
      <c r="G1176" t="s">
        <v>180</v>
      </c>
      <c r="H1176" s="1" t="s">
        <v>976</v>
      </c>
      <c r="I1176" s="1">
        <v>630</v>
      </c>
      <c r="J1176" s="20">
        <v>2</v>
      </c>
      <c r="K1176" s="1">
        <v>113.15</v>
      </c>
      <c r="L1176" s="1">
        <v>226.3</v>
      </c>
      <c r="M1176" s="42" t="s">
        <v>2873</v>
      </c>
      <c r="P1176" t="s">
        <v>22</v>
      </c>
      <c r="Q1176" t="s">
        <v>341</v>
      </c>
    </row>
    <row r="1177" spans="1:17" ht="15" customHeight="1" x14ac:dyDescent="0.25">
      <c r="A1177" s="3" t="s">
        <v>2160</v>
      </c>
      <c r="B1177" s="4" t="s">
        <v>526</v>
      </c>
      <c r="C1177" t="s">
        <v>1415</v>
      </c>
      <c r="D1177">
        <v>1</v>
      </c>
      <c r="E1177" t="s">
        <v>974</v>
      </c>
      <c r="F1177" t="s">
        <v>975</v>
      </c>
      <c r="G1177" t="s">
        <v>180</v>
      </c>
      <c r="H1177" s="1" t="s">
        <v>976</v>
      </c>
      <c r="I1177" s="1">
        <v>760</v>
      </c>
      <c r="J1177" s="20">
        <v>2</v>
      </c>
      <c r="K1177" s="1">
        <v>117.66</v>
      </c>
      <c r="L1177" s="1">
        <v>235.32</v>
      </c>
      <c r="M1177" s="42" t="s">
        <v>2873</v>
      </c>
      <c r="P1177" t="s">
        <v>24</v>
      </c>
      <c r="Q1177" t="s">
        <v>526</v>
      </c>
    </row>
    <row r="1178" spans="1:17" ht="15" customHeight="1" x14ac:dyDescent="0.25">
      <c r="A1178" s="3" t="s">
        <v>2161</v>
      </c>
      <c r="B1178" s="4" t="s">
        <v>527</v>
      </c>
      <c r="C1178" t="s">
        <v>1415</v>
      </c>
      <c r="D1178">
        <v>1</v>
      </c>
      <c r="E1178" t="s">
        <v>974</v>
      </c>
      <c r="F1178" t="s">
        <v>975</v>
      </c>
      <c r="G1178" t="s">
        <v>180</v>
      </c>
      <c r="H1178" s="1" t="s">
        <v>976</v>
      </c>
      <c r="I1178" s="1">
        <v>760</v>
      </c>
      <c r="J1178" s="20">
        <v>2</v>
      </c>
      <c r="K1178" s="1">
        <v>117.66</v>
      </c>
      <c r="L1178" s="1">
        <v>235.32</v>
      </c>
      <c r="M1178" s="42" t="s">
        <v>2873</v>
      </c>
      <c r="P1178" t="s">
        <v>25</v>
      </c>
      <c r="Q1178" t="s">
        <v>527</v>
      </c>
    </row>
    <row r="1179" spans="1:17" ht="15" customHeight="1" x14ac:dyDescent="0.25">
      <c r="A1179" s="3" t="s">
        <v>2162</v>
      </c>
      <c r="B1179" s="4" t="s">
        <v>528</v>
      </c>
      <c r="C1179" t="s">
        <v>1415</v>
      </c>
      <c r="D1179">
        <v>1</v>
      </c>
      <c r="E1179" t="s">
        <v>974</v>
      </c>
      <c r="F1179" t="s">
        <v>975</v>
      </c>
      <c r="G1179" t="s">
        <v>180</v>
      </c>
      <c r="H1179" s="1" t="s">
        <v>976</v>
      </c>
      <c r="I1179" s="1">
        <v>760</v>
      </c>
      <c r="J1179" s="20">
        <v>3</v>
      </c>
      <c r="K1179" s="1">
        <v>117.66</v>
      </c>
      <c r="L1179" s="1">
        <v>352.98</v>
      </c>
      <c r="M1179" s="42" t="s">
        <v>2873</v>
      </c>
      <c r="P1179" t="s">
        <v>23</v>
      </c>
      <c r="Q1179" t="s">
        <v>528</v>
      </c>
    </row>
    <row r="1180" spans="1:17" ht="15" customHeight="1" x14ac:dyDescent="0.25">
      <c r="A1180" s="3" t="s">
        <v>2163</v>
      </c>
      <c r="B1180" s="4" t="s">
        <v>529</v>
      </c>
      <c r="C1180" t="s">
        <v>1415</v>
      </c>
      <c r="D1180">
        <v>1</v>
      </c>
      <c r="E1180" t="s">
        <v>974</v>
      </c>
      <c r="F1180" t="s">
        <v>975</v>
      </c>
      <c r="G1180" t="s">
        <v>180</v>
      </c>
      <c r="H1180" s="1" t="s">
        <v>976</v>
      </c>
      <c r="I1180" s="1">
        <v>760</v>
      </c>
      <c r="J1180" s="20">
        <v>1</v>
      </c>
      <c r="K1180" s="1">
        <v>0</v>
      </c>
      <c r="L1180" s="1">
        <v>0</v>
      </c>
      <c r="M1180" s="42" t="s">
        <v>2873</v>
      </c>
      <c r="P1180" t="s">
        <v>22</v>
      </c>
      <c r="Q1180" t="s">
        <v>529</v>
      </c>
    </row>
    <row r="1181" spans="1:17" ht="15" customHeight="1" x14ac:dyDescent="0.25">
      <c r="A1181" s="3" t="s">
        <v>2164</v>
      </c>
      <c r="B1181" s="4" t="s">
        <v>2884</v>
      </c>
      <c r="C1181" t="s">
        <v>1415</v>
      </c>
      <c r="D1181">
        <v>1</v>
      </c>
      <c r="E1181" t="s">
        <v>974</v>
      </c>
      <c r="F1181" t="s">
        <v>975</v>
      </c>
      <c r="G1181" t="s">
        <v>180</v>
      </c>
      <c r="H1181" s="1" t="s">
        <v>976</v>
      </c>
      <c r="I1181" s="1">
        <v>640</v>
      </c>
      <c r="J1181" s="20">
        <v>0</v>
      </c>
      <c r="K1181" s="1">
        <v>98.1</v>
      </c>
      <c r="L1181" s="1">
        <v>0</v>
      </c>
      <c r="M1181" s="42" t="s">
        <v>2873</v>
      </c>
      <c r="O1181" s="2" t="s">
        <v>2508</v>
      </c>
      <c r="P1181" t="s">
        <v>24</v>
      </c>
      <c r="Q1181" t="s">
        <v>892</v>
      </c>
    </row>
    <row r="1182" spans="1:17" ht="15" customHeight="1" x14ac:dyDescent="0.25">
      <c r="A1182" s="3" t="s">
        <v>2165</v>
      </c>
      <c r="B1182" s="4" t="s">
        <v>2884</v>
      </c>
      <c r="C1182" t="s">
        <v>1415</v>
      </c>
      <c r="D1182">
        <v>1</v>
      </c>
      <c r="E1182" t="s">
        <v>974</v>
      </c>
      <c r="F1182" t="s">
        <v>975</v>
      </c>
      <c r="G1182" t="s">
        <v>180</v>
      </c>
      <c r="H1182" s="1" t="s">
        <v>976</v>
      </c>
      <c r="I1182" s="1">
        <v>640</v>
      </c>
      <c r="J1182" s="20">
        <v>2</v>
      </c>
      <c r="K1182" s="1">
        <v>98.1</v>
      </c>
      <c r="L1182" s="1">
        <v>196.2</v>
      </c>
      <c r="M1182" s="42" t="s">
        <v>2873</v>
      </c>
      <c r="O1182" s="2" t="s">
        <v>2508</v>
      </c>
      <c r="P1182" t="s">
        <v>25</v>
      </c>
      <c r="Q1182" t="s">
        <v>892</v>
      </c>
    </row>
    <row r="1183" spans="1:17" ht="15" customHeight="1" x14ac:dyDescent="0.25">
      <c r="A1183" s="3" t="s">
        <v>2166</v>
      </c>
      <c r="B1183" s="4" t="s">
        <v>2884</v>
      </c>
      <c r="C1183" t="s">
        <v>1415</v>
      </c>
      <c r="D1183">
        <v>1</v>
      </c>
      <c r="E1183" t="s">
        <v>974</v>
      </c>
      <c r="F1183" t="s">
        <v>975</v>
      </c>
      <c r="G1183" t="s">
        <v>180</v>
      </c>
      <c r="H1183" s="1" t="s">
        <v>976</v>
      </c>
      <c r="I1183" s="1">
        <v>640</v>
      </c>
      <c r="J1183" s="20">
        <v>6</v>
      </c>
      <c r="K1183" s="1">
        <v>98.1</v>
      </c>
      <c r="L1183" s="1">
        <v>588.6</v>
      </c>
      <c r="M1183" s="42" t="s">
        <v>2873</v>
      </c>
      <c r="O1183" s="2" t="s">
        <v>2508</v>
      </c>
      <c r="P1183" t="s">
        <v>23</v>
      </c>
      <c r="Q1183" t="s">
        <v>892</v>
      </c>
    </row>
    <row r="1184" spans="1:17" ht="15" customHeight="1" x14ac:dyDescent="0.25">
      <c r="A1184" s="3" t="s">
        <v>2167</v>
      </c>
      <c r="B1184" s="4" t="s">
        <v>2884</v>
      </c>
      <c r="C1184" t="s">
        <v>1415</v>
      </c>
      <c r="D1184">
        <v>1</v>
      </c>
      <c r="E1184" t="s">
        <v>974</v>
      </c>
      <c r="F1184" t="s">
        <v>975</v>
      </c>
      <c r="G1184" t="s">
        <v>180</v>
      </c>
      <c r="H1184" s="1" t="s">
        <v>976</v>
      </c>
      <c r="I1184" s="1">
        <v>640</v>
      </c>
      <c r="J1184" s="20">
        <v>2</v>
      </c>
      <c r="K1184" s="1">
        <v>98.1</v>
      </c>
      <c r="L1184" s="1">
        <v>196.2</v>
      </c>
      <c r="M1184" s="42" t="s">
        <v>2873</v>
      </c>
      <c r="O1184" s="2" t="s">
        <v>2508</v>
      </c>
      <c r="P1184" t="s">
        <v>22</v>
      </c>
      <c r="Q1184" t="s">
        <v>892</v>
      </c>
    </row>
    <row r="1185" spans="1:17" ht="15" customHeight="1" x14ac:dyDescent="0.25">
      <c r="A1185" s="3" t="s">
        <v>1680</v>
      </c>
      <c r="B1185" s="4" t="s">
        <v>2885</v>
      </c>
      <c r="C1185" t="s">
        <v>1595</v>
      </c>
      <c r="D1185">
        <v>1</v>
      </c>
      <c r="E1185" t="s">
        <v>974</v>
      </c>
      <c r="F1185" t="s">
        <v>975</v>
      </c>
      <c r="G1185" t="s">
        <v>180</v>
      </c>
      <c r="H1185" s="1" t="s">
        <v>976</v>
      </c>
      <c r="I1185" s="1">
        <v>690</v>
      </c>
      <c r="J1185" s="20">
        <v>0</v>
      </c>
      <c r="K1185" s="1">
        <v>0</v>
      </c>
      <c r="L1185" s="1">
        <v>0</v>
      </c>
      <c r="M1185" s="42" t="s">
        <v>2873</v>
      </c>
      <c r="O1185" s="2" t="s">
        <v>2482</v>
      </c>
      <c r="P1185" t="s">
        <v>23</v>
      </c>
      <c r="Q1185" t="s">
        <v>893</v>
      </c>
    </row>
    <row r="1186" spans="1:17" ht="15" customHeight="1" x14ac:dyDescent="0.25">
      <c r="A1186" s="41" t="s">
        <v>1680</v>
      </c>
      <c r="B1186" s="3" t="s">
        <v>2885</v>
      </c>
      <c r="C1186" s="41" t="s">
        <v>1595</v>
      </c>
      <c r="D1186">
        <v>4</v>
      </c>
      <c r="E1186" t="s">
        <v>1018</v>
      </c>
      <c r="F1186" t="s">
        <v>975</v>
      </c>
      <c r="G1186" t="s">
        <v>180</v>
      </c>
      <c r="H1186" s="1" t="s">
        <v>976</v>
      </c>
      <c r="I1186" s="1">
        <v>690</v>
      </c>
      <c r="J1186" s="20">
        <v>0</v>
      </c>
      <c r="K1186" s="1">
        <v>0</v>
      </c>
      <c r="L1186" s="1">
        <v>0</v>
      </c>
      <c r="M1186" s="42" t="s">
        <v>2873</v>
      </c>
      <c r="O1186" s="2" t="s">
        <v>2482</v>
      </c>
      <c r="P1186" t="s">
        <v>23</v>
      </c>
      <c r="Q1186" t="s">
        <v>893</v>
      </c>
    </row>
    <row r="1187" spans="1:17" ht="15" customHeight="1" x14ac:dyDescent="0.25">
      <c r="A1187" s="3" t="s">
        <v>2168</v>
      </c>
      <c r="B1187" s="4" t="s">
        <v>2871</v>
      </c>
      <c r="C1187" t="s">
        <v>1595</v>
      </c>
      <c r="D1187">
        <v>1</v>
      </c>
      <c r="E1187" t="s">
        <v>974</v>
      </c>
      <c r="F1187" t="s">
        <v>975</v>
      </c>
      <c r="G1187" t="s">
        <v>180</v>
      </c>
      <c r="H1187" s="1" t="s">
        <v>976</v>
      </c>
      <c r="I1187" s="1">
        <v>590</v>
      </c>
      <c r="J1187" s="20">
        <v>2</v>
      </c>
      <c r="K1187" s="1">
        <v>117.87</v>
      </c>
      <c r="L1187" s="1">
        <v>235.74</v>
      </c>
      <c r="M1187" s="42" t="s">
        <v>2873</v>
      </c>
      <c r="O1187" s="2" t="s">
        <v>2447</v>
      </c>
      <c r="P1187" t="s">
        <v>24</v>
      </c>
      <c r="Q1187" t="s">
        <v>875</v>
      </c>
    </row>
    <row r="1188" spans="1:17" ht="15" customHeight="1" x14ac:dyDescent="0.25">
      <c r="A1188" s="3" t="s">
        <v>2169</v>
      </c>
      <c r="B1188" s="4" t="s">
        <v>2871</v>
      </c>
      <c r="C1188" t="s">
        <v>1595</v>
      </c>
      <c r="D1188">
        <v>1</v>
      </c>
      <c r="E1188" t="s">
        <v>974</v>
      </c>
      <c r="F1188" t="s">
        <v>975</v>
      </c>
      <c r="G1188" t="s">
        <v>180</v>
      </c>
      <c r="H1188" s="1" t="s">
        <v>976</v>
      </c>
      <c r="I1188" s="1">
        <v>590</v>
      </c>
      <c r="J1188" s="20">
        <v>3</v>
      </c>
      <c r="K1188" s="1">
        <v>117.87</v>
      </c>
      <c r="L1188" s="1">
        <v>353.61</v>
      </c>
      <c r="M1188" s="42" t="s">
        <v>2873</v>
      </c>
      <c r="O1188" s="2" t="s">
        <v>2447</v>
      </c>
      <c r="P1188" t="s">
        <v>23</v>
      </c>
      <c r="Q1188" t="s">
        <v>875</v>
      </c>
    </row>
    <row r="1189" spans="1:17" ht="15" customHeight="1" x14ac:dyDescent="0.25">
      <c r="A1189" s="3" t="s">
        <v>2170</v>
      </c>
      <c r="B1189" s="4" t="s">
        <v>2871</v>
      </c>
      <c r="C1189" t="s">
        <v>1595</v>
      </c>
      <c r="D1189">
        <v>1</v>
      </c>
      <c r="E1189" t="s">
        <v>974</v>
      </c>
      <c r="F1189" t="s">
        <v>975</v>
      </c>
      <c r="G1189" t="s">
        <v>180</v>
      </c>
      <c r="H1189" s="1" t="s">
        <v>976</v>
      </c>
      <c r="I1189" s="1">
        <v>590</v>
      </c>
      <c r="J1189" s="20">
        <v>0</v>
      </c>
      <c r="K1189" s="1">
        <v>0</v>
      </c>
      <c r="L1189" s="1">
        <v>0</v>
      </c>
      <c r="M1189" s="42" t="s">
        <v>2873</v>
      </c>
      <c r="O1189" s="2" t="s">
        <v>2447</v>
      </c>
      <c r="P1189" t="s">
        <v>22</v>
      </c>
      <c r="Q1189" t="s">
        <v>875</v>
      </c>
    </row>
    <row r="1190" spans="1:17" ht="15" customHeight="1" x14ac:dyDescent="0.25">
      <c r="A1190" s="3" t="s">
        <v>2171</v>
      </c>
      <c r="B1190" s="4" t="s">
        <v>2871</v>
      </c>
      <c r="C1190" t="s">
        <v>1595</v>
      </c>
      <c r="D1190">
        <v>1</v>
      </c>
      <c r="E1190" t="s">
        <v>974</v>
      </c>
      <c r="F1190" t="s">
        <v>975</v>
      </c>
      <c r="G1190" t="s">
        <v>180</v>
      </c>
      <c r="H1190" s="1" t="s">
        <v>976</v>
      </c>
      <c r="I1190" s="1">
        <v>590</v>
      </c>
      <c r="J1190" s="20">
        <v>3</v>
      </c>
      <c r="K1190" s="1">
        <v>100</v>
      </c>
      <c r="L1190" s="1">
        <v>300</v>
      </c>
      <c r="M1190" s="42" t="s">
        <v>2873</v>
      </c>
      <c r="O1190" s="2" t="s">
        <v>2447</v>
      </c>
      <c r="P1190" t="s">
        <v>24</v>
      </c>
      <c r="Q1190" t="s">
        <v>875</v>
      </c>
    </row>
    <row r="1191" spans="1:17" ht="15" customHeight="1" x14ac:dyDescent="0.25">
      <c r="A1191" s="41" t="s">
        <v>2171</v>
      </c>
      <c r="B1191" s="3" t="s">
        <v>2871</v>
      </c>
      <c r="C1191" s="41" t="s">
        <v>1595</v>
      </c>
      <c r="D1191">
        <v>2</v>
      </c>
      <c r="E1191" t="s">
        <v>1017</v>
      </c>
      <c r="F1191" t="s">
        <v>975</v>
      </c>
      <c r="G1191" t="s">
        <v>180</v>
      </c>
      <c r="H1191" s="1" t="s">
        <v>976</v>
      </c>
      <c r="I1191" s="1">
        <v>590</v>
      </c>
      <c r="J1191" s="20">
        <v>0</v>
      </c>
      <c r="K1191" s="1">
        <v>117.87</v>
      </c>
      <c r="L1191" s="1">
        <v>0</v>
      </c>
      <c r="M1191" s="42" t="s">
        <v>2873</v>
      </c>
      <c r="O1191" s="2" t="s">
        <v>2447</v>
      </c>
      <c r="P1191" t="s">
        <v>24</v>
      </c>
      <c r="Q1191" t="s">
        <v>875</v>
      </c>
    </row>
    <row r="1192" spans="1:17" ht="15" customHeight="1" x14ac:dyDescent="0.25">
      <c r="A1192" s="41" t="s">
        <v>2171</v>
      </c>
      <c r="B1192" s="3" t="s">
        <v>2871</v>
      </c>
      <c r="C1192" s="41" t="s">
        <v>1595</v>
      </c>
      <c r="D1192">
        <v>3</v>
      </c>
      <c r="E1192" t="s">
        <v>1179</v>
      </c>
      <c r="F1192" t="s">
        <v>1180</v>
      </c>
      <c r="G1192" t="s">
        <v>180</v>
      </c>
      <c r="H1192" s="1" t="s">
        <v>976</v>
      </c>
      <c r="I1192" s="1">
        <v>590</v>
      </c>
      <c r="J1192" s="20">
        <v>0</v>
      </c>
      <c r="K1192" s="1">
        <v>100</v>
      </c>
      <c r="L1192" s="1">
        <v>0</v>
      </c>
      <c r="M1192" s="42" t="s">
        <v>2873</v>
      </c>
      <c r="O1192" s="2" t="s">
        <v>2447</v>
      </c>
      <c r="P1192" t="s">
        <v>24</v>
      </c>
      <c r="Q1192" t="s">
        <v>875</v>
      </c>
    </row>
    <row r="1193" spans="1:17" ht="15" customHeight="1" x14ac:dyDescent="0.25">
      <c r="A1193" s="3" t="s">
        <v>2172</v>
      </c>
      <c r="B1193" s="4" t="s">
        <v>2871</v>
      </c>
      <c r="C1193" t="s">
        <v>1595</v>
      </c>
      <c r="D1193">
        <v>1</v>
      </c>
      <c r="E1193" t="s">
        <v>974</v>
      </c>
      <c r="F1193" t="s">
        <v>975</v>
      </c>
      <c r="G1193" t="s">
        <v>180</v>
      </c>
      <c r="H1193" s="1" t="s">
        <v>976</v>
      </c>
      <c r="I1193" s="1">
        <v>590</v>
      </c>
      <c r="J1193" s="20">
        <v>0</v>
      </c>
      <c r="K1193" s="1">
        <v>0</v>
      </c>
      <c r="L1193" s="1">
        <v>0</v>
      </c>
      <c r="M1193" s="42" t="s">
        <v>2873</v>
      </c>
      <c r="O1193" s="2" t="s">
        <v>2447</v>
      </c>
      <c r="P1193" t="s">
        <v>22</v>
      </c>
      <c r="Q1193" t="s">
        <v>875</v>
      </c>
    </row>
    <row r="1194" spans="1:17" ht="15" customHeight="1" x14ac:dyDescent="0.25">
      <c r="A1194" s="3" t="s">
        <v>2173</v>
      </c>
      <c r="B1194" s="4" t="s">
        <v>2886</v>
      </c>
      <c r="C1194" t="s">
        <v>1595</v>
      </c>
      <c r="D1194">
        <v>1</v>
      </c>
      <c r="E1194" t="s">
        <v>974</v>
      </c>
      <c r="F1194" t="s">
        <v>975</v>
      </c>
      <c r="G1194" t="s">
        <v>976</v>
      </c>
      <c r="H1194" s="1" t="s">
        <v>976</v>
      </c>
      <c r="I1194" s="1">
        <v>390</v>
      </c>
      <c r="J1194" s="20">
        <v>6</v>
      </c>
      <c r="K1194" s="1">
        <v>69.22</v>
      </c>
      <c r="L1194" s="1">
        <v>415.32</v>
      </c>
      <c r="M1194" s="42" t="s">
        <v>2873</v>
      </c>
      <c r="O1194" s="2" t="s">
        <v>2579</v>
      </c>
      <c r="P1194" t="s">
        <v>24</v>
      </c>
      <c r="Q1194" t="s">
        <v>894</v>
      </c>
    </row>
    <row r="1195" spans="1:17" ht="15" customHeight="1" x14ac:dyDescent="0.25">
      <c r="A1195" s="41" t="s">
        <v>2173</v>
      </c>
      <c r="B1195" s="3" t="s">
        <v>2886</v>
      </c>
      <c r="C1195" s="41" t="s">
        <v>1595</v>
      </c>
      <c r="D1195">
        <v>3</v>
      </c>
      <c r="E1195" t="s">
        <v>1179</v>
      </c>
      <c r="F1195" t="s">
        <v>1180</v>
      </c>
      <c r="G1195" t="s">
        <v>976</v>
      </c>
      <c r="H1195" s="1" t="s">
        <v>976</v>
      </c>
      <c r="I1195" s="1">
        <v>390</v>
      </c>
      <c r="J1195" s="20">
        <v>0</v>
      </c>
      <c r="K1195" s="1">
        <v>69.22</v>
      </c>
      <c r="L1195" s="1">
        <v>0</v>
      </c>
      <c r="M1195" s="42" t="s">
        <v>2873</v>
      </c>
      <c r="O1195" s="2" t="s">
        <v>2579</v>
      </c>
      <c r="P1195" t="s">
        <v>24</v>
      </c>
      <c r="Q1195" t="s">
        <v>894</v>
      </c>
    </row>
    <row r="1196" spans="1:17" ht="15" customHeight="1" x14ac:dyDescent="0.25">
      <c r="A1196" s="3" t="s">
        <v>2174</v>
      </c>
      <c r="B1196" s="4" t="s">
        <v>2886</v>
      </c>
      <c r="C1196" t="s">
        <v>1595</v>
      </c>
      <c r="D1196">
        <v>1</v>
      </c>
      <c r="E1196" t="s">
        <v>974</v>
      </c>
      <c r="F1196" t="s">
        <v>975</v>
      </c>
      <c r="G1196" t="s">
        <v>976</v>
      </c>
      <c r="H1196" s="1" t="s">
        <v>976</v>
      </c>
      <c r="I1196" s="1">
        <v>390</v>
      </c>
      <c r="J1196" s="20">
        <v>2</v>
      </c>
      <c r="K1196" s="1">
        <v>69.22</v>
      </c>
      <c r="L1196" s="1">
        <v>138.44</v>
      </c>
      <c r="M1196" s="42" t="s">
        <v>2873</v>
      </c>
      <c r="O1196" s="2" t="s">
        <v>2579</v>
      </c>
      <c r="P1196" t="s">
        <v>25</v>
      </c>
      <c r="Q1196" t="s">
        <v>894</v>
      </c>
    </row>
    <row r="1197" spans="1:17" ht="15" customHeight="1" x14ac:dyDescent="0.25">
      <c r="A1197" s="41" t="s">
        <v>2174</v>
      </c>
      <c r="B1197" s="3" t="s">
        <v>2886</v>
      </c>
      <c r="C1197" s="41" t="s">
        <v>1595</v>
      </c>
      <c r="D1197">
        <v>3</v>
      </c>
      <c r="E1197" t="s">
        <v>1179</v>
      </c>
      <c r="F1197" t="s">
        <v>1180</v>
      </c>
      <c r="G1197" t="s">
        <v>976</v>
      </c>
      <c r="H1197" s="1" t="s">
        <v>976</v>
      </c>
      <c r="I1197" s="1">
        <v>390</v>
      </c>
      <c r="J1197" s="20">
        <v>0</v>
      </c>
      <c r="K1197" s="1">
        <v>69.22</v>
      </c>
      <c r="L1197" s="1">
        <v>0</v>
      </c>
      <c r="M1197" s="42" t="s">
        <v>2873</v>
      </c>
      <c r="O1197" s="2" t="s">
        <v>2579</v>
      </c>
      <c r="P1197" t="s">
        <v>25</v>
      </c>
      <c r="Q1197" t="s">
        <v>894</v>
      </c>
    </row>
    <row r="1198" spans="1:17" ht="15" customHeight="1" x14ac:dyDescent="0.25">
      <c r="A1198" s="3" t="s">
        <v>2175</v>
      </c>
      <c r="B1198" s="4" t="s">
        <v>2886</v>
      </c>
      <c r="C1198" t="s">
        <v>1595</v>
      </c>
      <c r="D1198">
        <v>1</v>
      </c>
      <c r="E1198" t="s">
        <v>974</v>
      </c>
      <c r="F1198" t="s">
        <v>975</v>
      </c>
      <c r="G1198" t="s">
        <v>976</v>
      </c>
      <c r="H1198" s="1" t="s">
        <v>976</v>
      </c>
      <c r="I1198" s="1">
        <v>390</v>
      </c>
      <c r="J1198" s="20">
        <v>2</v>
      </c>
      <c r="K1198" s="1">
        <v>69.22</v>
      </c>
      <c r="L1198" s="1">
        <v>138.44</v>
      </c>
      <c r="M1198" s="42" t="s">
        <v>2873</v>
      </c>
      <c r="O1198" s="2" t="s">
        <v>2579</v>
      </c>
      <c r="P1198" t="s">
        <v>23</v>
      </c>
      <c r="Q1198" t="s">
        <v>894</v>
      </c>
    </row>
    <row r="1199" spans="1:17" ht="15" customHeight="1" x14ac:dyDescent="0.25">
      <c r="A1199" s="3" t="s">
        <v>2176</v>
      </c>
      <c r="B1199" s="4" t="s">
        <v>2886</v>
      </c>
      <c r="C1199" t="s">
        <v>1595</v>
      </c>
      <c r="D1199">
        <v>1</v>
      </c>
      <c r="E1199" t="s">
        <v>974</v>
      </c>
      <c r="F1199" t="s">
        <v>975</v>
      </c>
      <c r="G1199" t="s">
        <v>976</v>
      </c>
      <c r="H1199" s="1" t="s">
        <v>976</v>
      </c>
      <c r="I1199" s="1">
        <v>390</v>
      </c>
      <c r="J1199" s="20">
        <v>0</v>
      </c>
      <c r="K1199" s="1">
        <v>69.22</v>
      </c>
      <c r="L1199" s="1">
        <v>0</v>
      </c>
      <c r="M1199" s="42" t="s">
        <v>2873</v>
      </c>
      <c r="O1199" s="2" t="s">
        <v>2579</v>
      </c>
      <c r="P1199" t="s">
        <v>22</v>
      </c>
      <c r="Q1199" t="s">
        <v>894</v>
      </c>
    </row>
    <row r="1200" spans="1:17" ht="15" customHeight="1" x14ac:dyDescent="0.25">
      <c r="A1200" s="41" t="s">
        <v>2176</v>
      </c>
      <c r="B1200" s="3" t="s">
        <v>2886</v>
      </c>
      <c r="C1200" s="41" t="s">
        <v>1595</v>
      </c>
      <c r="D1200">
        <v>3</v>
      </c>
      <c r="E1200" t="s">
        <v>1179</v>
      </c>
      <c r="F1200" t="s">
        <v>1180</v>
      </c>
      <c r="G1200" t="s">
        <v>976</v>
      </c>
      <c r="H1200" s="1" t="s">
        <v>976</v>
      </c>
      <c r="I1200" s="1">
        <v>390</v>
      </c>
      <c r="J1200" s="20">
        <v>0</v>
      </c>
      <c r="K1200" s="1">
        <v>69.22</v>
      </c>
      <c r="L1200" s="1">
        <v>0</v>
      </c>
      <c r="M1200" s="42" t="s">
        <v>2873</v>
      </c>
      <c r="O1200" s="2" t="s">
        <v>2579</v>
      </c>
      <c r="P1200" t="s">
        <v>22</v>
      </c>
      <c r="Q1200" t="s">
        <v>894</v>
      </c>
    </row>
    <row r="1201" spans="1:17" ht="15" customHeight="1" x14ac:dyDescent="0.25">
      <c r="A1201" s="3" t="s">
        <v>2177</v>
      </c>
      <c r="B1201" s="4" t="s">
        <v>2886</v>
      </c>
      <c r="C1201" t="s">
        <v>1595</v>
      </c>
      <c r="D1201">
        <v>1</v>
      </c>
      <c r="E1201" t="s">
        <v>974</v>
      </c>
      <c r="F1201" t="s">
        <v>975</v>
      </c>
      <c r="G1201" t="s">
        <v>976</v>
      </c>
      <c r="H1201" s="1" t="s">
        <v>976</v>
      </c>
      <c r="I1201" s="1">
        <v>390</v>
      </c>
      <c r="J1201" s="20">
        <v>4</v>
      </c>
      <c r="K1201" s="1">
        <v>69.22</v>
      </c>
      <c r="L1201" s="1">
        <v>276.88</v>
      </c>
      <c r="M1201" s="42" t="s">
        <v>2873</v>
      </c>
      <c r="O1201" s="2" t="s">
        <v>2482</v>
      </c>
      <c r="P1201" t="s">
        <v>24</v>
      </c>
      <c r="Q1201" t="s">
        <v>895</v>
      </c>
    </row>
    <row r="1202" spans="1:17" ht="15" customHeight="1" x14ac:dyDescent="0.25">
      <c r="A1202" s="3" t="s">
        <v>2178</v>
      </c>
      <c r="B1202" s="4" t="s">
        <v>2886</v>
      </c>
      <c r="C1202" t="s">
        <v>1595</v>
      </c>
      <c r="D1202">
        <v>1</v>
      </c>
      <c r="E1202" t="s">
        <v>974</v>
      </c>
      <c r="F1202" t="s">
        <v>975</v>
      </c>
      <c r="G1202" t="s">
        <v>976</v>
      </c>
      <c r="H1202" s="1" t="s">
        <v>976</v>
      </c>
      <c r="I1202" s="1">
        <v>390</v>
      </c>
      <c r="J1202" s="20">
        <v>1</v>
      </c>
      <c r="K1202" s="1">
        <v>69.22</v>
      </c>
      <c r="L1202" s="1">
        <v>69.22</v>
      </c>
      <c r="M1202" s="42" t="s">
        <v>2873</v>
      </c>
      <c r="O1202" s="2" t="s">
        <v>2482</v>
      </c>
      <c r="P1202" t="s">
        <v>25</v>
      </c>
      <c r="Q1202" t="s">
        <v>895</v>
      </c>
    </row>
    <row r="1203" spans="1:17" ht="15" customHeight="1" x14ac:dyDescent="0.25">
      <c r="A1203" s="3" t="s">
        <v>2179</v>
      </c>
      <c r="B1203" s="4" t="s">
        <v>2886</v>
      </c>
      <c r="C1203" t="s">
        <v>1595</v>
      </c>
      <c r="D1203">
        <v>1</v>
      </c>
      <c r="E1203" t="s">
        <v>974</v>
      </c>
      <c r="F1203" t="s">
        <v>975</v>
      </c>
      <c r="G1203" t="s">
        <v>976</v>
      </c>
      <c r="H1203" s="1" t="s">
        <v>976</v>
      </c>
      <c r="I1203" s="1">
        <v>390</v>
      </c>
      <c r="J1203" s="20">
        <v>1</v>
      </c>
      <c r="K1203" s="1">
        <v>69.22</v>
      </c>
      <c r="L1203" s="1">
        <v>69.22</v>
      </c>
      <c r="M1203" s="42" t="s">
        <v>2873</v>
      </c>
      <c r="O1203" s="2" t="s">
        <v>2482</v>
      </c>
      <c r="P1203" t="s">
        <v>23</v>
      </c>
      <c r="Q1203" t="s">
        <v>895</v>
      </c>
    </row>
    <row r="1204" spans="1:17" ht="15" customHeight="1" x14ac:dyDescent="0.25">
      <c r="A1204" s="3" t="s">
        <v>2180</v>
      </c>
      <c r="B1204" s="4" t="s">
        <v>2886</v>
      </c>
      <c r="C1204" t="s">
        <v>1595</v>
      </c>
      <c r="D1204">
        <v>1</v>
      </c>
      <c r="E1204" t="s">
        <v>974</v>
      </c>
      <c r="F1204" t="s">
        <v>975</v>
      </c>
      <c r="G1204" t="s">
        <v>976</v>
      </c>
      <c r="H1204" s="1" t="s">
        <v>976</v>
      </c>
      <c r="I1204" s="1">
        <v>390</v>
      </c>
      <c r="J1204" s="20">
        <v>0</v>
      </c>
      <c r="K1204" s="1">
        <v>69.22</v>
      </c>
      <c r="L1204" s="1">
        <v>0</v>
      </c>
      <c r="M1204" s="42" t="s">
        <v>2873</v>
      </c>
      <c r="O1204" s="2" t="s">
        <v>2482</v>
      </c>
      <c r="P1204" t="s">
        <v>22</v>
      </c>
      <c r="Q1204" t="s">
        <v>895</v>
      </c>
    </row>
    <row r="1205" spans="1:17" ht="15" customHeight="1" x14ac:dyDescent="0.25">
      <c r="A1205" s="3" t="s">
        <v>1681</v>
      </c>
      <c r="B1205" s="4" t="s">
        <v>2888</v>
      </c>
      <c r="C1205" t="s">
        <v>1315</v>
      </c>
      <c r="D1205">
        <v>1</v>
      </c>
      <c r="E1205" t="s">
        <v>974</v>
      </c>
      <c r="F1205" t="s">
        <v>975</v>
      </c>
      <c r="G1205" t="s">
        <v>976</v>
      </c>
      <c r="H1205" s="1" t="s">
        <v>976</v>
      </c>
      <c r="I1205" s="1">
        <v>230</v>
      </c>
      <c r="J1205" s="20">
        <v>7</v>
      </c>
      <c r="K1205" s="1">
        <v>32</v>
      </c>
      <c r="L1205" s="1">
        <v>224</v>
      </c>
      <c r="M1205" s="42" t="s">
        <v>2887</v>
      </c>
      <c r="O1205" s="2" t="s">
        <v>2579</v>
      </c>
      <c r="P1205" t="s">
        <v>24</v>
      </c>
      <c r="Q1205" t="s">
        <v>896</v>
      </c>
    </row>
    <row r="1206" spans="1:17" ht="15" customHeight="1" x14ac:dyDescent="0.25">
      <c r="A1206" s="41" t="s">
        <v>1681</v>
      </c>
      <c r="B1206" s="3" t="s">
        <v>2888</v>
      </c>
      <c r="C1206" s="41" t="s">
        <v>1315</v>
      </c>
      <c r="D1206">
        <v>3</v>
      </c>
      <c r="E1206" t="s">
        <v>1179</v>
      </c>
      <c r="F1206" t="s">
        <v>1180</v>
      </c>
      <c r="G1206" t="s">
        <v>976</v>
      </c>
      <c r="H1206" s="1" t="s">
        <v>976</v>
      </c>
      <c r="I1206" s="1">
        <v>230</v>
      </c>
      <c r="J1206" s="20">
        <v>2</v>
      </c>
      <c r="K1206" s="1">
        <v>230</v>
      </c>
      <c r="L1206" s="1">
        <v>460</v>
      </c>
      <c r="M1206" s="42" t="s">
        <v>2887</v>
      </c>
      <c r="O1206" s="2" t="s">
        <v>2579</v>
      </c>
      <c r="P1206" t="s">
        <v>24</v>
      </c>
      <c r="Q1206" t="s">
        <v>896</v>
      </c>
    </row>
    <row r="1207" spans="1:17" ht="15" customHeight="1" x14ac:dyDescent="0.25">
      <c r="A1207" s="3" t="s">
        <v>1682</v>
      </c>
      <c r="B1207" s="4" t="s">
        <v>2888</v>
      </c>
      <c r="C1207" t="s">
        <v>1315</v>
      </c>
      <c r="D1207">
        <v>1</v>
      </c>
      <c r="E1207" t="s">
        <v>974</v>
      </c>
      <c r="F1207" t="s">
        <v>975</v>
      </c>
      <c r="G1207" t="s">
        <v>976</v>
      </c>
      <c r="H1207" s="1" t="s">
        <v>976</v>
      </c>
      <c r="I1207" s="1">
        <v>230</v>
      </c>
      <c r="J1207" s="20">
        <v>0</v>
      </c>
      <c r="K1207" s="1">
        <v>0</v>
      </c>
      <c r="L1207" s="1">
        <v>0</v>
      </c>
      <c r="M1207" s="42" t="s">
        <v>2887</v>
      </c>
      <c r="O1207" s="2" t="s">
        <v>2579</v>
      </c>
      <c r="P1207" t="s">
        <v>25</v>
      </c>
      <c r="Q1207" t="s">
        <v>896</v>
      </c>
    </row>
    <row r="1208" spans="1:17" ht="15" customHeight="1" x14ac:dyDescent="0.25">
      <c r="A1208" s="3" t="s">
        <v>1683</v>
      </c>
      <c r="B1208" s="4" t="s">
        <v>2888</v>
      </c>
      <c r="C1208" t="s">
        <v>1315</v>
      </c>
      <c r="D1208">
        <v>1</v>
      </c>
      <c r="E1208" t="s">
        <v>974</v>
      </c>
      <c r="F1208" t="s">
        <v>975</v>
      </c>
      <c r="G1208" t="s">
        <v>976</v>
      </c>
      <c r="H1208" s="1" t="s">
        <v>976</v>
      </c>
      <c r="I1208" s="1">
        <v>230</v>
      </c>
      <c r="J1208" s="20">
        <v>20</v>
      </c>
      <c r="K1208" s="1">
        <v>32.192591</v>
      </c>
      <c r="L1208" s="1">
        <v>643.85</v>
      </c>
      <c r="M1208" s="42" t="s">
        <v>2887</v>
      </c>
      <c r="O1208" s="2" t="s">
        <v>2579</v>
      </c>
      <c r="Q1208" t="s">
        <v>896</v>
      </c>
    </row>
    <row r="1209" spans="1:17" ht="15" customHeight="1" x14ac:dyDescent="0.25">
      <c r="A1209" s="41" t="s">
        <v>1683</v>
      </c>
      <c r="B1209" s="3" t="s">
        <v>2888</v>
      </c>
      <c r="C1209" s="41" t="s">
        <v>1315</v>
      </c>
      <c r="D1209">
        <v>3</v>
      </c>
      <c r="E1209" t="s">
        <v>1179</v>
      </c>
      <c r="F1209" t="s">
        <v>1180</v>
      </c>
      <c r="G1209" t="s">
        <v>976</v>
      </c>
      <c r="H1209" s="1" t="s">
        <v>976</v>
      </c>
      <c r="I1209" s="1">
        <v>230</v>
      </c>
      <c r="J1209" s="20">
        <v>2</v>
      </c>
      <c r="K1209" s="1">
        <v>230</v>
      </c>
      <c r="L1209" s="1">
        <v>460</v>
      </c>
      <c r="M1209" s="42" t="s">
        <v>2887</v>
      </c>
      <c r="O1209" s="2" t="s">
        <v>2579</v>
      </c>
      <c r="Q1209" t="s">
        <v>896</v>
      </c>
    </row>
    <row r="1210" spans="1:17" ht="15" customHeight="1" x14ac:dyDescent="0.25">
      <c r="A1210" s="3" t="s">
        <v>1684</v>
      </c>
      <c r="B1210" s="4" t="s">
        <v>2888</v>
      </c>
      <c r="C1210" t="s">
        <v>1315</v>
      </c>
      <c r="D1210">
        <v>1</v>
      </c>
      <c r="E1210" t="s">
        <v>974</v>
      </c>
      <c r="F1210" t="s">
        <v>975</v>
      </c>
      <c r="G1210" t="s">
        <v>976</v>
      </c>
      <c r="H1210" s="1" t="s">
        <v>976</v>
      </c>
      <c r="I1210" s="1">
        <v>230</v>
      </c>
      <c r="J1210" s="20">
        <v>1</v>
      </c>
      <c r="K1210" s="1">
        <v>31.955555</v>
      </c>
      <c r="L1210" s="1">
        <v>31.96</v>
      </c>
      <c r="M1210" s="42" t="s">
        <v>2887</v>
      </c>
      <c r="O1210" s="2" t="s">
        <v>2579</v>
      </c>
      <c r="P1210" t="s">
        <v>22</v>
      </c>
      <c r="Q1210" t="s">
        <v>896</v>
      </c>
    </row>
    <row r="1211" spans="1:17" ht="15" customHeight="1" x14ac:dyDescent="0.25">
      <c r="A1211" s="41" t="s">
        <v>1684</v>
      </c>
      <c r="B1211" s="3" t="s">
        <v>2888</v>
      </c>
      <c r="C1211" s="41" t="s">
        <v>1315</v>
      </c>
      <c r="D1211">
        <v>3</v>
      </c>
      <c r="E1211" t="s">
        <v>1179</v>
      </c>
      <c r="F1211" t="s">
        <v>1180</v>
      </c>
      <c r="G1211" t="s">
        <v>976</v>
      </c>
      <c r="H1211" s="1" t="s">
        <v>976</v>
      </c>
      <c r="I1211" s="1">
        <v>230</v>
      </c>
      <c r="J1211" s="20">
        <v>2</v>
      </c>
      <c r="K1211" s="1">
        <v>230</v>
      </c>
      <c r="L1211" s="1">
        <v>460</v>
      </c>
      <c r="M1211" s="42" t="s">
        <v>2887</v>
      </c>
      <c r="O1211" s="2" t="s">
        <v>2579</v>
      </c>
      <c r="P1211" t="s">
        <v>22</v>
      </c>
      <c r="Q1211" t="s">
        <v>896</v>
      </c>
    </row>
    <row r="1212" spans="1:17" ht="15" customHeight="1" x14ac:dyDescent="0.25">
      <c r="A1212" s="3" t="s">
        <v>1685</v>
      </c>
      <c r="B1212" s="4" t="s">
        <v>2888</v>
      </c>
      <c r="C1212" t="s">
        <v>1315</v>
      </c>
      <c r="D1212">
        <v>1</v>
      </c>
      <c r="E1212" t="s">
        <v>974</v>
      </c>
      <c r="F1212" t="s">
        <v>975</v>
      </c>
      <c r="G1212" t="s">
        <v>976</v>
      </c>
      <c r="H1212" s="1" t="s">
        <v>976</v>
      </c>
      <c r="I1212" s="1">
        <v>230</v>
      </c>
      <c r="J1212" s="20">
        <v>1</v>
      </c>
      <c r="K1212" s="1">
        <v>84.666666000000006</v>
      </c>
      <c r="L1212" s="1">
        <v>84.67</v>
      </c>
      <c r="M1212" s="42" t="s">
        <v>2887</v>
      </c>
      <c r="O1212" s="2" t="s">
        <v>2482</v>
      </c>
      <c r="P1212" t="s">
        <v>24</v>
      </c>
      <c r="Q1212" t="s">
        <v>897</v>
      </c>
    </row>
    <row r="1213" spans="1:17" ht="15" customHeight="1" x14ac:dyDescent="0.25">
      <c r="A1213" s="41" t="s">
        <v>1685</v>
      </c>
      <c r="B1213" s="3" t="s">
        <v>2888</v>
      </c>
      <c r="C1213" s="41" t="s">
        <v>1315</v>
      </c>
      <c r="D1213">
        <v>3</v>
      </c>
      <c r="E1213" t="s">
        <v>1179</v>
      </c>
      <c r="F1213" t="s">
        <v>1180</v>
      </c>
      <c r="G1213" t="s">
        <v>976</v>
      </c>
      <c r="H1213" s="1" t="s">
        <v>976</v>
      </c>
      <c r="I1213" s="1">
        <v>230</v>
      </c>
      <c r="J1213" s="20">
        <v>0</v>
      </c>
      <c r="K1213" s="1">
        <v>32</v>
      </c>
      <c r="L1213" s="1">
        <v>0</v>
      </c>
      <c r="M1213" s="42" t="s">
        <v>2887</v>
      </c>
      <c r="O1213" s="2" t="s">
        <v>2482</v>
      </c>
      <c r="P1213" t="s">
        <v>24</v>
      </c>
      <c r="Q1213" t="s">
        <v>897</v>
      </c>
    </row>
    <row r="1214" spans="1:17" ht="15" customHeight="1" x14ac:dyDescent="0.25">
      <c r="A1214" s="3" t="s">
        <v>1686</v>
      </c>
      <c r="B1214" s="4" t="s">
        <v>2888</v>
      </c>
      <c r="C1214" t="s">
        <v>1315</v>
      </c>
      <c r="D1214">
        <v>1</v>
      </c>
      <c r="E1214" t="s">
        <v>974</v>
      </c>
      <c r="F1214" t="s">
        <v>975</v>
      </c>
      <c r="G1214" t="s">
        <v>976</v>
      </c>
      <c r="H1214" s="1" t="s">
        <v>976</v>
      </c>
      <c r="I1214" s="1">
        <v>230</v>
      </c>
      <c r="J1214" s="20">
        <v>0</v>
      </c>
      <c r="K1214" s="1">
        <v>0</v>
      </c>
      <c r="L1214" s="1">
        <v>0</v>
      </c>
      <c r="M1214" s="42" t="s">
        <v>2887</v>
      </c>
      <c r="O1214" s="2" t="s">
        <v>2482</v>
      </c>
      <c r="P1214" t="s">
        <v>25</v>
      </c>
      <c r="Q1214" t="s">
        <v>897</v>
      </c>
    </row>
    <row r="1215" spans="1:17" ht="15" customHeight="1" x14ac:dyDescent="0.25">
      <c r="A1215" s="3" t="s">
        <v>1687</v>
      </c>
      <c r="B1215" s="4" t="s">
        <v>2888</v>
      </c>
      <c r="C1215" t="s">
        <v>1315</v>
      </c>
      <c r="D1215">
        <v>1</v>
      </c>
      <c r="E1215" t="s">
        <v>974</v>
      </c>
      <c r="F1215" t="s">
        <v>975</v>
      </c>
      <c r="G1215" t="s">
        <v>976</v>
      </c>
      <c r="H1215" s="1" t="s">
        <v>976</v>
      </c>
      <c r="I1215" s="1">
        <v>230</v>
      </c>
      <c r="J1215" s="20">
        <v>13</v>
      </c>
      <c r="K1215" s="1">
        <v>43.142856999999999</v>
      </c>
      <c r="L1215" s="1">
        <v>560.86</v>
      </c>
      <c r="M1215" s="42" t="s">
        <v>2887</v>
      </c>
      <c r="O1215" s="2" t="s">
        <v>2482</v>
      </c>
      <c r="P1215" t="s">
        <v>23</v>
      </c>
      <c r="Q1215" t="s">
        <v>897</v>
      </c>
    </row>
    <row r="1216" spans="1:17" ht="15" customHeight="1" x14ac:dyDescent="0.25">
      <c r="A1216" s="41" t="s">
        <v>1687</v>
      </c>
      <c r="B1216" s="3" t="s">
        <v>2888</v>
      </c>
      <c r="C1216" s="41" t="s">
        <v>1315</v>
      </c>
      <c r="D1216">
        <v>3</v>
      </c>
      <c r="E1216" t="s">
        <v>1179</v>
      </c>
      <c r="F1216" t="s">
        <v>1180</v>
      </c>
      <c r="G1216" t="s">
        <v>976</v>
      </c>
      <c r="H1216" s="1" t="s">
        <v>976</v>
      </c>
      <c r="I1216" s="1">
        <v>230</v>
      </c>
      <c r="J1216" s="20">
        <v>2</v>
      </c>
      <c r="K1216" s="1">
        <v>230</v>
      </c>
      <c r="L1216" s="1">
        <v>460</v>
      </c>
      <c r="M1216" s="42" t="s">
        <v>2887</v>
      </c>
      <c r="O1216" s="2" t="s">
        <v>2482</v>
      </c>
      <c r="P1216" t="s">
        <v>23</v>
      </c>
      <c r="Q1216" t="s">
        <v>897</v>
      </c>
    </row>
    <row r="1217" spans="1:17" ht="15" customHeight="1" x14ac:dyDescent="0.25">
      <c r="A1217" s="3" t="s">
        <v>1688</v>
      </c>
      <c r="B1217" s="4" t="s">
        <v>2888</v>
      </c>
      <c r="C1217" t="s">
        <v>1315</v>
      </c>
      <c r="D1217">
        <v>1</v>
      </c>
      <c r="E1217" t="s">
        <v>974</v>
      </c>
      <c r="F1217" t="s">
        <v>975</v>
      </c>
      <c r="G1217" t="s">
        <v>976</v>
      </c>
      <c r="H1217" s="1" t="s">
        <v>976</v>
      </c>
      <c r="I1217" s="1">
        <v>230</v>
      </c>
      <c r="J1217" s="20">
        <v>0</v>
      </c>
      <c r="K1217" s="1">
        <v>32</v>
      </c>
      <c r="L1217" s="1">
        <v>0</v>
      </c>
      <c r="M1217" s="42" t="s">
        <v>2887</v>
      </c>
      <c r="O1217" s="2" t="s">
        <v>2482</v>
      </c>
      <c r="P1217" t="s">
        <v>22</v>
      </c>
      <c r="Q1217" t="s">
        <v>897</v>
      </c>
    </row>
    <row r="1218" spans="1:17" ht="15" customHeight="1" x14ac:dyDescent="0.25">
      <c r="A1218" s="41" t="s">
        <v>1688</v>
      </c>
      <c r="B1218" s="3" t="s">
        <v>2888</v>
      </c>
      <c r="C1218" s="41" t="s">
        <v>1315</v>
      </c>
      <c r="D1218">
        <v>3</v>
      </c>
      <c r="E1218" t="s">
        <v>1179</v>
      </c>
      <c r="F1218" t="s">
        <v>1180</v>
      </c>
      <c r="G1218" t="s">
        <v>976</v>
      </c>
      <c r="H1218" s="1" t="s">
        <v>976</v>
      </c>
      <c r="I1218" s="1">
        <v>230</v>
      </c>
      <c r="J1218" s="20">
        <v>0</v>
      </c>
      <c r="K1218" s="1">
        <v>32</v>
      </c>
      <c r="L1218" s="1">
        <v>0</v>
      </c>
      <c r="M1218" s="42" t="s">
        <v>2887</v>
      </c>
      <c r="O1218" s="2" t="s">
        <v>2482</v>
      </c>
      <c r="P1218" t="s">
        <v>22</v>
      </c>
      <c r="Q1218" t="s">
        <v>897</v>
      </c>
    </row>
    <row r="1219" spans="1:17" ht="15" customHeight="1" x14ac:dyDescent="0.25">
      <c r="A1219" s="3" t="s">
        <v>1689</v>
      </c>
      <c r="B1219" s="4" t="s">
        <v>2889</v>
      </c>
      <c r="C1219" t="s">
        <v>1315</v>
      </c>
      <c r="D1219">
        <v>1</v>
      </c>
      <c r="E1219" t="s">
        <v>974</v>
      </c>
      <c r="F1219" t="s">
        <v>975</v>
      </c>
      <c r="G1219" t="s">
        <v>976</v>
      </c>
      <c r="H1219" s="1" t="s">
        <v>976</v>
      </c>
      <c r="I1219" s="1">
        <v>630</v>
      </c>
      <c r="J1219" s="20">
        <v>3</v>
      </c>
      <c r="K1219" s="1">
        <v>111</v>
      </c>
      <c r="L1219" s="1">
        <v>333</v>
      </c>
      <c r="M1219" s="42" t="s">
        <v>2887</v>
      </c>
      <c r="O1219" s="2" t="s">
        <v>2443</v>
      </c>
      <c r="P1219" t="s">
        <v>24</v>
      </c>
      <c r="Q1219" t="s">
        <v>898</v>
      </c>
    </row>
    <row r="1220" spans="1:17" ht="15" customHeight="1" x14ac:dyDescent="0.25">
      <c r="A1220" s="3" t="s">
        <v>1690</v>
      </c>
      <c r="B1220" s="4" t="s">
        <v>2889</v>
      </c>
      <c r="C1220" t="s">
        <v>1315</v>
      </c>
      <c r="D1220">
        <v>1</v>
      </c>
      <c r="E1220" t="s">
        <v>974</v>
      </c>
      <c r="F1220" t="s">
        <v>975</v>
      </c>
      <c r="G1220" t="s">
        <v>976</v>
      </c>
      <c r="H1220" s="1" t="s">
        <v>976</v>
      </c>
      <c r="I1220" s="1">
        <v>630</v>
      </c>
      <c r="J1220" s="20">
        <v>0</v>
      </c>
      <c r="K1220" s="1">
        <v>0</v>
      </c>
      <c r="L1220" s="1">
        <v>0</v>
      </c>
      <c r="M1220" s="42" t="s">
        <v>2887</v>
      </c>
      <c r="O1220" s="2" t="s">
        <v>2443</v>
      </c>
      <c r="P1220" t="s">
        <v>25</v>
      </c>
      <c r="Q1220" t="s">
        <v>898</v>
      </c>
    </row>
    <row r="1221" spans="1:17" ht="15" customHeight="1" x14ac:dyDescent="0.25">
      <c r="A1221" s="3" t="s">
        <v>1691</v>
      </c>
      <c r="B1221" s="4" t="s">
        <v>2889</v>
      </c>
      <c r="C1221" t="s">
        <v>1315</v>
      </c>
      <c r="D1221">
        <v>1</v>
      </c>
      <c r="E1221" t="s">
        <v>974</v>
      </c>
      <c r="F1221" t="s">
        <v>975</v>
      </c>
      <c r="G1221" t="s">
        <v>976</v>
      </c>
      <c r="H1221" s="1" t="s">
        <v>976</v>
      </c>
      <c r="I1221" s="1">
        <v>630</v>
      </c>
      <c r="J1221" s="20">
        <v>1</v>
      </c>
      <c r="K1221" s="1">
        <v>111</v>
      </c>
      <c r="L1221" s="1">
        <v>111</v>
      </c>
      <c r="M1221" s="42" t="s">
        <v>2887</v>
      </c>
      <c r="O1221" s="2" t="s">
        <v>2443</v>
      </c>
      <c r="P1221" t="s">
        <v>23</v>
      </c>
      <c r="Q1221" t="s">
        <v>898</v>
      </c>
    </row>
    <row r="1222" spans="1:17" ht="15" customHeight="1" x14ac:dyDescent="0.25">
      <c r="A1222" s="41" t="s">
        <v>1691</v>
      </c>
      <c r="B1222" s="3" t="s">
        <v>2889</v>
      </c>
      <c r="C1222" s="41" t="s">
        <v>1315</v>
      </c>
      <c r="D1222">
        <v>3</v>
      </c>
      <c r="E1222" t="s">
        <v>1179</v>
      </c>
      <c r="F1222" t="s">
        <v>1180</v>
      </c>
      <c r="G1222" t="s">
        <v>976</v>
      </c>
      <c r="H1222" s="1" t="s">
        <v>976</v>
      </c>
      <c r="I1222" s="1">
        <v>630</v>
      </c>
      <c r="J1222" s="20">
        <v>0</v>
      </c>
      <c r="K1222" s="1">
        <v>111</v>
      </c>
      <c r="L1222" s="1">
        <v>0</v>
      </c>
      <c r="M1222" s="42" t="s">
        <v>2887</v>
      </c>
      <c r="O1222" s="2" t="s">
        <v>2443</v>
      </c>
      <c r="P1222" t="s">
        <v>23</v>
      </c>
      <c r="Q1222" t="s">
        <v>898</v>
      </c>
    </row>
    <row r="1223" spans="1:17" ht="15" customHeight="1" x14ac:dyDescent="0.25">
      <c r="A1223" s="3" t="s">
        <v>1692</v>
      </c>
      <c r="B1223" s="4" t="s">
        <v>2889</v>
      </c>
      <c r="C1223" t="s">
        <v>1315</v>
      </c>
      <c r="D1223">
        <v>1</v>
      </c>
      <c r="E1223" t="s">
        <v>974</v>
      </c>
      <c r="F1223" t="s">
        <v>975</v>
      </c>
      <c r="G1223" t="s">
        <v>976</v>
      </c>
      <c r="H1223" s="1" t="s">
        <v>976</v>
      </c>
      <c r="I1223" s="1">
        <v>630</v>
      </c>
      <c r="J1223" s="20">
        <v>1</v>
      </c>
      <c r="K1223" s="1">
        <v>111</v>
      </c>
      <c r="L1223" s="1">
        <v>111</v>
      </c>
      <c r="M1223" s="42" t="s">
        <v>2887</v>
      </c>
      <c r="O1223" s="2" t="s">
        <v>2443</v>
      </c>
      <c r="P1223" t="s">
        <v>22</v>
      </c>
      <c r="Q1223" t="s">
        <v>898</v>
      </c>
    </row>
    <row r="1224" spans="1:17" ht="15" customHeight="1" x14ac:dyDescent="0.25">
      <c r="A1224" s="41" t="s">
        <v>1692</v>
      </c>
      <c r="B1224" s="3" t="s">
        <v>2889</v>
      </c>
      <c r="C1224" s="41" t="s">
        <v>1315</v>
      </c>
      <c r="D1224">
        <v>3</v>
      </c>
      <c r="E1224" t="s">
        <v>1179</v>
      </c>
      <c r="F1224" t="s">
        <v>1180</v>
      </c>
      <c r="G1224" t="s">
        <v>976</v>
      </c>
      <c r="H1224" s="1" t="s">
        <v>976</v>
      </c>
      <c r="I1224" s="1">
        <v>630</v>
      </c>
      <c r="J1224" s="20">
        <v>0</v>
      </c>
      <c r="K1224" s="1">
        <v>111</v>
      </c>
      <c r="L1224" s="1">
        <v>0</v>
      </c>
      <c r="M1224" s="42" t="s">
        <v>2887</v>
      </c>
      <c r="O1224" s="2" t="s">
        <v>2443</v>
      </c>
      <c r="P1224" t="s">
        <v>22</v>
      </c>
      <c r="Q1224" t="s">
        <v>898</v>
      </c>
    </row>
    <row r="1225" spans="1:17" ht="15" customHeight="1" x14ac:dyDescent="0.25">
      <c r="A1225" s="3" t="s">
        <v>1693</v>
      </c>
      <c r="B1225" s="4" t="s">
        <v>342</v>
      </c>
      <c r="C1225" t="s">
        <v>1241</v>
      </c>
      <c r="D1225">
        <v>1</v>
      </c>
      <c r="E1225" t="s">
        <v>974</v>
      </c>
      <c r="F1225" t="s">
        <v>975</v>
      </c>
      <c r="G1225" t="s">
        <v>976</v>
      </c>
      <c r="H1225" s="1" t="s">
        <v>976</v>
      </c>
      <c r="I1225" s="1">
        <v>11000</v>
      </c>
      <c r="J1225" s="20">
        <v>0</v>
      </c>
      <c r="K1225" s="1">
        <v>0</v>
      </c>
      <c r="L1225" s="1">
        <v>0</v>
      </c>
      <c r="M1225" s="42" t="s">
        <v>2890</v>
      </c>
      <c r="P1225" t="s">
        <v>23</v>
      </c>
      <c r="Q1225" t="s">
        <v>342</v>
      </c>
    </row>
    <row r="1226" spans="1:17" ht="15" customHeight="1" x14ac:dyDescent="0.25">
      <c r="A1226" s="3" t="s">
        <v>1694</v>
      </c>
      <c r="B1226" s="4" t="s">
        <v>2891</v>
      </c>
      <c r="C1226" t="s">
        <v>1355</v>
      </c>
      <c r="D1226">
        <v>1</v>
      </c>
      <c r="E1226" t="s">
        <v>974</v>
      </c>
      <c r="F1226" t="s">
        <v>975</v>
      </c>
      <c r="G1226" t="s">
        <v>976</v>
      </c>
      <c r="H1226" s="1" t="s">
        <v>976</v>
      </c>
      <c r="I1226" s="1">
        <v>1240</v>
      </c>
      <c r="J1226" s="20">
        <v>0</v>
      </c>
      <c r="K1226" s="1">
        <v>214</v>
      </c>
      <c r="L1226" s="1">
        <v>0</v>
      </c>
      <c r="M1226" s="42" t="s">
        <v>2890</v>
      </c>
      <c r="O1226" s="2" t="s">
        <v>2447</v>
      </c>
      <c r="P1226" t="s">
        <v>24</v>
      </c>
      <c r="Q1226" t="s">
        <v>899</v>
      </c>
    </row>
    <row r="1227" spans="1:17" ht="15" customHeight="1" x14ac:dyDescent="0.25">
      <c r="A1227" s="3" t="s">
        <v>1695</v>
      </c>
      <c r="B1227" s="4" t="s">
        <v>2891</v>
      </c>
      <c r="C1227" t="s">
        <v>1355</v>
      </c>
      <c r="D1227">
        <v>1</v>
      </c>
      <c r="E1227" t="s">
        <v>974</v>
      </c>
      <c r="F1227" t="s">
        <v>975</v>
      </c>
      <c r="G1227" t="s">
        <v>976</v>
      </c>
      <c r="H1227" s="1" t="s">
        <v>976</v>
      </c>
      <c r="I1227" s="1">
        <v>1240</v>
      </c>
      <c r="J1227" s="20">
        <v>1</v>
      </c>
      <c r="K1227" s="1">
        <v>214</v>
      </c>
      <c r="L1227" s="1">
        <v>214</v>
      </c>
      <c r="M1227" s="42" t="s">
        <v>2890</v>
      </c>
      <c r="O1227" s="2" t="s">
        <v>2447</v>
      </c>
      <c r="P1227" t="s">
        <v>25</v>
      </c>
      <c r="Q1227" t="s">
        <v>899</v>
      </c>
    </row>
    <row r="1228" spans="1:17" ht="15" customHeight="1" x14ac:dyDescent="0.25">
      <c r="A1228" s="3" t="s">
        <v>1696</v>
      </c>
      <c r="B1228" s="4" t="s">
        <v>2891</v>
      </c>
      <c r="C1228" t="s">
        <v>1355</v>
      </c>
      <c r="D1228">
        <v>1</v>
      </c>
      <c r="E1228" t="s">
        <v>974</v>
      </c>
      <c r="F1228" t="s">
        <v>975</v>
      </c>
      <c r="G1228" t="s">
        <v>976</v>
      </c>
      <c r="H1228" s="1" t="s">
        <v>976</v>
      </c>
      <c r="I1228" s="1">
        <v>1240</v>
      </c>
      <c r="J1228" s="20">
        <v>0</v>
      </c>
      <c r="K1228" s="1">
        <v>214.05</v>
      </c>
      <c r="L1228" s="1">
        <v>0</v>
      </c>
      <c r="M1228" s="42" t="s">
        <v>2890</v>
      </c>
      <c r="O1228" s="2" t="s">
        <v>2447</v>
      </c>
      <c r="P1228" t="s">
        <v>23</v>
      </c>
      <c r="Q1228" t="s">
        <v>899</v>
      </c>
    </row>
    <row r="1229" spans="1:17" ht="15" customHeight="1" x14ac:dyDescent="0.25">
      <c r="A1229" s="3" t="s">
        <v>1697</v>
      </c>
      <c r="B1229" s="4" t="s">
        <v>2891</v>
      </c>
      <c r="C1229" t="s">
        <v>1355</v>
      </c>
      <c r="D1229">
        <v>1</v>
      </c>
      <c r="E1229" t="s">
        <v>974</v>
      </c>
      <c r="F1229" t="s">
        <v>975</v>
      </c>
      <c r="G1229" t="s">
        <v>976</v>
      </c>
      <c r="H1229" s="1" t="s">
        <v>976</v>
      </c>
      <c r="I1229" s="1">
        <v>1240</v>
      </c>
      <c r="J1229" s="20">
        <v>0</v>
      </c>
      <c r="K1229" s="1">
        <v>214.31</v>
      </c>
      <c r="L1229" s="1">
        <v>0</v>
      </c>
      <c r="M1229" s="42" t="s">
        <v>2890</v>
      </c>
      <c r="O1229" s="2" t="s">
        <v>2447</v>
      </c>
      <c r="P1229" t="s">
        <v>22</v>
      </c>
      <c r="Q1229" t="s">
        <v>899</v>
      </c>
    </row>
    <row r="1230" spans="1:17" ht="15" customHeight="1" x14ac:dyDescent="0.25">
      <c r="A1230" s="3" t="s">
        <v>1698</v>
      </c>
      <c r="B1230" s="4" t="s">
        <v>2891</v>
      </c>
      <c r="C1230" t="s">
        <v>1355</v>
      </c>
      <c r="D1230">
        <v>1</v>
      </c>
      <c r="E1230" t="s">
        <v>974</v>
      </c>
      <c r="F1230" t="s">
        <v>975</v>
      </c>
      <c r="G1230" t="s">
        <v>976</v>
      </c>
      <c r="H1230" s="1" t="s">
        <v>976</v>
      </c>
      <c r="I1230" s="1">
        <v>1240</v>
      </c>
      <c r="J1230" s="20">
        <v>-1</v>
      </c>
      <c r="K1230" s="1">
        <v>0</v>
      </c>
      <c r="L1230" s="1">
        <v>0</v>
      </c>
      <c r="M1230" s="42" t="s">
        <v>2890</v>
      </c>
      <c r="N1230" s="1" t="s">
        <v>2616</v>
      </c>
      <c r="O1230" s="2" t="s">
        <v>2447</v>
      </c>
      <c r="Q1230" t="s">
        <v>899</v>
      </c>
    </row>
    <row r="1231" spans="1:17" ht="15" customHeight="1" x14ac:dyDescent="0.25">
      <c r="A1231" s="41" t="s">
        <v>1698</v>
      </c>
      <c r="B1231" s="3" t="s">
        <v>2891</v>
      </c>
      <c r="C1231" s="41" t="s">
        <v>1355</v>
      </c>
      <c r="D1231">
        <v>4</v>
      </c>
      <c r="E1231" t="s">
        <v>1018</v>
      </c>
      <c r="F1231" t="s">
        <v>975</v>
      </c>
      <c r="G1231" t="s">
        <v>976</v>
      </c>
      <c r="H1231" s="1" t="s">
        <v>976</v>
      </c>
      <c r="I1231" s="1">
        <v>1240</v>
      </c>
      <c r="J1231" s="20">
        <v>1</v>
      </c>
      <c r="K1231" s="1">
        <v>1240</v>
      </c>
      <c r="L1231" s="1">
        <v>1240</v>
      </c>
      <c r="M1231" s="42" t="s">
        <v>2890</v>
      </c>
      <c r="N1231" s="1" t="s">
        <v>2616</v>
      </c>
      <c r="O1231" s="2" t="s">
        <v>2447</v>
      </c>
      <c r="Q1231" t="s">
        <v>899</v>
      </c>
    </row>
    <row r="1232" spans="1:17" ht="15" customHeight="1" x14ac:dyDescent="0.25">
      <c r="A1232" s="3" t="s">
        <v>1699</v>
      </c>
      <c r="B1232" s="4" t="s">
        <v>2891</v>
      </c>
      <c r="C1232" t="s">
        <v>1355</v>
      </c>
      <c r="D1232">
        <v>1</v>
      </c>
      <c r="E1232" t="s">
        <v>974</v>
      </c>
      <c r="F1232" t="s">
        <v>975</v>
      </c>
      <c r="G1232" t="s">
        <v>976</v>
      </c>
      <c r="H1232" s="1" t="s">
        <v>976</v>
      </c>
      <c r="I1232" s="1">
        <v>1240</v>
      </c>
      <c r="J1232" s="20">
        <v>0</v>
      </c>
      <c r="K1232" s="1">
        <v>0</v>
      </c>
      <c r="L1232" s="1">
        <v>0</v>
      </c>
      <c r="M1232" s="42" t="s">
        <v>2890</v>
      </c>
      <c r="O1232" s="2" t="s">
        <v>2447</v>
      </c>
      <c r="P1232" t="s">
        <v>21</v>
      </c>
      <c r="Q1232" t="s">
        <v>899</v>
      </c>
    </row>
    <row r="1233" spans="1:17" ht="15" customHeight="1" x14ac:dyDescent="0.25">
      <c r="A1233" s="3" t="s">
        <v>1700</v>
      </c>
      <c r="B1233" s="4" t="s">
        <v>2891</v>
      </c>
      <c r="C1233" t="s">
        <v>1355</v>
      </c>
      <c r="D1233">
        <v>1</v>
      </c>
      <c r="E1233" t="s">
        <v>974</v>
      </c>
      <c r="F1233" t="s">
        <v>975</v>
      </c>
      <c r="G1233" t="s">
        <v>976</v>
      </c>
      <c r="H1233" s="1" t="s">
        <v>976</v>
      </c>
      <c r="I1233" s="1">
        <v>1240</v>
      </c>
      <c r="J1233" s="20">
        <v>0</v>
      </c>
      <c r="K1233" s="1">
        <v>0</v>
      </c>
      <c r="L1233" s="1">
        <v>0</v>
      </c>
      <c r="M1233" s="42" t="s">
        <v>2890</v>
      </c>
      <c r="O1233" s="2" t="s">
        <v>2447</v>
      </c>
      <c r="Q1233" t="s">
        <v>899</v>
      </c>
    </row>
    <row r="1234" spans="1:17" ht="15" customHeight="1" x14ac:dyDescent="0.25">
      <c r="A1234" s="3" t="s">
        <v>1701</v>
      </c>
      <c r="B1234" s="4" t="s">
        <v>2891</v>
      </c>
      <c r="C1234" t="s">
        <v>1355</v>
      </c>
      <c r="D1234">
        <v>1</v>
      </c>
      <c r="E1234" t="s">
        <v>974</v>
      </c>
      <c r="F1234" t="s">
        <v>975</v>
      </c>
      <c r="G1234" t="s">
        <v>976</v>
      </c>
      <c r="H1234" s="1" t="s">
        <v>976</v>
      </c>
      <c r="I1234" s="1">
        <v>1240</v>
      </c>
      <c r="J1234" s="20">
        <v>0</v>
      </c>
      <c r="K1234" s="1">
        <v>222</v>
      </c>
      <c r="L1234" s="1">
        <v>0</v>
      </c>
      <c r="M1234" s="42" t="s">
        <v>2890</v>
      </c>
      <c r="O1234" s="2" t="s">
        <v>2463</v>
      </c>
      <c r="P1234" t="s">
        <v>24</v>
      </c>
      <c r="Q1234" t="s">
        <v>900</v>
      </c>
    </row>
    <row r="1235" spans="1:17" ht="15" customHeight="1" x14ac:dyDescent="0.25">
      <c r="A1235" s="3" t="s">
        <v>1702</v>
      </c>
      <c r="B1235" s="4" t="s">
        <v>2891</v>
      </c>
      <c r="C1235" t="s">
        <v>1355</v>
      </c>
      <c r="D1235">
        <v>1</v>
      </c>
      <c r="E1235" t="s">
        <v>974</v>
      </c>
      <c r="F1235" t="s">
        <v>975</v>
      </c>
      <c r="G1235" t="s">
        <v>976</v>
      </c>
      <c r="H1235" s="1" t="s">
        <v>976</v>
      </c>
      <c r="I1235" s="1">
        <v>1240</v>
      </c>
      <c r="J1235" s="20">
        <v>0</v>
      </c>
      <c r="K1235" s="1">
        <v>222</v>
      </c>
      <c r="L1235" s="1">
        <v>0</v>
      </c>
      <c r="M1235" s="42" t="s">
        <v>2890</v>
      </c>
      <c r="O1235" s="2" t="s">
        <v>2463</v>
      </c>
      <c r="P1235" t="s">
        <v>25</v>
      </c>
      <c r="Q1235" t="s">
        <v>900</v>
      </c>
    </row>
    <row r="1236" spans="1:17" ht="15" customHeight="1" x14ac:dyDescent="0.25">
      <c r="A1236" s="3" t="s">
        <v>1703</v>
      </c>
      <c r="B1236" s="4" t="s">
        <v>2891</v>
      </c>
      <c r="C1236" t="s">
        <v>1355</v>
      </c>
      <c r="D1236">
        <v>1</v>
      </c>
      <c r="E1236" t="s">
        <v>974</v>
      </c>
      <c r="F1236" t="s">
        <v>975</v>
      </c>
      <c r="G1236" t="s">
        <v>976</v>
      </c>
      <c r="H1236" s="1" t="s">
        <v>976</v>
      </c>
      <c r="I1236" s="1">
        <v>1240</v>
      </c>
      <c r="J1236" s="20">
        <v>0</v>
      </c>
      <c r="K1236" s="1">
        <v>222</v>
      </c>
      <c r="L1236" s="1">
        <v>0</v>
      </c>
      <c r="M1236" s="42" t="s">
        <v>2890</v>
      </c>
      <c r="O1236" s="2" t="s">
        <v>2463</v>
      </c>
      <c r="P1236" t="s">
        <v>23</v>
      </c>
      <c r="Q1236" t="s">
        <v>900</v>
      </c>
    </row>
    <row r="1237" spans="1:17" ht="15" customHeight="1" x14ac:dyDescent="0.25">
      <c r="A1237" s="3" t="s">
        <v>1704</v>
      </c>
      <c r="B1237" s="4" t="s">
        <v>2891</v>
      </c>
      <c r="C1237" t="s">
        <v>1355</v>
      </c>
      <c r="D1237">
        <v>1</v>
      </c>
      <c r="E1237" t="s">
        <v>974</v>
      </c>
      <c r="F1237" t="s">
        <v>975</v>
      </c>
      <c r="G1237" t="s">
        <v>976</v>
      </c>
      <c r="H1237" s="1" t="s">
        <v>976</v>
      </c>
      <c r="I1237" s="1">
        <v>1240</v>
      </c>
      <c r="J1237" s="20">
        <v>1</v>
      </c>
      <c r="K1237" s="1">
        <v>222</v>
      </c>
      <c r="L1237" s="1">
        <v>222</v>
      </c>
      <c r="M1237" s="42" t="s">
        <v>2890</v>
      </c>
      <c r="O1237" s="2" t="s">
        <v>2463</v>
      </c>
      <c r="P1237" t="s">
        <v>22</v>
      </c>
      <c r="Q1237" t="s">
        <v>900</v>
      </c>
    </row>
    <row r="1238" spans="1:17" ht="15" customHeight="1" x14ac:dyDescent="0.25">
      <c r="A1238" s="3" t="s">
        <v>1705</v>
      </c>
      <c r="B1238" s="4" t="s">
        <v>2891</v>
      </c>
      <c r="C1238" t="s">
        <v>1355</v>
      </c>
      <c r="D1238">
        <v>1</v>
      </c>
      <c r="E1238" t="s">
        <v>974</v>
      </c>
      <c r="F1238" t="s">
        <v>975</v>
      </c>
      <c r="G1238" t="s">
        <v>976</v>
      </c>
      <c r="H1238" s="1" t="s">
        <v>976</v>
      </c>
      <c r="I1238" s="1">
        <v>1240</v>
      </c>
      <c r="J1238" s="20">
        <v>-1</v>
      </c>
      <c r="K1238" s="1">
        <v>0</v>
      </c>
      <c r="L1238" s="1">
        <v>0</v>
      </c>
      <c r="M1238" s="42" t="s">
        <v>2890</v>
      </c>
      <c r="N1238" s="1" t="s">
        <v>2616</v>
      </c>
      <c r="O1238" s="2" t="s">
        <v>2463</v>
      </c>
      <c r="Q1238" t="s">
        <v>900</v>
      </c>
    </row>
    <row r="1239" spans="1:17" ht="15" customHeight="1" x14ac:dyDescent="0.25">
      <c r="A1239" s="3" t="s">
        <v>1706</v>
      </c>
      <c r="B1239" s="4" t="s">
        <v>2891</v>
      </c>
      <c r="C1239" t="s">
        <v>1355</v>
      </c>
      <c r="D1239">
        <v>1</v>
      </c>
      <c r="E1239" t="s">
        <v>974</v>
      </c>
      <c r="F1239" t="s">
        <v>975</v>
      </c>
      <c r="G1239" t="s">
        <v>976</v>
      </c>
      <c r="H1239" s="1" t="s">
        <v>976</v>
      </c>
      <c r="I1239" s="1">
        <v>1240</v>
      </c>
      <c r="J1239" s="20">
        <v>0</v>
      </c>
      <c r="K1239" s="1">
        <v>0</v>
      </c>
      <c r="L1239" s="1">
        <v>0</v>
      </c>
      <c r="M1239" s="42" t="s">
        <v>2890</v>
      </c>
      <c r="O1239" s="2" t="s">
        <v>2463</v>
      </c>
      <c r="P1239" t="s">
        <v>21</v>
      </c>
      <c r="Q1239" t="s">
        <v>900</v>
      </c>
    </row>
    <row r="1240" spans="1:17" ht="15" customHeight="1" x14ac:dyDescent="0.25">
      <c r="A1240" s="3" t="s">
        <v>1707</v>
      </c>
      <c r="B1240" s="4" t="s">
        <v>2891</v>
      </c>
      <c r="C1240" t="s">
        <v>1355</v>
      </c>
      <c r="D1240">
        <v>1</v>
      </c>
      <c r="E1240" t="s">
        <v>974</v>
      </c>
      <c r="F1240" t="s">
        <v>975</v>
      </c>
      <c r="G1240" t="s">
        <v>976</v>
      </c>
      <c r="H1240" s="1" t="s">
        <v>976</v>
      </c>
      <c r="I1240" s="1">
        <v>1240</v>
      </c>
      <c r="J1240" s="20">
        <v>0</v>
      </c>
      <c r="K1240" s="1">
        <v>0</v>
      </c>
      <c r="L1240" s="1">
        <v>0</v>
      </c>
      <c r="M1240" s="42" t="s">
        <v>2890</v>
      </c>
      <c r="O1240" s="2" t="s">
        <v>2463</v>
      </c>
      <c r="Q1240" t="s">
        <v>900</v>
      </c>
    </row>
    <row r="1241" spans="1:17" ht="15" customHeight="1" x14ac:dyDescent="0.25">
      <c r="A1241" s="3" t="s">
        <v>1708</v>
      </c>
      <c r="B1241" s="4" t="s">
        <v>343</v>
      </c>
      <c r="C1241" t="s">
        <v>1355</v>
      </c>
      <c r="D1241">
        <v>1</v>
      </c>
      <c r="E1241" t="s">
        <v>974</v>
      </c>
      <c r="F1241" t="s">
        <v>975</v>
      </c>
      <c r="G1241" t="s">
        <v>976</v>
      </c>
      <c r="H1241" s="1" t="s">
        <v>976</v>
      </c>
      <c r="I1241" s="1">
        <v>0</v>
      </c>
      <c r="J1241" s="20">
        <v>0</v>
      </c>
      <c r="K1241" s="1">
        <v>0</v>
      </c>
      <c r="L1241" s="1">
        <v>0</v>
      </c>
      <c r="M1241" s="42" t="s">
        <v>2890</v>
      </c>
      <c r="P1241" t="s">
        <v>24</v>
      </c>
      <c r="Q1241" t="s">
        <v>343</v>
      </c>
    </row>
    <row r="1242" spans="1:17" ht="15" customHeight="1" x14ac:dyDescent="0.25">
      <c r="A1242" s="3" t="s">
        <v>1709</v>
      </c>
      <c r="B1242" s="4" t="s">
        <v>344</v>
      </c>
      <c r="C1242" t="s">
        <v>1355</v>
      </c>
      <c r="D1242">
        <v>1</v>
      </c>
      <c r="E1242" t="s">
        <v>974</v>
      </c>
      <c r="F1242" t="s">
        <v>975</v>
      </c>
      <c r="G1242" t="s">
        <v>976</v>
      </c>
      <c r="H1242" s="1" t="s">
        <v>976</v>
      </c>
      <c r="I1242" s="1">
        <v>0</v>
      </c>
      <c r="J1242" s="20">
        <v>0</v>
      </c>
      <c r="K1242" s="1">
        <v>0</v>
      </c>
      <c r="L1242" s="1">
        <v>0</v>
      </c>
      <c r="M1242" s="42" t="s">
        <v>2890</v>
      </c>
      <c r="P1242" t="s">
        <v>25</v>
      </c>
      <c r="Q1242" t="s">
        <v>344</v>
      </c>
    </row>
    <row r="1243" spans="1:17" ht="15" customHeight="1" x14ac:dyDescent="0.25">
      <c r="A1243" s="3" t="s">
        <v>1710</v>
      </c>
      <c r="B1243" s="4" t="s">
        <v>345</v>
      </c>
      <c r="C1243" t="s">
        <v>1355</v>
      </c>
      <c r="D1243">
        <v>1</v>
      </c>
      <c r="E1243" t="s">
        <v>974</v>
      </c>
      <c r="F1243" t="s">
        <v>975</v>
      </c>
      <c r="G1243" t="s">
        <v>976</v>
      </c>
      <c r="H1243" s="1" t="s">
        <v>976</v>
      </c>
      <c r="I1243" s="1">
        <v>0</v>
      </c>
      <c r="J1243" s="20">
        <v>0</v>
      </c>
      <c r="K1243" s="1">
        <v>0</v>
      </c>
      <c r="L1243" s="1">
        <v>0</v>
      </c>
      <c r="M1243" s="42" t="s">
        <v>2890</v>
      </c>
      <c r="P1243" t="s">
        <v>23</v>
      </c>
      <c r="Q1243" t="s">
        <v>345</v>
      </c>
    </row>
    <row r="1244" spans="1:17" ht="15" customHeight="1" x14ac:dyDescent="0.25">
      <c r="A1244" s="3" t="s">
        <v>1711</v>
      </c>
      <c r="B1244" s="4" t="s">
        <v>346</v>
      </c>
      <c r="C1244" t="s">
        <v>1355</v>
      </c>
      <c r="D1244">
        <v>1</v>
      </c>
      <c r="E1244" t="s">
        <v>974</v>
      </c>
      <c r="F1244" t="s">
        <v>975</v>
      </c>
      <c r="G1244" t="s">
        <v>976</v>
      </c>
      <c r="H1244" s="1" t="s">
        <v>976</v>
      </c>
      <c r="I1244" s="1">
        <v>0</v>
      </c>
      <c r="J1244" s="20">
        <v>0</v>
      </c>
      <c r="K1244" s="1">
        <v>0</v>
      </c>
      <c r="L1244" s="1">
        <v>0</v>
      </c>
      <c r="M1244" s="42" t="s">
        <v>2890</v>
      </c>
      <c r="P1244" t="s">
        <v>22</v>
      </c>
      <c r="Q1244" t="s">
        <v>346</v>
      </c>
    </row>
    <row r="1245" spans="1:17" ht="15" customHeight="1" x14ac:dyDescent="0.25">
      <c r="A1245" s="3" t="s">
        <v>1712</v>
      </c>
      <c r="B1245" s="4" t="s">
        <v>347</v>
      </c>
      <c r="C1245" t="s">
        <v>1355</v>
      </c>
      <c r="D1245">
        <v>1</v>
      </c>
      <c r="E1245" t="s">
        <v>974</v>
      </c>
      <c r="F1245" t="s">
        <v>975</v>
      </c>
      <c r="G1245" t="s">
        <v>976</v>
      </c>
      <c r="H1245" s="1" t="s">
        <v>976</v>
      </c>
      <c r="I1245" s="1">
        <v>0</v>
      </c>
      <c r="J1245" s="20">
        <v>0</v>
      </c>
      <c r="K1245" s="1">
        <v>0</v>
      </c>
      <c r="L1245" s="1">
        <v>0</v>
      </c>
      <c r="M1245" s="42" t="s">
        <v>2890</v>
      </c>
      <c r="P1245" t="s">
        <v>21</v>
      </c>
      <c r="Q1245" t="s">
        <v>347</v>
      </c>
    </row>
    <row r="1246" spans="1:17" ht="15" customHeight="1" x14ac:dyDescent="0.25">
      <c r="A1246" s="3" t="s">
        <v>1713</v>
      </c>
      <c r="B1246" s="4" t="s">
        <v>348</v>
      </c>
      <c r="C1246" t="s">
        <v>1355</v>
      </c>
      <c r="D1246">
        <v>1</v>
      </c>
      <c r="E1246" t="s">
        <v>974</v>
      </c>
      <c r="F1246" t="s">
        <v>975</v>
      </c>
      <c r="G1246" t="s">
        <v>976</v>
      </c>
      <c r="H1246" s="1" t="s">
        <v>976</v>
      </c>
      <c r="I1246" s="1">
        <v>0</v>
      </c>
      <c r="J1246" s="20">
        <v>0</v>
      </c>
      <c r="K1246" s="1">
        <v>0</v>
      </c>
      <c r="L1246" s="1">
        <v>0</v>
      </c>
      <c r="M1246" s="42" t="s">
        <v>2890</v>
      </c>
      <c r="Q1246" t="s">
        <v>348</v>
      </c>
    </row>
    <row r="1247" spans="1:17" ht="15" customHeight="1" x14ac:dyDescent="0.25">
      <c r="A1247" s="3" t="s">
        <v>2421</v>
      </c>
      <c r="B1247" s="4" t="s">
        <v>594</v>
      </c>
      <c r="C1247" t="s">
        <v>1309</v>
      </c>
      <c r="D1247">
        <v>1</v>
      </c>
      <c r="E1247" t="s">
        <v>974</v>
      </c>
      <c r="F1247" t="s">
        <v>975</v>
      </c>
      <c r="G1247" t="s">
        <v>976</v>
      </c>
      <c r="H1247" s="1" t="s">
        <v>976</v>
      </c>
      <c r="I1247" s="1">
        <v>25</v>
      </c>
      <c r="J1247" s="20">
        <v>160</v>
      </c>
      <c r="K1247" s="1">
        <v>0</v>
      </c>
      <c r="L1247" s="1">
        <v>0</v>
      </c>
      <c r="M1247" s="42" t="s">
        <v>2890</v>
      </c>
      <c r="Q1247" t="s">
        <v>594</v>
      </c>
    </row>
    <row r="1248" spans="1:17" ht="15" customHeight="1" x14ac:dyDescent="0.25">
      <c r="A1248" s="3" t="s">
        <v>2422</v>
      </c>
      <c r="B1248" s="4" t="s">
        <v>595</v>
      </c>
      <c r="C1248" t="s">
        <v>1219</v>
      </c>
      <c r="D1248">
        <v>1</v>
      </c>
      <c r="E1248" t="s">
        <v>974</v>
      </c>
      <c r="F1248" t="s">
        <v>975</v>
      </c>
      <c r="G1248" t="s">
        <v>1714</v>
      </c>
      <c r="H1248" s="1" t="s">
        <v>976</v>
      </c>
      <c r="I1248" s="1">
        <v>3100</v>
      </c>
      <c r="J1248" s="20">
        <v>0</v>
      </c>
      <c r="K1248" s="1">
        <v>350</v>
      </c>
      <c r="L1248" s="1">
        <v>0</v>
      </c>
      <c r="M1248" s="42" t="s">
        <v>2890</v>
      </c>
      <c r="Q1248" t="s">
        <v>595</v>
      </c>
    </row>
    <row r="1249" spans="1:17" ht="15" customHeight="1" x14ac:dyDescent="0.25">
      <c r="A1249" s="3" t="s">
        <v>1715</v>
      </c>
      <c r="B1249" s="4" t="s">
        <v>2893</v>
      </c>
      <c r="C1249" t="s">
        <v>1148</v>
      </c>
      <c r="D1249">
        <v>1</v>
      </c>
      <c r="E1249" t="s">
        <v>974</v>
      </c>
      <c r="F1249" t="s">
        <v>975</v>
      </c>
      <c r="G1249" t="s">
        <v>976</v>
      </c>
      <c r="H1249" s="1" t="s">
        <v>976</v>
      </c>
      <c r="I1249" s="1">
        <v>0</v>
      </c>
      <c r="J1249" s="20">
        <v>7</v>
      </c>
      <c r="K1249" s="1">
        <v>10</v>
      </c>
      <c r="L1249" s="1">
        <v>70</v>
      </c>
      <c r="M1249" s="42" t="s">
        <v>2892</v>
      </c>
      <c r="O1249" s="2" t="s">
        <v>2443</v>
      </c>
      <c r="P1249" t="s">
        <v>24</v>
      </c>
      <c r="Q1249" t="s">
        <v>901</v>
      </c>
    </row>
    <row r="1250" spans="1:17" ht="15" customHeight="1" x14ac:dyDescent="0.25">
      <c r="A1250" s="3" t="s">
        <v>1716</v>
      </c>
      <c r="B1250" s="4" t="s">
        <v>2893</v>
      </c>
      <c r="C1250" t="s">
        <v>1148</v>
      </c>
      <c r="D1250">
        <v>1</v>
      </c>
      <c r="E1250" t="s">
        <v>974</v>
      </c>
      <c r="F1250" t="s">
        <v>975</v>
      </c>
      <c r="G1250" t="s">
        <v>976</v>
      </c>
      <c r="H1250" s="1" t="s">
        <v>976</v>
      </c>
      <c r="I1250" s="1">
        <v>0</v>
      </c>
      <c r="J1250" s="20">
        <v>14</v>
      </c>
      <c r="K1250" s="1">
        <v>10</v>
      </c>
      <c r="L1250" s="1">
        <v>140</v>
      </c>
      <c r="M1250" s="42" t="s">
        <v>2892</v>
      </c>
      <c r="O1250" s="2" t="s">
        <v>2443</v>
      </c>
      <c r="Q1250" t="s">
        <v>901</v>
      </c>
    </row>
    <row r="1251" spans="1:17" ht="15" customHeight="1" x14ac:dyDescent="0.25">
      <c r="A1251" s="3" t="s">
        <v>1717</v>
      </c>
      <c r="B1251" s="4" t="s">
        <v>2893</v>
      </c>
      <c r="C1251" t="s">
        <v>1148</v>
      </c>
      <c r="D1251">
        <v>1</v>
      </c>
      <c r="E1251" t="s">
        <v>974</v>
      </c>
      <c r="F1251" t="s">
        <v>975</v>
      </c>
      <c r="G1251" t="s">
        <v>976</v>
      </c>
      <c r="H1251" s="1" t="s">
        <v>976</v>
      </c>
      <c r="I1251" s="1">
        <v>0</v>
      </c>
      <c r="J1251" s="20">
        <v>80</v>
      </c>
      <c r="K1251" s="1">
        <v>10</v>
      </c>
      <c r="L1251" s="1">
        <v>800</v>
      </c>
      <c r="M1251" s="42" t="s">
        <v>2892</v>
      </c>
      <c r="O1251" s="2" t="s">
        <v>2443</v>
      </c>
      <c r="P1251" t="s">
        <v>22</v>
      </c>
      <c r="Q1251" t="s">
        <v>901</v>
      </c>
    </row>
    <row r="1252" spans="1:17" ht="15" customHeight="1" x14ac:dyDescent="0.25">
      <c r="A1252" s="3" t="s">
        <v>1718</v>
      </c>
      <c r="B1252" s="4" t="s">
        <v>2893</v>
      </c>
      <c r="C1252" t="s">
        <v>1148</v>
      </c>
      <c r="D1252">
        <v>1</v>
      </c>
      <c r="E1252" t="s">
        <v>974</v>
      </c>
      <c r="F1252" t="s">
        <v>975</v>
      </c>
      <c r="G1252" t="s">
        <v>976</v>
      </c>
      <c r="H1252" s="1" t="s">
        <v>976</v>
      </c>
      <c r="I1252" s="1">
        <v>0</v>
      </c>
      <c r="J1252" s="20">
        <v>17</v>
      </c>
      <c r="K1252" s="1">
        <v>10</v>
      </c>
      <c r="L1252" s="1">
        <v>170</v>
      </c>
      <c r="M1252" s="42" t="s">
        <v>2892</v>
      </c>
      <c r="O1252" s="2" t="s">
        <v>2727</v>
      </c>
      <c r="P1252" t="s">
        <v>24</v>
      </c>
      <c r="Q1252" t="s">
        <v>902</v>
      </c>
    </row>
    <row r="1253" spans="1:17" ht="15" customHeight="1" x14ac:dyDescent="0.25">
      <c r="A1253" s="3" t="s">
        <v>1719</v>
      </c>
      <c r="B1253" s="4" t="s">
        <v>2893</v>
      </c>
      <c r="C1253" t="s">
        <v>1148</v>
      </c>
      <c r="D1253">
        <v>1</v>
      </c>
      <c r="E1253" t="s">
        <v>974</v>
      </c>
      <c r="F1253" t="s">
        <v>975</v>
      </c>
      <c r="G1253" t="s">
        <v>976</v>
      </c>
      <c r="H1253" s="1" t="s">
        <v>976</v>
      </c>
      <c r="I1253" s="1">
        <v>0</v>
      </c>
      <c r="J1253" s="20">
        <v>69</v>
      </c>
      <c r="K1253" s="1">
        <v>10</v>
      </c>
      <c r="L1253" s="1">
        <v>690</v>
      </c>
      <c r="M1253" s="42" t="s">
        <v>2892</v>
      </c>
      <c r="O1253" s="2" t="s">
        <v>2727</v>
      </c>
      <c r="P1253" t="s">
        <v>22</v>
      </c>
      <c r="Q1253" t="s">
        <v>902</v>
      </c>
    </row>
    <row r="1254" spans="1:17" ht="15" customHeight="1" x14ac:dyDescent="0.25">
      <c r="A1254" s="3" t="s">
        <v>1720</v>
      </c>
      <c r="B1254" s="4" t="s">
        <v>349</v>
      </c>
      <c r="C1254" t="s">
        <v>1066</v>
      </c>
      <c r="D1254">
        <v>1</v>
      </c>
      <c r="E1254" t="s">
        <v>974</v>
      </c>
      <c r="F1254" t="s">
        <v>975</v>
      </c>
      <c r="G1254" t="s">
        <v>976</v>
      </c>
      <c r="H1254" s="1" t="s">
        <v>976</v>
      </c>
      <c r="I1254" s="1">
        <v>2.1</v>
      </c>
      <c r="J1254" s="20">
        <v>3478</v>
      </c>
      <c r="K1254" s="1">
        <v>2.31</v>
      </c>
      <c r="L1254" s="1">
        <v>8034.18</v>
      </c>
      <c r="M1254" s="42" t="s">
        <v>2894</v>
      </c>
      <c r="Q1254" t="s">
        <v>349</v>
      </c>
    </row>
    <row r="1255" spans="1:17" ht="15" customHeight="1" x14ac:dyDescent="0.25">
      <c r="A1255" s="3" t="s">
        <v>1721</v>
      </c>
      <c r="B1255" s="4" t="s">
        <v>350</v>
      </c>
      <c r="C1255" t="s">
        <v>1066</v>
      </c>
      <c r="D1255">
        <v>1</v>
      </c>
      <c r="E1255" t="s">
        <v>974</v>
      </c>
      <c r="F1255" t="s">
        <v>975</v>
      </c>
      <c r="G1255" t="s">
        <v>976</v>
      </c>
      <c r="H1255" s="1" t="s">
        <v>976</v>
      </c>
      <c r="I1255" s="1">
        <v>2.35</v>
      </c>
      <c r="J1255" s="20">
        <v>480</v>
      </c>
      <c r="K1255" s="1">
        <v>2.59</v>
      </c>
      <c r="L1255" s="1">
        <v>1243.2</v>
      </c>
      <c r="M1255" s="42" t="s">
        <v>2894</v>
      </c>
      <c r="Q1255" t="s">
        <v>350</v>
      </c>
    </row>
    <row r="1256" spans="1:17" ht="15" customHeight="1" x14ac:dyDescent="0.25">
      <c r="A1256" s="3" t="s">
        <v>1722</v>
      </c>
      <c r="B1256" s="4" t="s">
        <v>351</v>
      </c>
      <c r="C1256" t="s">
        <v>1016</v>
      </c>
      <c r="D1256">
        <v>1</v>
      </c>
      <c r="E1256" t="s">
        <v>974</v>
      </c>
      <c r="F1256" t="s">
        <v>975</v>
      </c>
      <c r="G1256" t="s">
        <v>1723</v>
      </c>
      <c r="H1256" s="1" t="s">
        <v>976</v>
      </c>
      <c r="I1256" s="1">
        <v>1.38</v>
      </c>
      <c r="J1256" s="20">
        <v>1708</v>
      </c>
      <c r="K1256" s="1">
        <v>1.31</v>
      </c>
      <c r="L1256" s="1">
        <v>2237.48</v>
      </c>
      <c r="M1256" s="42" t="s">
        <v>2895</v>
      </c>
      <c r="Q1256" t="s">
        <v>351</v>
      </c>
    </row>
    <row r="1257" spans="1:17" ht="15" customHeight="1" x14ac:dyDescent="0.25">
      <c r="A1257" s="41" t="s">
        <v>1722</v>
      </c>
      <c r="B1257" s="3" t="s">
        <v>351</v>
      </c>
      <c r="C1257" s="41" t="s">
        <v>1016</v>
      </c>
      <c r="D1257">
        <v>4</v>
      </c>
      <c r="E1257" t="s">
        <v>1018</v>
      </c>
      <c r="F1257" t="s">
        <v>975</v>
      </c>
      <c r="G1257" t="s">
        <v>1723</v>
      </c>
      <c r="H1257" s="1" t="s">
        <v>976</v>
      </c>
      <c r="I1257" s="1">
        <v>1.38</v>
      </c>
      <c r="J1257" s="20">
        <v>872</v>
      </c>
      <c r="K1257" s="1">
        <v>1.38</v>
      </c>
      <c r="L1257" s="1">
        <v>1203.3599999999999</v>
      </c>
      <c r="M1257" s="42" t="s">
        <v>2895</v>
      </c>
      <c r="Q1257" t="s">
        <v>351</v>
      </c>
    </row>
    <row r="1258" spans="1:17" ht="15" customHeight="1" x14ac:dyDescent="0.25">
      <c r="A1258" s="3" t="s">
        <v>1724</v>
      </c>
      <c r="B1258" s="4" t="s">
        <v>352</v>
      </c>
      <c r="C1258" t="s">
        <v>1016</v>
      </c>
      <c r="D1258">
        <v>1</v>
      </c>
      <c r="E1258" t="s">
        <v>974</v>
      </c>
      <c r="F1258" t="s">
        <v>975</v>
      </c>
      <c r="G1258" t="s">
        <v>180</v>
      </c>
      <c r="H1258" s="1" t="s">
        <v>976</v>
      </c>
      <c r="I1258" s="1">
        <v>0.17699999999999999</v>
      </c>
      <c r="J1258" s="20">
        <v>868</v>
      </c>
      <c r="K1258" s="1">
        <v>0</v>
      </c>
      <c r="L1258" s="1">
        <v>0</v>
      </c>
      <c r="M1258" s="42" t="s">
        <v>2896</v>
      </c>
      <c r="Q1258" t="s">
        <v>352</v>
      </c>
    </row>
    <row r="1259" spans="1:17" ht="15" customHeight="1" x14ac:dyDescent="0.25">
      <c r="A1259" s="41" t="s">
        <v>1724</v>
      </c>
      <c r="B1259" s="3" t="s">
        <v>352</v>
      </c>
      <c r="C1259" s="41" t="s">
        <v>1016</v>
      </c>
      <c r="D1259">
        <v>4</v>
      </c>
      <c r="E1259" t="s">
        <v>1018</v>
      </c>
      <c r="F1259" t="s">
        <v>975</v>
      </c>
      <c r="G1259" t="s">
        <v>180</v>
      </c>
      <c r="H1259" s="1" t="s">
        <v>976</v>
      </c>
      <c r="I1259" s="1">
        <v>0.17699999999999999</v>
      </c>
      <c r="J1259" s="20">
        <v>62</v>
      </c>
      <c r="K1259" s="1">
        <v>0.17757999999999999</v>
      </c>
      <c r="L1259" s="1">
        <v>11.01</v>
      </c>
      <c r="M1259" s="42" t="s">
        <v>2896</v>
      </c>
      <c r="Q1259" t="s">
        <v>352</v>
      </c>
    </row>
    <row r="1260" spans="1:17" ht="15" customHeight="1" x14ac:dyDescent="0.25">
      <c r="A1260" s="3" t="s">
        <v>1725</v>
      </c>
      <c r="B1260" s="4" t="s">
        <v>353</v>
      </c>
      <c r="C1260" t="s">
        <v>1016</v>
      </c>
      <c r="D1260">
        <v>1</v>
      </c>
      <c r="E1260" t="s">
        <v>974</v>
      </c>
      <c r="F1260" t="s">
        <v>975</v>
      </c>
      <c r="G1260" t="s">
        <v>180</v>
      </c>
      <c r="H1260" s="1" t="s">
        <v>976</v>
      </c>
      <c r="I1260" s="1">
        <v>0.17699999999999999</v>
      </c>
      <c r="J1260" s="20">
        <v>-351</v>
      </c>
      <c r="K1260" s="1">
        <v>0.17699999999999999</v>
      </c>
      <c r="L1260" s="1">
        <v>-62.13</v>
      </c>
      <c r="M1260" s="42" t="s">
        <v>2897</v>
      </c>
      <c r="Q1260" t="s">
        <v>353</v>
      </c>
    </row>
    <row r="1261" spans="1:17" ht="15" customHeight="1" x14ac:dyDescent="0.25">
      <c r="A1261" s="41" t="s">
        <v>1725</v>
      </c>
      <c r="B1261" s="3" t="s">
        <v>353</v>
      </c>
      <c r="C1261" s="41" t="s">
        <v>1016</v>
      </c>
      <c r="D1261">
        <v>4</v>
      </c>
      <c r="E1261" t="s">
        <v>1018</v>
      </c>
      <c r="F1261" t="s">
        <v>975</v>
      </c>
      <c r="G1261" t="s">
        <v>180</v>
      </c>
      <c r="H1261" s="1" t="s">
        <v>976</v>
      </c>
      <c r="I1261" s="1">
        <v>0.17699999999999999</v>
      </c>
      <c r="J1261" s="20">
        <v>178</v>
      </c>
      <c r="K1261" s="1">
        <v>0.17752699999999999</v>
      </c>
      <c r="L1261" s="1">
        <v>31.6</v>
      </c>
      <c r="M1261" s="42" t="s">
        <v>2897</v>
      </c>
      <c r="Q1261" t="s">
        <v>353</v>
      </c>
    </row>
    <row r="1262" spans="1:17" ht="15" customHeight="1" x14ac:dyDescent="0.25">
      <c r="A1262" s="3" t="s">
        <v>1726</v>
      </c>
      <c r="B1262" s="4" t="s">
        <v>354</v>
      </c>
      <c r="C1262" t="s">
        <v>1016</v>
      </c>
      <c r="D1262">
        <v>1</v>
      </c>
      <c r="E1262" t="s">
        <v>974</v>
      </c>
      <c r="F1262" t="s">
        <v>975</v>
      </c>
      <c r="G1262" t="s">
        <v>180</v>
      </c>
      <c r="H1262" s="1" t="s">
        <v>976</v>
      </c>
      <c r="I1262" s="1">
        <v>0.17699999999999999</v>
      </c>
      <c r="J1262" s="20">
        <v>-719</v>
      </c>
      <c r="K1262" s="1">
        <v>0</v>
      </c>
      <c r="L1262" s="1">
        <v>0</v>
      </c>
      <c r="M1262" s="42" t="s">
        <v>2898</v>
      </c>
      <c r="Q1262" t="s">
        <v>354</v>
      </c>
    </row>
    <row r="1263" spans="1:17" ht="15" customHeight="1" x14ac:dyDescent="0.25">
      <c r="A1263" s="41" t="s">
        <v>1726</v>
      </c>
      <c r="B1263" s="3" t="s">
        <v>354</v>
      </c>
      <c r="C1263" s="41" t="s">
        <v>1016</v>
      </c>
      <c r="D1263">
        <v>4</v>
      </c>
      <c r="E1263" t="s">
        <v>1018</v>
      </c>
      <c r="F1263" t="s">
        <v>975</v>
      </c>
      <c r="G1263" t="s">
        <v>180</v>
      </c>
      <c r="H1263" s="1" t="s">
        <v>976</v>
      </c>
      <c r="I1263" s="1">
        <v>0.17699999999999999</v>
      </c>
      <c r="J1263" s="20">
        <v>334</v>
      </c>
      <c r="K1263" s="1">
        <v>0.17721300000000001</v>
      </c>
      <c r="L1263" s="1">
        <v>59.19</v>
      </c>
      <c r="M1263" s="42" t="s">
        <v>2898</v>
      </c>
      <c r="Q1263" t="s">
        <v>354</v>
      </c>
    </row>
    <row r="1264" spans="1:17" ht="15" customHeight="1" x14ac:dyDescent="0.25">
      <c r="A1264" s="3" t="s">
        <v>1727</v>
      </c>
      <c r="B1264" s="4" t="s">
        <v>355</v>
      </c>
      <c r="C1264" t="s">
        <v>1016</v>
      </c>
      <c r="D1264">
        <v>1</v>
      </c>
      <c r="E1264" t="s">
        <v>974</v>
      </c>
      <c r="F1264" t="s">
        <v>975</v>
      </c>
      <c r="G1264" t="s">
        <v>180</v>
      </c>
      <c r="H1264" s="1" t="s">
        <v>976</v>
      </c>
      <c r="I1264" s="1">
        <v>0.17699999999999999</v>
      </c>
      <c r="J1264" s="20">
        <v>-411</v>
      </c>
      <c r="K1264" s="1">
        <v>0</v>
      </c>
      <c r="L1264" s="1">
        <v>0</v>
      </c>
      <c r="M1264" s="42" t="s">
        <v>2899</v>
      </c>
      <c r="Q1264" t="s">
        <v>355</v>
      </c>
    </row>
    <row r="1265" spans="1:17" ht="15" customHeight="1" x14ac:dyDescent="0.25">
      <c r="A1265" s="41" t="s">
        <v>1727</v>
      </c>
      <c r="B1265" s="3" t="s">
        <v>355</v>
      </c>
      <c r="C1265" s="41" t="s">
        <v>1016</v>
      </c>
      <c r="D1265">
        <v>4</v>
      </c>
      <c r="E1265" t="s">
        <v>1018</v>
      </c>
      <c r="F1265" t="s">
        <v>975</v>
      </c>
      <c r="G1265" t="s">
        <v>180</v>
      </c>
      <c r="H1265" s="1" t="s">
        <v>976</v>
      </c>
      <c r="I1265" s="1">
        <v>0.17699999999999999</v>
      </c>
      <c r="J1265" s="20">
        <v>153</v>
      </c>
      <c r="K1265" s="1">
        <v>0.17738300000000001</v>
      </c>
      <c r="L1265" s="1">
        <v>27.14</v>
      </c>
      <c r="M1265" s="42" t="s">
        <v>2899</v>
      </c>
      <c r="Q1265" t="s">
        <v>355</v>
      </c>
    </row>
    <row r="1266" spans="1:17" ht="15" customHeight="1" x14ac:dyDescent="0.25">
      <c r="A1266" s="3" t="s">
        <v>1728</v>
      </c>
      <c r="B1266" s="4" t="s">
        <v>356</v>
      </c>
      <c r="C1266" t="s">
        <v>1016</v>
      </c>
      <c r="D1266">
        <v>1</v>
      </c>
      <c r="E1266" t="s">
        <v>974</v>
      </c>
      <c r="F1266" t="s">
        <v>975</v>
      </c>
      <c r="G1266" t="s">
        <v>180</v>
      </c>
      <c r="H1266" s="1" t="s">
        <v>976</v>
      </c>
      <c r="I1266" s="1">
        <v>0.17699999999999999</v>
      </c>
      <c r="J1266" s="20">
        <v>-252</v>
      </c>
      <c r="K1266" s="1">
        <v>0</v>
      </c>
      <c r="L1266" s="1">
        <v>0</v>
      </c>
      <c r="M1266" s="42" t="s">
        <v>2900</v>
      </c>
      <c r="Q1266" t="s">
        <v>356</v>
      </c>
    </row>
    <row r="1267" spans="1:17" ht="15" customHeight="1" x14ac:dyDescent="0.25">
      <c r="A1267" s="41" t="s">
        <v>1728</v>
      </c>
      <c r="B1267" s="3" t="s">
        <v>356</v>
      </c>
      <c r="C1267" s="41" t="s">
        <v>1016</v>
      </c>
      <c r="D1267">
        <v>4</v>
      </c>
      <c r="E1267" t="s">
        <v>1018</v>
      </c>
      <c r="F1267" t="s">
        <v>975</v>
      </c>
      <c r="G1267" t="s">
        <v>180</v>
      </c>
      <c r="H1267" s="1" t="s">
        <v>976</v>
      </c>
      <c r="I1267" s="1">
        <v>0.17699999999999999</v>
      </c>
      <c r="J1267" s="20">
        <v>78</v>
      </c>
      <c r="K1267" s="1">
        <v>0.177562</v>
      </c>
      <c r="L1267" s="1">
        <v>13.85</v>
      </c>
      <c r="M1267" s="42" t="s">
        <v>2900</v>
      </c>
      <c r="Q1267" t="s">
        <v>356</v>
      </c>
    </row>
    <row r="1268" spans="1:17" ht="15" customHeight="1" x14ac:dyDescent="0.25">
      <c r="A1268" s="3" t="s">
        <v>1729</v>
      </c>
      <c r="B1268" s="4" t="s">
        <v>357</v>
      </c>
      <c r="C1268" t="s">
        <v>1016</v>
      </c>
      <c r="D1268">
        <v>1</v>
      </c>
      <c r="E1268" t="s">
        <v>974</v>
      </c>
      <c r="F1268" t="s">
        <v>975</v>
      </c>
      <c r="G1268" t="s">
        <v>180</v>
      </c>
      <c r="H1268" s="1" t="s">
        <v>976</v>
      </c>
      <c r="I1268" s="1">
        <v>0.17699999999999999</v>
      </c>
      <c r="J1268" s="20">
        <v>-153</v>
      </c>
      <c r="K1268" s="1">
        <v>0</v>
      </c>
      <c r="L1268" s="1">
        <v>0</v>
      </c>
      <c r="M1268" s="42" t="s">
        <v>2901</v>
      </c>
      <c r="Q1268" t="s">
        <v>357</v>
      </c>
    </row>
    <row r="1269" spans="1:17" ht="15" customHeight="1" x14ac:dyDescent="0.25">
      <c r="A1269" s="41" t="s">
        <v>1729</v>
      </c>
      <c r="B1269" s="3" t="s">
        <v>357</v>
      </c>
      <c r="C1269" s="41" t="s">
        <v>1016</v>
      </c>
      <c r="D1269">
        <v>4</v>
      </c>
      <c r="E1269" t="s">
        <v>1018</v>
      </c>
      <c r="F1269" t="s">
        <v>975</v>
      </c>
      <c r="G1269" t="s">
        <v>180</v>
      </c>
      <c r="H1269" s="1" t="s">
        <v>976</v>
      </c>
      <c r="I1269" s="1">
        <v>0.17699999999999999</v>
      </c>
      <c r="J1269" s="20">
        <v>37</v>
      </c>
      <c r="K1269" s="1">
        <v>0.17729700000000001</v>
      </c>
      <c r="L1269" s="1">
        <v>6.56</v>
      </c>
      <c r="M1269" s="42" t="s">
        <v>2901</v>
      </c>
      <c r="Q1269" t="s">
        <v>357</v>
      </c>
    </row>
    <row r="1270" spans="1:17" ht="15" customHeight="1" x14ac:dyDescent="0.25">
      <c r="A1270" s="3" t="s">
        <v>1730</v>
      </c>
      <c r="B1270" s="4" t="s">
        <v>358</v>
      </c>
      <c r="C1270" t="s">
        <v>1016</v>
      </c>
      <c r="D1270">
        <v>1</v>
      </c>
      <c r="E1270" t="s">
        <v>974</v>
      </c>
      <c r="F1270" t="s">
        <v>975</v>
      </c>
      <c r="G1270" t="s">
        <v>180</v>
      </c>
      <c r="H1270" s="1" t="s">
        <v>976</v>
      </c>
      <c r="I1270" s="1">
        <v>0.13800000000000001</v>
      </c>
      <c r="J1270" s="20">
        <v>-195</v>
      </c>
      <c r="K1270" s="1">
        <v>0</v>
      </c>
      <c r="L1270" s="1">
        <v>0</v>
      </c>
      <c r="M1270" s="42" t="s">
        <v>2902</v>
      </c>
      <c r="Q1270" t="s">
        <v>358</v>
      </c>
    </row>
    <row r="1271" spans="1:17" ht="15" customHeight="1" x14ac:dyDescent="0.25">
      <c r="A1271" s="41" t="s">
        <v>1730</v>
      </c>
      <c r="B1271" s="3" t="s">
        <v>358</v>
      </c>
      <c r="C1271" s="41" t="s">
        <v>1016</v>
      </c>
      <c r="D1271">
        <v>4</v>
      </c>
      <c r="E1271" t="s">
        <v>1018</v>
      </c>
      <c r="F1271" t="s">
        <v>975</v>
      </c>
      <c r="G1271" t="s">
        <v>180</v>
      </c>
      <c r="H1271" s="1" t="s">
        <v>976</v>
      </c>
      <c r="I1271" s="1">
        <v>0.13800000000000001</v>
      </c>
      <c r="J1271" s="20">
        <v>95</v>
      </c>
      <c r="K1271" s="1">
        <v>0.13800000000000001</v>
      </c>
      <c r="L1271" s="1">
        <v>13.11</v>
      </c>
      <c r="M1271" s="42" t="s">
        <v>2902</v>
      </c>
      <c r="Q1271" t="s">
        <v>358</v>
      </c>
    </row>
    <row r="1272" spans="1:17" ht="15" customHeight="1" x14ac:dyDescent="0.25">
      <c r="A1272" s="3" t="s">
        <v>1731</v>
      </c>
      <c r="B1272" s="4" t="s">
        <v>359</v>
      </c>
      <c r="C1272" t="s">
        <v>1016</v>
      </c>
      <c r="D1272">
        <v>1</v>
      </c>
      <c r="E1272" t="s">
        <v>974</v>
      </c>
      <c r="F1272" t="s">
        <v>975</v>
      </c>
      <c r="G1272" t="s">
        <v>180</v>
      </c>
      <c r="H1272" s="1" t="s">
        <v>976</v>
      </c>
      <c r="I1272" s="1">
        <v>0.13800000000000001</v>
      </c>
      <c r="J1272" s="20">
        <v>-230</v>
      </c>
      <c r="K1272" s="1">
        <v>0</v>
      </c>
      <c r="L1272" s="1">
        <v>0</v>
      </c>
      <c r="M1272" s="42" t="s">
        <v>2903</v>
      </c>
      <c r="Q1272" t="s">
        <v>359</v>
      </c>
    </row>
    <row r="1273" spans="1:17" ht="15" customHeight="1" x14ac:dyDescent="0.25">
      <c r="A1273" s="41" t="s">
        <v>1731</v>
      </c>
      <c r="B1273" s="3" t="s">
        <v>359</v>
      </c>
      <c r="C1273" s="41" t="s">
        <v>1016</v>
      </c>
      <c r="D1273">
        <v>4</v>
      </c>
      <c r="E1273" t="s">
        <v>1018</v>
      </c>
      <c r="F1273" t="s">
        <v>975</v>
      </c>
      <c r="G1273" t="s">
        <v>180</v>
      </c>
      <c r="H1273" s="1" t="s">
        <v>976</v>
      </c>
      <c r="I1273" s="1">
        <v>0.13800000000000001</v>
      </c>
      <c r="J1273" s="20">
        <v>130</v>
      </c>
      <c r="K1273" s="1">
        <v>0.13800000000000001</v>
      </c>
      <c r="L1273" s="1">
        <v>17.940000000000001</v>
      </c>
      <c r="M1273" s="42" t="s">
        <v>2903</v>
      </c>
      <c r="Q1273" t="s">
        <v>359</v>
      </c>
    </row>
    <row r="1274" spans="1:17" ht="15" customHeight="1" x14ac:dyDescent="0.25">
      <c r="A1274" s="3" t="s">
        <v>1732</v>
      </c>
      <c r="B1274" s="4" t="s">
        <v>360</v>
      </c>
      <c r="C1274" t="s">
        <v>1016</v>
      </c>
      <c r="D1274">
        <v>1</v>
      </c>
      <c r="E1274" t="s">
        <v>974</v>
      </c>
      <c r="F1274" t="s">
        <v>975</v>
      </c>
      <c r="G1274" t="s">
        <v>180</v>
      </c>
      <c r="H1274" s="1" t="s">
        <v>976</v>
      </c>
      <c r="I1274" s="1">
        <v>0.13800000000000001</v>
      </c>
      <c r="J1274" s="20">
        <v>-185</v>
      </c>
      <c r="K1274" s="1">
        <v>0</v>
      </c>
      <c r="L1274" s="1">
        <v>0</v>
      </c>
      <c r="M1274" s="42" t="s">
        <v>2904</v>
      </c>
      <c r="Q1274" t="s">
        <v>360</v>
      </c>
    </row>
    <row r="1275" spans="1:17" ht="15" customHeight="1" x14ac:dyDescent="0.25">
      <c r="A1275" s="41" t="s">
        <v>1732</v>
      </c>
      <c r="B1275" s="3" t="s">
        <v>360</v>
      </c>
      <c r="C1275" s="41" t="s">
        <v>1016</v>
      </c>
      <c r="D1275">
        <v>4</v>
      </c>
      <c r="E1275" t="s">
        <v>1018</v>
      </c>
      <c r="F1275" t="s">
        <v>975</v>
      </c>
      <c r="G1275" t="s">
        <v>180</v>
      </c>
      <c r="H1275" s="1" t="s">
        <v>976</v>
      </c>
      <c r="I1275" s="1">
        <v>0.13800000000000001</v>
      </c>
      <c r="J1275" s="20">
        <v>85</v>
      </c>
      <c r="K1275" s="1">
        <v>0.13800000000000001</v>
      </c>
      <c r="L1275" s="1">
        <v>11.73</v>
      </c>
      <c r="M1275" s="42" t="s">
        <v>2904</v>
      </c>
      <c r="Q1275" t="s">
        <v>360</v>
      </c>
    </row>
    <row r="1276" spans="1:17" ht="15" customHeight="1" x14ac:dyDescent="0.25">
      <c r="A1276" s="3" t="s">
        <v>1733</v>
      </c>
      <c r="B1276" s="4" t="s">
        <v>361</v>
      </c>
      <c r="C1276" t="s">
        <v>1016</v>
      </c>
      <c r="D1276">
        <v>1</v>
      </c>
      <c r="E1276" t="s">
        <v>974</v>
      </c>
      <c r="F1276" t="s">
        <v>975</v>
      </c>
      <c r="G1276" t="s">
        <v>180</v>
      </c>
      <c r="H1276" s="1" t="s">
        <v>976</v>
      </c>
      <c r="I1276" s="1">
        <v>0.13800000000000001</v>
      </c>
      <c r="J1276" s="20">
        <v>-102</v>
      </c>
      <c r="K1276" s="1">
        <v>0</v>
      </c>
      <c r="L1276" s="1">
        <v>0</v>
      </c>
      <c r="M1276" s="42" t="s">
        <v>2905</v>
      </c>
      <c r="Q1276" t="s">
        <v>361</v>
      </c>
    </row>
    <row r="1277" spans="1:17" ht="15" customHeight="1" x14ac:dyDescent="0.25">
      <c r="A1277" s="41" t="s">
        <v>1733</v>
      </c>
      <c r="B1277" s="3" t="s">
        <v>361</v>
      </c>
      <c r="C1277" s="41" t="s">
        <v>1016</v>
      </c>
      <c r="D1277">
        <v>4</v>
      </c>
      <c r="E1277" t="s">
        <v>1018</v>
      </c>
      <c r="F1277" t="s">
        <v>975</v>
      </c>
      <c r="G1277" t="s">
        <v>180</v>
      </c>
      <c r="H1277" s="1" t="s">
        <v>976</v>
      </c>
      <c r="I1277" s="1">
        <v>0.13800000000000001</v>
      </c>
      <c r="J1277" s="20">
        <v>42</v>
      </c>
      <c r="K1277" s="1">
        <v>0.138095</v>
      </c>
      <c r="L1277" s="1">
        <v>5.8</v>
      </c>
      <c r="M1277" s="42" t="s">
        <v>2905</v>
      </c>
      <c r="Q1277" t="s">
        <v>361</v>
      </c>
    </row>
    <row r="1278" spans="1:17" ht="15" customHeight="1" x14ac:dyDescent="0.25">
      <c r="A1278" s="3" t="s">
        <v>1734</v>
      </c>
      <c r="B1278" s="4" t="s">
        <v>362</v>
      </c>
      <c r="C1278" t="s">
        <v>1016</v>
      </c>
      <c r="D1278">
        <v>1</v>
      </c>
      <c r="E1278" t="s">
        <v>974</v>
      </c>
      <c r="F1278" t="s">
        <v>975</v>
      </c>
      <c r="G1278" t="s">
        <v>180</v>
      </c>
      <c r="H1278" s="1" t="s">
        <v>976</v>
      </c>
      <c r="I1278" s="1">
        <v>0.13800000000000001</v>
      </c>
      <c r="J1278" s="20">
        <v>-90</v>
      </c>
      <c r="K1278" s="1">
        <v>0</v>
      </c>
      <c r="L1278" s="1">
        <v>0</v>
      </c>
      <c r="M1278" s="42" t="s">
        <v>2906</v>
      </c>
      <c r="Q1278" t="s">
        <v>362</v>
      </c>
    </row>
    <row r="1279" spans="1:17" ht="15" customHeight="1" x14ac:dyDescent="0.25">
      <c r="A1279" s="3" t="s">
        <v>1735</v>
      </c>
      <c r="B1279" s="4" t="s">
        <v>2908</v>
      </c>
      <c r="C1279" t="s">
        <v>1016</v>
      </c>
      <c r="D1279">
        <v>1</v>
      </c>
      <c r="E1279" t="s">
        <v>974</v>
      </c>
      <c r="F1279" t="s">
        <v>975</v>
      </c>
      <c r="G1279" t="s">
        <v>976</v>
      </c>
      <c r="H1279" s="1" t="s">
        <v>976</v>
      </c>
      <c r="I1279" s="1">
        <v>3</v>
      </c>
      <c r="J1279" s="20">
        <v>-854</v>
      </c>
      <c r="K1279" s="1">
        <v>3</v>
      </c>
      <c r="L1279" s="1">
        <v>-2562</v>
      </c>
      <c r="M1279" s="42" t="s">
        <v>2907</v>
      </c>
      <c r="O1279" s="2" t="s">
        <v>2463</v>
      </c>
      <c r="Q1279" t="s">
        <v>903</v>
      </c>
    </row>
    <row r="1280" spans="1:17" ht="15" customHeight="1" x14ac:dyDescent="0.25">
      <c r="A1280" s="41" t="s">
        <v>1735</v>
      </c>
      <c r="B1280" s="3" t="s">
        <v>2908</v>
      </c>
      <c r="C1280" s="41" t="s">
        <v>1016</v>
      </c>
      <c r="D1280">
        <v>4</v>
      </c>
      <c r="E1280" t="s">
        <v>1018</v>
      </c>
      <c r="F1280" t="s">
        <v>975</v>
      </c>
      <c r="G1280" t="s">
        <v>976</v>
      </c>
      <c r="H1280" s="1" t="s">
        <v>976</v>
      </c>
      <c r="I1280" s="1">
        <v>3</v>
      </c>
      <c r="J1280" s="20">
        <v>664</v>
      </c>
      <c r="K1280" s="1">
        <v>3.0017770000000001</v>
      </c>
      <c r="L1280" s="1">
        <v>1993.18</v>
      </c>
      <c r="M1280" s="42" t="s">
        <v>2907</v>
      </c>
      <c r="O1280" s="2" t="s">
        <v>2463</v>
      </c>
      <c r="Q1280" t="s">
        <v>903</v>
      </c>
    </row>
    <row r="1281" spans="1:17" ht="15" customHeight="1" x14ac:dyDescent="0.25">
      <c r="A1281" s="3" t="s">
        <v>1736</v>
      </c>
      <c r="B1281" s="4" t="s">
        <v>2908</v>
      </c>
      <c r="C1281" t="s">
        <v>1016</v>
      </c>
      <c r="D1281">
        <v>1</v>
      </c>
      <c r="E1281" t="s">
        <v>974</v>
      </c>
      <c r="F1281" t="s">
        <v>975</v>
      </c>
      <c r="G1281" t="s">
        <v>976</v>
      </c>
      <c r="H1281" s="1" t="s">
        <v>976</v>
      </c>
      <c r="I1281" s="1">
        <v>3</v>
      </c>
      <c r="J1281" s="20">
        <v>100</v>
      </c>
      <c r="K1281" s="1">
        <v>3</v>
      </c>
      <c r="L1281" s="1">
        <v>300</v>
      </c>
      <c r="M1281" s="42" t="s">
        <v>2907</v>
      </c>
      <c r="O1281" s="2" t="s">
        <v>2433</v>
      </c>
      <c r="Q1281" t="s">
        <v>904</v>
      </c>
    </row>
    <row r="1282" spans="1:17" ht="15" customHeight="1" x14ac:dyDescent="0.25">
      <c r="A1282" s="3" t="s">
        <v>1737</v>
      </c>
      <c r="B1282" s="4" t="s">
        <v>2910</v>
      </c>
      <c r="C1282" t="s">
        <v>1016</v>
      </c>
      <c r="D1282">
        <v>1</v>
      </c>
      <c r="E1282" t="s">
        <v>974</v>
      </c>
      <c r="F1282" t="s">
        <v>975</v>
      </c>
      <c r="G1282" t="s">
        <v>976</v>
      </c>
      <c r="H1282" s="1" t="s">
        <v>976</v>
      </c>
      <c r="I1282" s="1">
        <v>2.77</v>
      </c>
      <c r="J1282" s="20">
        <v>-60</v>
      </c>
      <c r="K1282" s="1">
        <v>0</v>
      </c>
      <c r="L1282" s="1">
        <v>0</v>
      </c>
      <c r="M1282" s="42" t="s">
        <v>2909</v>
      </c>
      <c r="O1282" s="2" t="s">
        <v>2811</v>
      </c>
      <c r="Q1282" t="s">
        <v>363</v>
      </c>
    </row>
    <row r="1283" spans="1:17" ht="15" customHeight="1" x14ac:dyDescent="0.25">
      <c r="A1283" s="3" t="s">
        <v>1738</v>
      </c>
      <c r="B1283" s="4" t="s">
        <v>364</v>
      </c>
      <c r="C1283" t="s">
        <v>976</v>
      </c>
      <c r="D1283">
        <v>1</v>
      </c>
      <c r="E1283" t="s">
        <v>974</v>
      </c>
      <c r="F1283" t="s">
        <v>975</v>
      </c>
      <c r="G1283" t="s">
        <v>976</v>
      </c>
      <c r="H1283" s="1" t="s">
        <v>976</v>
      </c>
      <c r="I1283" s="1">
        <v>6.8</v>
      </c>
      <c r="J1283" s="20">
        <v>1318</v>
      </c>
      <c r="K1283" s="1">
        <v>7.82</v>
      </c>
      <c r="L1283" s="1">
        <v>10306.76</v>
      </c>
      <c r="M1283" s="42" t="s">
        <v>2911</v>
      </c>
      <c r="Q1283" t="s">
        <v>364</v>
      </c>
    </row>
    <row r="1284" spans="1:17" ht="15" customHeight="1" x14ac:dyDescent="0.25">
      <c r="A1284" s="3" t="s">
        <v>1739</v>
      </c>
      <c r="B1284" s="4" t="s">
        <v>365</v>
      </c>
      <c r="C1284" t="s">
        <v>1355</v>
      </c>
      <c r="D1284">
        <v>1</v>
      </c>
      <c r="E1284" t="s">
        <v>974</v>
      </c>
      <c r="F1284" t="s">
        <v>975</v>
      </c>
      <c r="G1284" t="s">
        <v>180</v>
      </c>
      <c r="H1284" s="1" t="s">
        <v>976</v>
      </c>
      <c r="I1284" s="1">
        <v>630</v>
      </c>
      <c r="J1284" s="20">
        <v>1</v>
      </c>
      <c r="K1284" s="1">
        <v>0</v>
      </c>
      <c r="L1284" s="1">
        <v>0</v>
      </c>
      <c r="M1284" s="42" t="s">
        <v>2912</v>
      </c>
      <c r="P1284" t="s">
        <v>23</v>
      </c>
      <c r="Q1284" t="s">
        <v>365</v>
      </c>
    </row>
    <row r="1285" spans="1:17" ht="15" customHeight="1" x14ac:dyDescent="0.25">
      <c r="A1285" s="3" t="s">
        <v>1740</v>
      </c>
      <c r="B1285" s="4" t="s">
        <v>1355</v>
      </c>
      <c r="C1285" t="s">
        <v>1355</v>
      </c>
      <c r="D1285">
        <v>1</v>
      </c>
      <c r="E1285" t="s">
        <v>974</v>
      </c>
      <c r="F1285" t="s">
        <v>975</v>
      </c>
      <c r="G1285" t="s">
        <v>180</v>
      </c>
      <c r="H1285" s="1" t="s">
        <v>976</v>
      </c>
      <c r="I1285" s="1">
        <v>1099</v>
      </c>
      <c r="J1285" s="20">
        <v>0</v>
      </c>
      <c r="K1285" s="1">
        <v>175</v>
      </c>
      <c r="L1285" s="1">
        <v>0</v>
      </c>
      <c r="M1285" s="42" t="s">
        <v>2912</v>
      </c>
      <c r="O1285" s="2" t="s">
        <v>2447</v>
      </c>
      <c r="P1285" t="s">
        <v>23</v>
      </c>
      <c r="Q1285" t="s">
        <v>905</v>
      </c>
    </row>
    <row r="1286" spans="1:17" ht="15" customHeight="1" x14ac:dyDescent="0.25">
      <c r="A1286" s="41" t="s">
        <v>1740</v>
      </c>
      <c r="B1286" s="3" t="s">
        <v>1355</v>
      </c>
      <c r="C1286" s="41" t="s">
        <v>1355</v>
      </c>
      <c r="D1286">
        <v>4</v>
      </c>
      <c r="E1286" t="s">
        <v>1018</v>
      </c>
      <c r="F1286" t="s">
        <v>975</v>
      </c>
      <c r="G1286" t="s">
        <v>180</v>
      </c>
      <c r="H1286" s="1" t="s">
        <v>976</v>
      </c>
      <c r="I1286" s="1">
        <v>1099</v>
      </c>
      <c r="J1286" s="20">
        <v>0</v>
      </c>
      <c r="K1286" s="1">
        <v>0</v>
      </c>
      <c r="L1286" s="1">
        <v>0</v>
      </c>
      <c r="M1286" s="42" t="s">
        <v>2912</v>
      </c>
      <c r="O1286" s="2" t="s">
        <v>2447</v>
      </c>
      <c r="P1286" t="s">
        <v>23</v>
      </c>
      <c r="Q1286" t="s">
        <v>905</v>
      </c>
    </row>
    <row r="1287" spans="1:17" ht="15" customHeight="1" x14ac:dyDescent="0.25">
      <c r="A1287" s="3" t="s">
        <v>1741</v>
      </c>
      <c r="B1287" s="4" t="s">
        <v>1355</v>
      </c>
      <c r="C1287" t="s">
        <v>1355</v>
      </c>
      <c r="D1287">
        <v>1</v>
      </c>
      <c r="E1287" t="s">
        <v>974</v>
      </c>
      <c r="F1287" t="s">
        <v>975</v>
      </c>
      <c r="G1287" t="s">
        <v>180</v>
      </c>
      <c r="H1287" s="1" t="s">
        <v>976</v>
      </c>
      <c r="I1287" s="1">
        <v>1099</v>
      </c>
      <c r="J1287" s="20">
        <v>0</v>
      </c>
      <c r="K1287" s="1">
        <v>0</v>
      </c>
      <c r="L1287" s="1">
        <v>0</v>
      </c>
      <c r="M1287" s="42" t="s">
        <v>2912</v>
      </c>
      <c r="O1287" s="2" t="s">
        <v>2443</v>
      </c>
      <c r="P1287" t="s">
        <v>23</v>
      </c>
      <c r="Q1287" t="s">
        <v>906</v>
      </c>
    </row>
    <row r="1288" spans="1:17" ht="15" customHeight="1" x14ac:dyDescent="0.25">
      <c r="A1288" s="3" t="s">
        <v>1742</v>
      </c>
      <c r="B1288" s="4" t="s">
        <v>1355</v>
      </c>
      <c r="C1288" t="s">
        <v>1355</v>
      </c>
      <c r="D1288">
        <v>1</v>
      </c>
      <c r="E1288" t="s">
        <v>974</v>
      </c>
      <c r="F1288" t="s">
        <v>975</v>
      </c>
      <c r="G1288" t="s">
        <v>180</v>
      </c>
      <c r="H1288" s="1" t="s">
        <v>976</v>
      </c>
      <c r="I1288" s="1">
        <v>1099</v>
      </c>
      <c r="J1288" s="20">
        <v>0</v>
      </c>
      <c r="K1288" s="1">
        <v>0</v>
      </c>
      <c r="L1288" s="1">
        <v>0</v>
      </c>
      <c r="M1288" s="42" t="s">
        <v>2912</v>
      </c>
      <c r="O1288" s="2" t="s">
        <v>2482</v>
      </c>
      <c r="P1288" t="s">
        <v>23</v>
      </c>
      <c r="Q1288" t="s">
        <v>907</v>
      </c>
    </row>
    <row r="1289" spans="1:17" ht="15" customHeight="1" x14ac:dyDescent="0.25">
      <c r="A1289" s="41" t="s">
        <v>1742</v>
      </c>
      <c r="B1289" s="3" t="s">
        <v>1355</v>
      </c>
      <c r="C1289" s="41" t="s">
        <v>1355</v>
      </c>
      <c r="D1289">
        <v>4</v>
      </c>
      <c r="E1289" t="s">
        <v>1018</v>
      </c>
      <c r="F1289" t="s">
        <v>975</v>
      </c>
      <c r="G1289" t="s">
        <v>180</v>
      </c>
      <c r="H1289" s="1" t="s">
        <v>976</v>
      </c>
      <c r="I1289" s="1">
        <v>1099</v>
      </c>
      <c r="J1289" s="20">
        <v>0</v>
      </c>
      <c r="K1289" s="1">
        <v>0</v>
      </c>
      <c r="L1289" s="1">
        <v>0</v>
      </c>
      <c r="M1289" s="42" t="s">
        <v>2912</v>
      </c>
      <c r="O1289" s="2" t="s">
        <v>2482</v>
      </c>
      <c r="P1289" t="s">
        <v>23</v>
      </c>
      <c r="Q1289" t="s">
        <v>907</v>
      </c>
    </row>
    <row r="1290" spans="1:17" ht="15" customHeight="1" x14ac:dyDescent="0.25">
      <c r="A1290" s="3" t="s">
        <v>1743</v>
      </c>
      <c r="B1290" s="4" t="s">
        <v>366</v>
      </c>
      <c r="C1290" t="s">
        <v>1355</v>
      </c>
      <c r="D1290">
        <v>1</v>
      </c>
      <c r="E1290" t="s">
        <v>974</v>
      </c>
      <c r="F1290" t="s">
        <v>975</v>
      </c>
      <c r="G1290" t="s">
        <v>180</v>
      </c>
      <c r="H1290" s="1" t="s">
        <v>976</v>
      </c>
      <c r="I1290" s="1">
        <v>785</v>
      </c>
      <c r="J1290" s="20">
        <v>1</v>
      </c>
      <c r="K1290" s="1">
        <v>226.58</v>
      </c>
      <c r="L1290" s="1">
        <v>226.58</v>
      </c>
      <c r="M1290" s="42" t="s">
        <v>2912</v>
      </c>
      <c r="P1290" t="s">
        <v>24</v>
      </c>
      <c r="Q1290" t="s">
        <v>366</v>
      </c>
    </row>
    <row r="1291" spans="1:17" ht="15" customHeight="1" x14ac:dyDescent="0.25">
      <c r="A1291" s="41" t="s">
        <v>1743</v>
      </c>
      <c r="B1291" s="3" t="s">
        <v>366</v>
      </c>
      <c r="C1291" s="41" t="s">
        <v>1355</v>
      </c>
      <c r="D1291">
        <v>2</v>
      </c>
      <c r="E1291" t="s">
        <v>1017</v>
      </c>
      <c r="F1291" t="s">
        <v>975</v>
      </c>
      <c r="G1291" t="s">
        <v>180</v>
      </c>
      <c r="H1291" s="1" t="s">
        <v>976</v>
      </c>
      <c r="I1291" s="1">
        <v>785</v>
      </c>
      <c r="J1291" s="20">
        <v>0</v>
      </c>
      <c r="K1291" s="1">
        <v>353.16</v>
      </c>
      <c r="L1291" s="1">
        <v>0</v>
      </c>
      <c r="M1291" s="42" t="s">
        <v>2912</v>
      </c>
      <c r="P1291" t="s">
        <v>24</v>
      </c>
      <c r="Q1291" t="s">
        <v>366</v>
      </c>
    </row>
    <row r="1292" spans="1:17" ht="15" customHeight="1" x14ac:dyDescent="0.25">
      <c r="A1292" s="41" t="s">
        <v>1743</v>
      </c>
      <c r="B1292" s="3" t="s">
        <v>366</v>
      </c>
      <c r="C1292" s="41" t="s">
        <v>1355</v>
      </c>
      <c r="D1292">
        <v>3</v>
      </c>
      <c r="E1292" t="s">
        <v>1179</v>
      </c>
      <c r="F1292" t="s">
        <v>1180</v>
      </c>
      <c r="G1292" t="s">
        <v>180</v>
      </c>
      <c r="H1292" s="1" t="s">
        <v>976</v>
      </c>
      <c r="I1292" s="1">
        <v>785</v>
      </c>
      <c r="J1292" s="20">
        <v>0</v>
      </c>
      <c r="K1292" s="1">
        <v>100</v>
      </c>
      <c r="L1292" s="1">
        <v>0</v>
      </c>
      <c r="M1292" s="42" t="s">
        <v>2912</v>
      </c>
      <c r="P1292" t="s">
        <v>24</v>
      </c>
      <c r="Q1292" t="s">
        <v>366</v>
      </c>
    </row>
    <row r="1293" spans="1:17" ht="15" customHeight="1" x14ac:dyDescent="0.25">
      <c r="A1293" s="3" t="s">
        <v>1744</v>
      </c>
      <c r="B1293" s="4" t="s">
        <v>367</v>
      </c>
      <c r="C1293" t="s">
        <v>1355</v>
      </c>
      <c r="D1293">
        <v>1</v>
      </c>
      <c r="E1293" t="s">
        <v>974</v>
      </c>
      <c r="F1293" t="s">
        <v>975</v>
      </c>
      <c r="G1293" t="s">
        <v>180</v>
      </c>
      <c r="H1293" s="1" t="s">
        <v>976</v>
      </c>
      <c r="I1293" s="1">
        <v>785</v>
      </c>
      <c r="J1293" s="20">
        <v>2</v>
      </c>
      <c r="K1293" s="1">
        <v>137.24</v>
      </c>
      <c r="L1293" s="1">
        <v>274.48</v>
      </c>
      <c r="M1293" s="42" t="s">
        <v>2912</v>
      </c>
      <c r="P1293" t="s">
        <v>25</v>
      </c>
      <c r="Q1293" t="s">
        <v>367</v>
      </c>
    </row>
    <row r="1294" spans="1:17" ht="15" customHeight="1" x14ac:dyDescent="0.25">
      <c r="A1294" s="3" t="s">
        <v>1745</v>
      </c>
      <c r="B1294" s="4" t="s">
        <v>368</v>
      </c>
      <c r="C1294" t="s">
        <v>1355</v>
      </c>
      <c r="D1294">
        <v>1</v>
      </c>
      <c r="E1294" t="s">
        <v>974</v>
      </c>
      <c r="F1294" t="s">
        <v>975</v>
      </c>
      <c r="G1294" t="s">
        <v>180</v>
      </c>
      <c r="H1294" s="1" t="s">
        <v>976</v>
      </c>
      <c r="I1294" s="1">
        <v>785</v>
      </c>
      <c r="J1294" s="20">
        <v>4</v>
      </c>
      <c r="K1294" s="1">
        <v>132.58500000000001</v>
      </c>
      <c r="L1294" s="1">
        <v>530.34</v>
      </c>
      <c r="M1294" s="42" t="s">
        <v>2912</v>
      </c>
      <c r="P1294" t="s">
        <v>23</v>
      </c>
      <c r="Q1294" t="s">
        <v>368</v>
      </c>
    </row>
    <row r="1295" spans="1:17" ht="15" customHeight="1" x14ac:dyDescent="0.25">
      <c r="A1295" s="41" t="s">
        <v>1745</v>
      </c>
      <c r="B1295" s="3" t="s">
        <v>368</v>
      </c>
      <c r="C1295" s="41" t="s">
        <v>1355</v>
      </c>
      <c r="D1295">
        <v>3</v>
      </c>
      <c r="E1295" t="s">
        <v>1179</v>
      </c>
      <c r="F1295" t="s">
        <v>1180</v>
      </c>
      <c r="G1295" t="s">
        <v>180</v>
      </c>
      <c r="H1295" s="1" t="s">
        <v>976</v>
      </c>
      <c r="I1295" s="1">
        <v>785</v>
      </c>
      <c r="J1295" s="20">
        <v>0</v>
      </c>
      <c r="K1295" s="1">
        <v>100</v>
      </c>
      <c r="L1295" s="1">
        <v>0</v>
      </c>
      <c r="M1295" s="42" t="s">
        <v>2912</v>
      </c>
      <c r="P1295" t="s">
        <v>23</v>
      </c>
      <c r="Q1295" t="s">
        <v>368</v>
      </c>
    </row>
    <row r="1296" spans="1:17" ht="15" customHeight="1" x14ac:dyDescent="0.25">
      <c r="A1296" s="3" t="s">
        <v>1746</v>
      </c>
      <c r="B1296" s="4" t="s">
        <v>369</v>
      </c>
      <c r="C1296" t="s">
        <v>1355</v>
      </c>
      <c r="D1296">
        <v>1</v>
      </c>
      <c r="E1296" t="s">
        <v>974</v>
      </c>
      <c r="F1296" t="s">
        <v>975</v>
      </c>
      <c r="G1296" t="s">
        <v>180</v>
      </c>
      <c r="H1296" s="1" t="s">
        <v>976</v>
      </c>
      <c r="I1296" s="1">
        <v>785</v>
      </c>
      <c r="J1296" s="20">
        <v>3</v>
      </c>
      <c r="K1296" s="1">
        <v>124.826666</v>
      </c>
      <c r="L1296" s="1">
        <v>374.48</v>
      </c>
      <c r="M1296" s="42" t="s">
        <v>2912</v>
      </c>
      <c r="P1296" t="s">
        <v>22</v>
      </c>
      <c r="Q1296" t="s">
        <v>369</v>
      </c>
    </row>
    <row r="1297" spans="1:17" ht="15" customHeight="1" x14ac:dyDescent="0.25">
      <c r="A1297" s="41" t="s">
        <v>1746</v>
      </c>
      <c r="B1297" s="3" t="s">
        <v>369</v>
      </c>
      <c r="C1297" s="41" t="s">
        <v>1355</v>
      </c>
      <c r="D1297">
        <v>3</v>
      </c>
      <c r="E1297" t="s">
        <v>1179</v>
      </c>
      <c r="F1297" t="s">
        <v>1180</v>
      </c>
      <c r="G1297" t="s">
        <v>180</v>
      </c>
      <c r="H1297" s="1" t="s">
        <v>976</v>
      </c>
      <c r="I1297" s="1">
        <v>785</v>
      </c>
      <c r="J1297" s="20">
        <v>0</v>
      </c>
      <c r="K1297" s="1">
        <v>100</v>
      </c>
      <c r="L1297" s="1">
        <v>0</v>
      </c>
      <c r="M1297" s="42" t="s">
        <v>2912</v>
      </c>
      <c r="P1297" t="s">
        <v>22</v>
      </c>
      <c r="Q1297" t="s">
        <v>369</v>
      </c>
    </row>
    <row r="1298" spans="1:17" ht="15" customHeight="1" x14ac:dyDescent="0.25">
      <c r="A1298" s="3" t="s">
        <v>1747</v>
      </c>
      <c r="B1298" s="4" t="s">
        <v>370</v>
      </c>
      <c r="C1298" t="s">
        <v>1355</v>
      </c>
      <c r="D1298">
        <v>1</v>
      </c>
      <c r="E1298" t="s">
        <v>974</v>
      </c>
      <c r="F1298" t="s">
        <v>975</v>
      </c>
      <c r="G1298" t="s">
        <v>180</v>
      </c>
      <c r="H1298" s="1" t="s">
        <v>976</v>
      </c>
      <c r="I1298" s="1">
        <v>785</v>
      </c>
      <c r="J1298" s="20">
        <v>0</v>
      </c>
      <c r="K1298" s="1">
        <v>127.32</v>
      </c>
      <c r="L1298" s="1">
        <v>0</v>
      </c>
      <c r="M1298" s="42" t="s">
        <v>2912</v>
      </c>
      <c r="P1298" t="s">
        <v>24</v>
      </c>
      <c r="Q1298" t="s">
        <v>370</v>
      </c>
    </row>
    <row r="1299" spans="1:17" ht="15" customHeight="1" x14ac:dyDescent="0.25">
      <c r="A1299" s="41" t="s">
        <v>1747</v>
      </c>
      <c r="B1299" s="3" t="s">
        <v>370</v>
      </c>
      <c r="C1299" s="41" t="s">
        <v>1355</v>
      </c>
      <c r="D1299">
        <v>3</v>
      </c>
      <c r="E1299" t="s">
        <v>1179</v>
      </c>
      <c r="F1299" t="s">
        <v>1180</v>
      </c>
      <c r="G1299" t="s">
        <v>180</v>
      </c>
      <c r="H1299" s="1" t="s">
        <v>976</v>
      </c>
      <c r="I1299" s="1">
        <v>785</v>
      </c>
      <c r="J1299" s="20">
        <v>0</v>
      </c>
      <c r="K1299" s="1">
        <v>100</v>
      </c>
      <c r="L1299" s="1">
        <v>0</v>
      </c>
      <c r="M1299" s="42" t="s">
        <v>2912</v>
      </c>
      <c r="P1299" t="s">
        <v>24</v>
      </c>
      <c r="Q1299" t="s">
        <v>370</v>
      </c>
    </row>
    <row r="1300" spans="1:17" ht="15" customHeight="1" x14ac:dyDescent="0.25">
      <c r="A1300" s="3" t="s">
        <v>1748</v>
      </c>
      <c r="B1300" s="4" t="s">
        <v>371</v>
      </c>
      <c r="C1300" t="s">
        <v>1355</v>
      </c>
      <c r="D1300">
        <v>1</v>
      </c>
      <c r="E1300" t="s">
        <v>974</v>
      </c>
      <c r="F1300" t="s">
        <v>975</v>
      </c>
      <c r="G1300" t="s">
        <v>180</v>
      </c>
      <c r="H1300" s="1" t="s">
        <v>976</v>
      </c>
      <c r="I1300" s="1">
        <v>785</v>
      </c>
      <c r="J1300" s="20">
        <v>0</v>
      </c>
      <c r="K1300" s="1">
        <v>100</v>
      </c>
      <c r="L1300" s="1">
        <v>0</v>
      </c>
      <c r="M1300" s="42" t="s">
        <v>2912</v>
      </c>
      <c r="P1300" t="s">
        <v>25</v>
      </c>
      <c r="Q1300" t="s">
        <v>371</v>
      </c>
    </row>
    <row r="1301" spans="1:17" ht="15" customHeight="1" x14ac:dyDescent="0.25">
      <c r="A1301" s="41" t="s">
        <v>1748</v>
      </c>
      <c r="B1301" s="3" t="s">
        <v>371</v>
      </c>
      <c r="C1301" s="41" t="s">
        <v>1355</v>
      </c>
      <c r="D1301">
        <v>2</v>
      </c>
      <c r="E1301" t="s">
        <v>1017</v>
      </c>
      <c r="F1301" t="s">
        <v>975</v>
      </c>
      <c r="G1301" t="s">
        <v>180</v>
      </c>
      <c r="H1301" s="1" t="s">
        <v>976</v>
      </c>
      <c r="I1301" s="1">
        <v>785</v>
      </c>
      <c r="J1301" s="20">
        <v>0</v>
      </c>
      <c r="K1301" s="1">
        <v>100</v>
      </c>
      <c r="L1301" s="1">
        <v>0</v>
      </c>
      <c r="M1301" s="42" t="s">
        <v>2912</v>
      </c>
      <c r="P1301" t="s">
        <v>25</v>
      </c>
      <c r="Q1301" t="s">
        <v>371</v>
      </c>
    </row>
    <row r="1302" spans="1:17" ht="15" customHeight="1" x14ac:dyDescent="0.25">
      <c r="A1302" s="41" t="s">
        <v>1748</v>
      </c>
      <c r="B1302" s="3" t="s">
        <v>371</v>
      </c>
      <c r="C1302" s="41" t="s">
        <v>1355</v>
      </c>
      <c r="D1302">
        <v>3</v>
      </c>
      <c r="E1302" t="s">
        <v>1179</v>
      </c>
      <c r="F1302" t="s">
        <v>1180</v>
      </c>
      <c r="G1302" t="s">
        <v>180</v>
      </c>
      <c r="H1302" s="1" t="s">
        <v>976</v>
      </c>
      <c r="I1302" s="1">
        <v>785</v>
      </c>
      <c r="J1302" s="20">
        <v>0</v>
      </c>
      <c r="K1302" s="1">
        <v>100</v>
      </c>
      <c r="L1302" s="1">
        <v>0</v>
      </c>
      <c r="M1302" s="42" t="s">
        <v>2912</v>
      </c>
      <c r="P1302" t="s">
        <v>25</v>
      </c>
      <c r="Q1302" t="s">
        <v>371</v>
      </c>
    </row>
    <row r="1303" spans="1:17" ht="15" customHeight="1" x14ac:dyDescent="0.25">
      <c r="A1303" s="3" t="s">
        <v>1749</v>
      </c>
      <c r="B1303" s="4" t="s">
        <v>372</v>
      </c>
      <c r="C1303" t="s">
        <v>1355</v>
      </c>
      <c r="D1303">
        <v>1</v>
      </c>
      <c r="E1303" t="s">
        <v>974</v>
      </c>
      <c r="F1303" t="s">
        <v>975</v>
      </c>
      <c r="G1303" t="s">
        <v>180</v>
      </c>
      <c r="H1303" s="1" t="s">
        <v>976</v>
      </c>
      <c r="I1303" s="1">
        <v>785</v>
      </c>
      <c r="J1303" s="20">
        <v>2</v>
      </c>
      <c r="K1303" s="1">
        <v>140.85749999999999</v>
      </c>
      <c r="L1303" s="1">
        <v>281.72000000000003</v>
      </c>
      <c r="M1303" s="42" t="s">
        <v>2912</v>
      </c>
      <c r="P1303" t="s">
        <v>23</v>
      </c>
      <c r="Q1303" t="s">
        <v>372</v>
      </c>
    </row>
    <row r="1304" spans="1:17" ht="15" customHeight="1" x14ac:dyDescent="0.25">
      <c r="A1304" s="41" t="s">
        <v>1749</v>
      </c>
      <c r="B1304" s="3" t="s">
        <v>372</v>
      </c>
      <c r="C1304" s="41" t="s">
        <v>1355</v>
      </c>
      <c r="D1304">
        <v>3</v>
      </c>
      <c r="E1304" t="s">
        <v>1179</v>
      </c>
      <c r="F1304" t="s">
        <v>1180</v>
      </c>
      <c r="G1304" t="s">
        <v>180</v>
      </c>
      <c r="H1304" s="1" t="s">
        <v>976</v>
      </c>
      <c r="I1304" s="1">
        <v>785</v>
      </c>
      <c r="J1304" s="20">
        <v>0</v>
      </c>
      <c r="K1304" s="1">
        <v>140</v>
      </c>
      <c r="L1304" s="1">
        <v>0</v>
      </c>
      <c r="M1304" s="42" t="s">
        <v>2912</v>
      </c>
      <c r="P1304" t="s">
        <v>23</v>
      </c>
      <c r="Q1304" t="s">
        <v>372</v>
      </c>
    </row>
    <row r="1305" spans="1:17" ht="15" customHeight="1" x14ac:dyDescent="0.25">
      <c r="A1305" s="3" t="s">
        <v>1750</v>
      </c>
      <c r="B1305" s="4" t="s">
        <v>373</v>
      </c>
      <c r="C1305" t="s">
        <v>1355</v>
      </c>
      <c r="D1305">
        <v>1</v>
      </c>
      <c r="E1305" t="s">
        <v>974</v>
      </c>
      <c r="F1305" t="s">
        <v>975</v>
      </c>
      <c r="G1305" t="s">
        <v>180</v>
      </c>
      <c r="H1305" s="1" t="s">
        <v>976</v>
      </c>
      <c r="I1305" s="1">
        <v>785</v>
      </c>
      <c r="J1305" s="20">
        <v>2</v>
      </c>
      <c r="K1305" s="1">
        <v>140.97999999999999</v>
      </c>
      <c r="L1305" s="1">
        <v>281.95999999999998</v>
      </c>
      <c r="M1305" s="42" t="s">
        <v>2912</v>
      </c>
      <c r="P1305" t="s">
        <v>22</v>
      </c>
      <c r="Q1305" t="s">
        <v>373</v>
      </c>
    </row>
    <row r="1306" spans="1:17" ht="15" customHeight="1" x14ac:dyDescent="0.25">
      <c r="A1306" s="41" t="s">
        <v>1750</v>
      </c>
      <c r="B1306" s="3" t="s">
        <v>373</v>
      </c>
      <c r="C1306" s="41" t="s">
        <v>1355</v>
      </c>
      <c r="D1306">
        <v>3</v>
      </c>
      <c r="E1306" t="s">
        <v>1179</v>
      </c>
      <c r="F1306" t="s">
        <v>1180</v>
      </c>
      <c r="G1306" t="s">
        <v>180</v>
      </c>
      <c r="H1306" s="1" t="s">
        <v>976</v>
      </c>
      <c r="I1306" s="1">
        <v>785</v>
      </c>
      <c r="J1306" s="20">
        <v>0</v>
      </c>
      <c r="K1306" s="1">
        <v>140.97999999999999</v>
      </c>
      <c r="L1306" s="1">
        <v>0</v>
      </c>
      <c r="M1306" s="42" t="s">
        <v>2912</v>
      </c>
      <c r="P1306" t="s">
        <v>22</v>
      </c>
      <c r="Q1306" t="s">
        <v>373</v>
      </c>
    </row>
    <row r="1307" spans="1:17" ht="15" customHeight="1" x14ac:dyDescent="0.25">
      <c r="A1307" s="3" t="s">
        <v>1751</v>
      </c>
      <c r="B1307" s="4" t="s">
        <v>2913</v>
      </c>
      <c r="C1307" t="s">
        <v>1355</v>
      </c>
      <c r="D1307">
        <v>1</v>
      </c>
      <c r="E1307" t="s">
        <v>974</v>
      </c>
      <c r="F1307" t="s">
        <v>975</v>
      </c>
      <c r="G1307" t="s">
        <v>976</v>
      </c>
      <c r="H1307" s="1" t="s">
        <v>976</v>
      </c>
      <c r="I1307" s="1">
        <v>1055</v>
      </c>
      <c r="J1307" s="20">
        <v>0</v>
      </c>
      <c r="K1307" s="1">
        <v>189.53</v>
      </c>
      <c r="L1307" s="1">
        <v>0</v>
      </c>
      <c r="M1307" s="42" t="s">
        <v>2912</v>
      </c>
      <c r="O1307" s="2" t="s">
        <v>2463</v>
      </c>
      <c r="P1307" t="s">
        <v>24</v>
      </c>
      <c r="Q1307" t="s">
        <v>908</v>
      </c>
    </row>
    <row r="1308" spans="1:17" ht="15" customHeight="1" x14ac:dyDescent="0.25">
      <c r="A1308" s="3" t="s">
        <v>1752</v>
      </c>
      <c r="B1308" s="4" t="s">
        <v>2913</v>
      </c>
      <c r="C1308" t="s">
        <v>1355</v>
      </c>
      <c r="D1308">
        <v>1</v>
      </c>
      <c r="E1308" t="s">
        <v>974</v>
      </c>
      <c r="F1308" t="s">
        <v>975</v>
      </c>
      <c r="G1308" t="s">
        <v>976</v>
      </c>
      <c r="H1308" s="1" t="s">
        <v>976</v>
      </c>
      <c r="I1308" s="1">
        <v>1055</v>
      </c>
      <c r="J1308" s="20">
        <v>0</v>
      </c>
      <c r="K1308" s="1">
        <v>0</v>
      </c>
      <c r="L1308" s="1">
        <v>0</v>
      </c>
      <c r="M1308" s="42" t="s">
        <v>2912</v>
      </c>
      <c r="O1308" s="2" t="s">
        <v>2463</v>
      </c>
      <c r="P1308" t="s">
        <v>25</v>
      </c>
      <c r="Q1308" t="s">
        <v>908</v>
      </c>
    </row>
    <row r="1309" spans="1:17" ht="15" customHeight="1" x14ac:dyDescent="0.25">
      <c r="A1309" s="3" t="s">
        <v>1753</v>
      </c>
      <c r="B1309" s="4" t="s">
        <v>2913</v>
      </c>
      <c r="C1309" t="s">
        <v>1355</v>
      </c>
      <c r="D1309">
        <v>1</v>
      </c>
      <c r="E1309" t="s">
        <v>974</v>
      </c>
      <c r="F1309" t="s">
        <v>975</v>
      </c>
      <c r="G1309" t="s">
        <v>976</v>
      </c>
      <c r="H1309" s="1" t="s">
        <v>976</v>
      </c>
      <c r="I1309" s="1">
        <v>1055</v>
      </c>
      <c r="J1309" s="20">
        <v>0</v>
      </c>
      <c r="K1309" s="1">
        <v>0</v>
      </c>
      <c r="L1309" s="1">
        <v>0</v>
      </c>
      <c r="M1309" s="42" t="s">
        <v>2912</v>
      </c>
      <c r="O1309" s="2" t="s">
        <v>2463</v>
      </c>
      <c r="P1309" t="s">
        <v>23</v>
      </c>
      <c r="Q1309" t="s">
        <v>908</v>
      </c>
    </row>
    <row r="1310" spans="1:17" ht="15" customHeight="1" x14ac:dyDescent="0.25">
      <c r="A1310" s="3" t="s">
        <v>1754</v>
      </c>
      <c r="B1310" s="4" t="s">
        <v>2913</v>
      </c>
      <c r="C1310" t="s">
        <v>1355</v>
      </c>
      <c r="D1310">
        <v>1</v>
      </c>
      <c r="E1310" t="s">
        <v>974</v>
      </c>
      <c r="F1310" t="s">
        <v>975</v>
      </c>
      <c r="G1310" t="s">
        <v>976</v>
      </c>
      <c r="H1310" s="1" t="s">
        <v>976</v>
      </c>
      <c r="I1310" s="1">
        <v>1055</v>
      </c>
      <c r="J1310" s="20">
        <v>0</v>
      </c>
      <c r="K1310" s="1">
        <v>0</v>
      </c>
      <c r="L1310" s="1">
        <v>0</v>
      </c>
      <c r="M1310" s="42" t="s">
        <v>2912</v>
      </c>
      <c r="O1310" s="2" t="s">
        <v>2463</v>
      </c>
      <c r="P1310" t="s">
        <v>22</v>
      </c>
      <c r="Q1310" t="s">
        <v>908</v>
      </c>
    </row>
    <row r="1311" spans="1:17" ht="15" customHeight="1" x14ac:dyDescent="0.25">
      <c r="A1311" s="3" t="s">
        <v>1755</v>
      </c>
      <c r="B1311" s="4" t="s">
        <v>2913</v>
      </c>
      <c r="C1311" t="s">
        <v>1355</v>
      </c>
      <c r="D1311">
        <v>1</v>
      </c>
      <c r="E1311" t="s">
        <v>974</v>
      </c>
      <c r="F1311" t="s">
        <v>975</v>
      </c>
      <c r="G1311" t="s">
        <v>976</v>
      </c>
      <c r="H1311" s="1" t="s">
        <v>976</v>
      </c>
      <c r="I1311" s="1">
        <v>1055</v>
      </c>
      <c r="J1311" s="20">
        <v>0</v>
      </c>
      <c r="K1311" s="1">
        <v>1055</v>
      </c>
      <c r="L1311" s="1">
        <v>0</v>
      </c>
      <c r="M1311" s="42" t="s">
        <v>2912</v>
      </c>
      <c r="O1311" s="2" t="s">
        <v>2482</v>
      </c>
      <c r="P1311" t="s">
        <v>24</v>
      </c>
      <c r="Q1311" t="s">
        <v>909</v>
      </c>
    </row>
    <row r="1312" spans="1:17" ht="15" customHeight="1" x14ac:dyDescent="0.25">
      <c r="A1312" s="41" t="s">
        <v>1755</v>
      </c>
      <c r="B1312" s="3" t="s">
        <v>2913</v>
      </c>
      <c r="C1312" s="41" t="s">
        <v>1355</v>
      </c>
      <c r="D1312">
        <v>2</v>
      </c>
      <c r="E1312" t="s">
        <v>1017</v>
      </c>
      <c r="F1312" t="s">
        <v>975</v>
      </c>
      <c r="G1312" t="s">
        <v>976</v>
      </c>
      <c r="H1312" s="1" t="s">
        <v>976</v>
      </c>
      <c r="I1312" s="1">
        <v>1055</v>
      </c>
      <c r="J1312" s="20">
        <v>1</v>
      </c>
      <c r="K1312" s="1">
        <v>180</v>
      </c>
      <c r="L1312" s="1">
        <v>180</v>
      </c>
      <c r="M1312" s="42" t="s">
        <v>2912</v>
      </c>
      <c r="O1312" s="2" t="s">
        <v>2482</v>
      </c>
      <c r="P1312" t="s">
        <v>24</v>
      </c>
      <c r="Q1312" t="s">
        <v>909</v>
      </c>
    </row>
    <row r="1313" spans="1:17" ht="15" customHeight="1" x14ac:dyDescent="0.25">
      <c r="A1313" s="3" t="s">
        <v>1756</v>
      </c>
      <c r="B1313" s="4" t="s">
        <v>2913</v>
      </c>
      <c r="C1313" t="s">
        <v>1355</v>
      </c>
      <c r="D1313">
        <v>1</v>
      </c>
      <c r="E1313" t="s">
        <v>974</v>
      </c>
      <c r="F1313" t="s">
        <v>975</v>
      </c>
      <c r="G1313" t="s">
        <v>976</v>
      </c>
      <c r="H1313" s="1" t="s">
        <v>976</v>
      </c>
      <c r="I1313" s="1">
        <v>1055</v>
      </c>
      <c r="J1313" s="20">
        <v>1</v>
      </c>
      <c r="K1313" s="1">
        <v>189.53</v>
      </c>
      <c r="L1313" s="1">
        <v>189.53</v>
      </c>
      <c r="M1313" s="42" t="s">
        <v>2912</v>
      </c>
      <c r="O1313" s="2" t="s">
        <v>2482</v>
      </c>
      <c r="P1313" t="s">
        <v>25</v>
      </c>
      <c r="Q1313" t="s">
        <v>909</v>
      </c>
    </row>
    <row r="1314" spans="1:17" ht="15" customHeight="1" x14ac:dyDescent="0.25">
      <c r="A1314" s="41" t="s">
        <v>1756</v>
      </c>
      <c r="B1314" s="3" t="s">
        <v>2913</v>
      </c>
      <c r="C1314" s="41" t="s">
        <v>1355</v>
      </c>
      <c r="D1314">
        <v>2</v>
      </c>
      <c r="E1314" t="s">
        <v>1017</v>
      </c>
      <c r="F1314" t="s">
        <v>975</v>
      </c>
      <c r="G1314" t="s">
        <v>976</v>
      </c>
      <c r="H1314" s="1" t="s">
        <v>976</v>
      </c>
      <c r="I1314" s="1">
        <v>1055</v>
      </c>
      <c r="J1314" s="20">
        <v>1</v>
      </c>
      <c r="K1314" s="1">
        <v>189.53</v>
      </c>
      <c r="L1314" s="1">
        <v>189.53</v>
      </c>
      <c r="M1314" s="42" t="s">
        <v>2912</v>
      </c>
      <c r="O1314" s="2" t="s">
        <v>2482</v>
      </c>
      <c r="P1314" t="s">
        <v>25</v>
      </c>
      <c r="Q1314" t="s">
        <v>909</v>
      </c>
    </row>
    <row r="1315" spans="1:17" ht="15" customHeight="1" x14ac:dyDescent="0.25">
      <c r="A1315" s="3" t="s">
        <v>1757</v>
      </c>
      <c r="B1315" s="4" t="s">
        <v>2913</v>
      </c>
      <c r="C1315" t="s">
        <v>1355</v>
      </c>
      <c r="D1315">
        <v>1</v>
      </c>
      <c r="E1315" t="s">
        <v>974</v>
      </c>
      <c r="F1315" t="s">
        <v>975</v>
      </c>
      <c r="G1315" t="s">
        <v>976</v>
      </c>
      <c r="H1315" s="1" t="s">
        <v>976</v>
      </c>
      <c r="I1315" s="1">
        <v>1055</v>
      </c>
      <c r="J1315" s="20">
        <v>0</v>
      </c>
      <c r="K1315" s="1">
        <v>189.53</v>
      </c>
      <c r="L1315" s="1">
        <v>0</v>
      </c>
      <c r="M1315" s="42" t="s">
        <v>2912</v>
      </c>
      <c r="O1315" s="2" t="s">
        <v>2482</v>
      </c>
      <c r="P1315" t="s">
        <v>23</v>
      </c>
      <c r="Q1315" t="s">
        <v>909</v>
      </c>
    </row>
    <row r="1316" spans="1:17" ht="15" customHeight="1" x14ac:dyDescent="0.25">
      <c r="A1316" s="41" t="s">
        <v>1757</v>
      </c>
      <c r="B1316" s="3" t="s">
        <v>2913</v>
      </c>
      <c r="C1316" s="41" t="s">
        <v>1355</v>
      </c>
      <c r="D1316">
        <v>2</v>
      </c>
      <c r="E1316" t="s">
        <v>1017</v>
      </c>
      <c r="F1316" t="s">
        <v>975</v>
      </c>
      <c r="G1316" t="s">
        <v>976</v>
      </c>
      <c r="H1316" s="1" t="s">
        <v>976</v>
      </c>
      <c r="I1316" s="1">
        <v>1055</v>
      </c>
      <c r="J1316" s="20">
        <v>0</v>
      </c>
      <c r="K1316" s="1">
        <v>189.53</v>
      </c>
      <c r="L1316" s="1">
        <v>0</v>
      </c>
      <c r="M1316" s="42" t="s">
        <v>2912</v>
      </c>
      <c r="O1316" s="2" t="s">
        <v>2482</v>
      </c>
      <c r="P1316" t="s">
        <v>23</v>
      </c>
      <c r="Q1316" t="s">
        <v>909</v>
      </c>
    </row>
    <row r="1317" spans="1:17" ht="15" customHeight="1" x14ac:dyDescent="0.25">
      <c r="A1317" s="41" t="s">
        <v>1757</v>
      </c>
      <c r="B1317" s="3" t="s">
        <v>2913</v>
      </c>
      <c r="C1317" s="41" t="s">
        <v>1355</v>
      </c>
      <c r="D1317">
        <v>3</v>
      </c>
      <c r="E1317" t="s">
        <v>1179</v>
      </c>
      <c r="F1317" t="s">
        <v>1180</v>
      </c>
      <c r="G1317" t="s">
        <v>976</v>
      </c>
      <c r="H1317" s="1" t="s">
        <v>976</v>
      </c>
      <c r="I1317" s="1">
        <v>1055</v>
      </c>
      <c r="J1317" s="20">
        <v>0</v>
      </c>
      <c r="K1317" s="1">
        <v>189</v>
      </c>
      <c r="L1317" s="1">
        <v>0</v>
      </c>
      <c r="M1317" s="42" t="s">
        <v>2912</v>
      </c>
      <c r="O1317" s="2" t="s">
        <v>2482</v>
      </c>
      <c r="P1317" t="s">
        <v>23</v>
      </c>
      <c r="Q1317" t="s">
        <v>909</v>
      </c>
    </row>
    <row r="1318" spans="1:17" ht="15" customHeight="1" x14ac:dyDescent="0.25">
      <c r="A1318" s="3" t="s">
        <v>1758</v>
      </c>
      <c r="B1318" s="4" t="s">
        <v>2913</v>
      </c>
      <c r="C1318" t="s">
        <v>1355</v>
      </c>
      <c r="D1318">
        <v>1</v>
      </c>
      <c r="E1318" t="s">
        <v>974</v>
      </c>
      <c r="F1318" t="s">
        <v>975</v>
      </c>
      <c r="G1318" t="s">
        <v>976</v>
      </c>
      <c r="H1318" s="1" t="s">
        <v>976</v>
      </c>
      <c r="I1318" s="1">
        <v>1055</v>
      </c>
      <c r="J1318" s="20">
        <v>0</v>
      </c>
      <c r="K1318" s="1">
        <v>189.53</v>
      </c>
      <c r="L1318" s="1">
        <v>0</v>
      </c>
      <c r="M1318" s="42" t="s">
        <v>2912</v>
      </c>
      <c r="O1318" s="2" t="s">
        <v>2482</v>
      </c>
      <c r="P1318" t="s">
        <v>22</v>
      </c>
      <c r="Q1318" t="s">
        <v>909</v>
      </c>
    </row>
    <row r="1319" spans="1:17" ht="15" customHeight="1" x14ac:dyDescent="0.25">
      <c r="A1319" s="3" t="s">
        <v>1759</v>
      </c>
      <c r="B1319" s="4" t="s">
        <v>374</v>
      </c>
      <c r="C1319" t="s">
        <v>1148</v>
      </c>
      <c r="D1319">
        <v>1</v>
      </c>
      <c r="E1319" t="s">
        <v>974</v>
      </c>
      <c r="F1319" t="s">
        <v>975</v>
      </c>
      <c r="G1319" t="s">
        <v>180</v>
      </c>
      <c r="H1319" s="1" t="s">
        <v>976</v>
      </c>
      <c r="I1319" s="1">
        <v>185</v>
      </c>
      <c r="J1319" s="20">
        <v>1</v>
      </c>
      <c r="K1319" s="1">
        <v>159.99</v>
      </c>
      <c r="L1319" s="1">
        <v>159.99</v>
      </c>
      <c r="M1319" s="42" t="s">
        <v>2914</v>
      </c>
      <c r="Q1319" t="s">
        <v>374</v>
      </c>
    </row>
    <row r="1320" spans="1:17" ht="15" customHeight="1" x14ac:dyDescent="0.25">
      <c r="A1320" s="3" t="s">
        <v>1760</v>
      </c>
      <c r="B1320" s="4" t="s">
        <v>375</v>
      </c>
      <c r="C1320" t="s">
        <v>1219</v>
      </c>
      <c r="D1320">
        <v>1</v>
      </c>
      <c r="E1320" t="s">
        <v>974</v>
      </c>
      <c r="F1320" t="s">
        <v>975</v>
      </c>
      <c r="G1320" t="s">
        <v>976</v>
      </c>
      <c r="H1320" s="1" t="s">
        <v>976</v>
      </c>
      <c r="I1320" s="1">
        <v>498</v>
      </c>
      <c r="J1320" s="20">
        <v>6</v>
      </c>
      <c r="K1320" s="1">
        <v>92.32</v>
      </c>
      <c r="L1320" s="1">
        <v>553.91999999999996</v>
      </c>
      <c r="M1320" s="42" t="s">
        <v>2915</v>
      </c>
      <c r="P1320" t="s">
        <v>24</v>
      </c>
      <c r="Q1320" t="s">
        <v>375</v>
      </c>
    </row>
    <row r="1321" spans="1:17" ht="15" customHeight="1" x14ac:dyDescent="0.25">
      <c r="A1321" s="3" t="s">
        <v>1761</v>
      </c>
      <c r="B1321" s="4" t="s">
        <v>376</v>
      </c>
      <c r="C1321" t="s">
        <v>1219</v>
      </c>
      <c r="D1321">
        <v>1</v>
      </c>
      <c r="E1321" t="s">
        <v>974</v>
      </c>
      <c r="F1321" t="s">
        <v>975</v>
      </c>
      <c r="G1321" t="s">
        <v>976</v>
      </c>
      <c r="H1321" s="1" t="s">
        <v>976</v>
      </c>
      <c r="I1321" s="1">
        <v>498</v>
      </c>
      <c r="J1321" s="20">
        <v>8</v>
      </c>
      <c r="K1321" s="1">
        <v>92.32</v>
      </c>
      <c r="L1321" s="1">
        <v>738.56</v>
      </c>
      <c r="M1321" s="42" t="s">
        <v>2915</v>
      </c>
      <c r="P1321" t="s">
        <v>25</v>
      </c>
      <c r="Q1321" t="s">
        <v>376</v>
      </c>
    </row>
    <row r="1322" spans="1:17" ht="15" customHeight="1" x14ac:dyDescent="0.25">
      <c r="A1322" s="3" t="s">
        <v>1762</v>
      </c>
      <c r="B1322" s="4" t="s">
        <v>377</v>
      </c>
      <c r="C1322" t="s">
        <v>1219</v>
      </c>
      <c r="D1322">
        <v>1</v>
      </c>
      <c r="E1322" t="s">
        <v>974</v>
      </c>
      <c r="F1322" t="s">
        <v>975</v>
      </c>
      <c r="G1322" t="s">
        <v>976</v>
      </c>
      <c r="H1322" s="1" t="s">
        <v>976</v>
      </c>
      <c r="I1322" s="1">
        <v>498</v>
      </c>
      <c r="J1322" s="20">
        <v>8</v>
      </c>
      <c r="K1322" s="1">
        <v>92.32</v>
      </c>
      <c r="L1322" s="1">
        <v>738.56</v>
      </c>
      <c r="M1322" s="42" t="s">
        <v>2915</v>
      </c>
      <c r="P1322" t="s">
        <v>23</v>
      </c>
      <c r="Q1322" t="s">
        <v>377</v>
      </c>
    </row>
    <row r="1323" spans="1:17" ht="15" customHeight="1" x14ac:dyDescent="0.25">
      <c r="A1323" s="3" t="s">
        <v>1763</v>
      </c>
      <c r="B1323" s="4" t="s">
        <v>378</v>
      </c>
      <c r="C1323" t="s">
        <v>1219</v>
      </c>
      <c r="D1323">
        <v>1</v>
      </c>
      <c r="E1323" t="s">
        <v>974</v>
      </c>
      <c r="F1323" t="s">
        <v>975</v>
      </c>
      <c r="G1323" t="s">
        <v>976</v>
      </c>
      <c r="H1323" s="1" t="s">
        <v>976</v>
      </c>
      <c r="I1323" s="1">
        <v>498</v>
      </c>
      <c r="J1323" s="20">
        <v>8</v>
      </c>
      <c r="K1323" s="1">
        <v>92.32</v>
      </c>
      <c r="L1323" s="1">
        <v>738.56</v>
      </c>
      <c r="M1323" s="42" t="s">
        <v>2915</v>
      </c>
      <c r="P1323" t="s">
        <v>22</v>
      </c>
      <c r="Q1323" t="s">
        <v>378</v>
      </c>
    </row>
    <row r="1324" spans="1:17" ht="15" customHeight="1" x14ac:dyDescent="0.25">
      <c r="A1324" s="3" t="s">
        <v>1764</v>
      </c>
      <c r="B1324" s="4" t="s">
        <v>2917</v>
      </c>
      <c r="C1324" t="s">
        <v>1148</v>
      </c>
      <c r="D1324">
        <v>1</v>
      </c>
      <c r="E1324" t="s">
        <v>974</v>
      </c>
      <c r="F1324" t="s">
        <v>975</v>
      </c>
      <c r="G1324" t="s">
        <v>180</v>
      </c>
      <c r="H1324" s="1" t="s">
        <v>976</v>
      </c>
      <c r="I1324" s="1">
        <v>930</v>
      </c>
      <c r="J1324" s="20">
        <v>0</v>
      </c>
      <c r="K1324" s="1">
        <v>161.75</v>
      </c>
      <c r="L1324" s="1">
        <v>0</v>
      </c>
      <c r="M1324" s="42" t="s">
        <v>2916</v>
      </c>
      <c r="O1324" s="2" t="s">
        <v>2433</v>
      </c>
      <c r="Q1324" t="s">
        <v>910</v>
      </c>
    </row>
    <row r="1325" spans="1:17" ht="15" customHeight="1" x14ac:dyDescent="0.25">
      <c r="A1325" s="3" t="s">
        <v>1765</v>
      </c>
      <c r="B1325" s="4" t="s">
        <v>379</v>
      </c>
      <c r="C1325" t="s">
        <v>1148</v>
      </c>
      <c r="D1325">
        <v>1</v>
      </c>
      <c r="E1325" t="s">
        <v>974</v>
      </c>
      <c r="F1325" t="s">
        <v>975</v>
      </c>
      <c r="G1325" t="s">
        <v>180</v>
      </c>
      <c r="H1325" s="1" t="s">
        <v>976</v>
      </c>
      <c r="I1325" s="1">
        <v>50</v>
      </c>
      <c r="J1325" s="20">
        <v>39</v>
      </c>
      <c r="K1325" s="1">
        <v>10</v>
      </c>
      <c r="L1325" s="1">
        <v>390</v>
      </c>
      <c r="M1325" s="42" t="s">
        <v>2918</v>
      </c>
      <c r="Q1325" t="s">
        <v>379</v>
      </c>
    </row>
    <row r="1326" spans="1:17" ht="15" customHeight="1" x14ac:dyDescent="0.25">
      <c r="A1326" s="3" t="s">
        <v>1766</v>
      </c>
      <c r="B1326" s="4" t="s">
        <v>2919</v>
      </c>
      <c r="C1326" t="s">
        <v>1148</v>
      </c>
      <c r="D1326">
        <v>1</v>
      </c>
      <c r="E1326" t="s">
        <v>974</v>
      </c>
      <c r="F1326" t="s">
        <v>975</v>
      </c>
      <c r="G1326" t="s">
        <v>180</v>
      </c>
      <c r="H1326" s="1" t="s">
        <v>976</v>
      </c>
      <c r="I1326" s="1">
        <v>50</v>
      </c>
      <c r="J1326" s="20">
        <v>26</v>
      </c>
      <c r="K1326" s="1">
        <v>10</v>
      </c>
      <c r="L1326" s="1">
        <v>260</v>
      </c>
      <c r="M1326" s="42" t="s">
        <v>2918</v>
      </c>
      <c r="O1326" s="2" t="s">
        <v>2727</v>
      </c>
      <c r="Q1326" t="s">
        <v>911</v>
      </c>
    </row>
    <row r="1327" spans="1:17" ht="15" customHeight="1" x14ac:dyDescent="0.25">
      <c r="A1327" s="3" t="s">
        <v>1767</v>
      </c>
      <c r="B1327" s="4" t="s">
        <v>1254</v>
      </c>
      <c r="C1327" t="s">
        <v>1254</v>
      </c>
      <c r="D1327">
        <v>1</v>
      </c>
      <c r="E1327" t="s">
        <v>974</v>
      </c>
      <c r="F1327" t="s">
        <v>975</v>
      </c>
      <c r="G1327" t="s">
        <v>180</v>
      </c>
      <c r="H1327" s="1" t="s">
        <v>976</v>
      </c>
      <c r="I1327" s="1">
        <v>920</v>
      </c>
      <c r="J1327" s="20">
        <v>1</v>
      </c>
      <c r="K1327" s="1">
        <v>180</v>
      </c>
      <c r="L1327" s="1">
        <v>180</v>
      </c>
      <c r="M1327" s="42" t="s">
        <v>2920</v>
      </c>
      <c r="O1327" s="2" t="s">
        <v>2443</v>
      </c>
      <c r="P1327" t="s">
        <v>24</v>
      </c>
      <c r="Q1327" t="s">
        <v>912</v>
      </c>
    </row>
    <row r="1328" spans="1:17" ht="15" customHeight="1" x14ac:dyDescent="0.25">
      <c r="A1328" s="3" t="s">
        <v>1768</v>
      </c>
      <c r="B1328" s="4" t="s">
        <v>1254</v>
      </c>
      <c r="C1328" t="s">
        <v>1254</v>
      </c>
      <c r="D1328">
        <v>1</v>
      </c>
      <c r="E1328" t="s">
        <v>974</v>
      </c>
      <c r="F1328" t="s">
        <v>975</v>
      </c>
      <c r="G1328" t="s">
        <v>180</v>
      </c>
      <c r="H1328" s="1" t="s">
        <v>976</v>
      </c>
      <c r="I1328" s="1">
        <v>920</v>
      </c>
      <c r="J1328" s="20">
        <v>7</v>
      </c>
      <c r="K1328" s="1">
        <v>180</v>
      </c>
      <c r="L1328" s="1">
        <v>1260</v>
      </c>
      <c r="M1328" s="42" t="s">
        <v>2920</v>
      </c>
      <c r="O1328" s="2" t="s">
        <v>2443</v>
      </c>
      <c r="P1328" t="s">
        <v>23</v>
      </c>
      <c r="Q1328" t="s">
        <v>912</v>
      </c>
    </row>
    <row r="1329" spans="1:17" ht="15" customHeight="1" x14ac:dyDescent="0.25">
      <c r="A1329" s="3" t="s">
        <v>1769</v>
      </c>
      <c r="B1329" s="4" t="s">
        <v>1254</v>
      </c>
      <c r="C1329" t="s">
        <v>1254</v>
      </c>
      <c r="D1329">
        <v>1</v>
      </c>
      <c r="E1329" t="s">
        <v>974</v>
      </c>
      <c r="F1329" t="s">
        <v>975</v>
      </c>
      <c r="G1329" t="s">
        <v>180</v>
      </c>
      <c r="H1329" s="1" t="s">
        <v>976</v>
      </c>
      <c r="I1329" s="1">
        <v>920</v>
      </c>
      <c r="J1329" s="20">
        <v>3</v>
      </c>
      <c r="K1329" s="1">
        <v>180</v>
      </c>
      <c r="L1329" s="1">
        <v>540</v>
      </c>
      <c r="M1329" s="42" t="s">
        <v>2920</v>
      </c>
      <c r="O1329" s="2" t="s">
        <v>2443</v>
      </c>
      <c r="P1329" t="s">
        <v>22</v>
      </c>
      <c r="Q1329" t="s">
        <v>912</v>
      </c>
    </row>
    <row r="1330" spans="1:17" ht="15" customHeight="1" x14ac:dyDescent="0.25">
      <c r="A1330" s="3" t="s">
        <v>2423</v>
      </c>
      <c r="B1330" s="4" t="s">
        <v>596</v>
      </c>
      <c r="C1330" t="s">
        <v>1254</v>
      </c>
      <c r="D1330">
        <v>1</v>
      </c>
      <c r="E1330" t="s">
        <v>974</v>
      </c>
      <c r="F1330" t="s">
        <v>975</v>
      </c>
      <c r="G1330" t="s">
        <v>180</v>
      </c>
      <c r="H1330" s="1" t="s">
        <v>976</v>
      </c>
      <c r="I1330" s="1">
        <v>880</v>
      </c>
      <c r="J1330" s="20">
        <v>0</v>
      </c>
      <c r="K1330" s="1">
        <v>0</v>
      </c>
      <c r="L1330" s="1">
        <v>0</v>
      </c>
      <c r="M1330" s="42" t="s">
        <v>2920</v>
      </c>
      <c r="P1330" t="s">
        <v>24</v>
      </c>
      <c r="Q1330" t="s">
        <v>596</v>
      </c>
    </row>
    <row r="1331" spans="1:17" ht="15" customHeight="1" x14ac:dyDescent="0.25">
      <c r="A1331" s="3" t="s">
        <v>2424</v>
      </c>
      <c r="B1331" s="4" t="s">
        <v>597</v>
      </c>
      <c r="C1331" t="s">
        <v>1254</v>
      </c>
      <c r="D1331">
        <v>1</v>
      </c>
      <c r="E1331" t="s">
        <v>974</v>
      </c>
      <c r="F1331" t="s">
        <v>975</v>
      </c>
      <c r="G1331" t="s">
        <v>180</v>
      </c>
      <c r="H1331" s="1" t="s">
        <v>976</v>
      </c>
      <c r="I1331" s="1">
        <v>770</v>
      </c>
      <c r="J1331" s="20">
        <v>0</v>
      </c>
      <c r="K1331" s="1">
        <v>100</v>
      </c>
      <c r="L1331" s="1">
        <v>0</v>
      </c>
      <c r="M1331" s="42" t="s">
        <v>2920</v>
      </c>
      <c r="P1331" t="s">
        <v>23</v>
      </c>
      <c r="Q1331" t="s">
        <v>597</v>
      </c>
    </row>
    <row r="1332" spans="1:17" ht="15" customHeight="1" x14ac:dyDescent="0.25">
      <c r="A1332" s="41" t="s">
        <v>2424</v>
      </c>
      <c r="B1332" s="3" t="s">
        <v>597</v>
      </c>
      <c r="C1332" s="41" t="s">
        <v>1254</v>
      </c>
      <c r="D1332">
        <v>4</v>
      </c>
      <c r="E1332" t="s">
        <v>1018</v>
      </c>
      <c r="F1332" t="s">
        <v>975</v>
      </c>
      <c r="G1332" t="s">
        <v>180</v>
      </c>
      <c r="H1332" s="1" t="s">
        <v>976</v>
      </c>
      <c r="I1332" s="1">
        <v>770</v>
      </c>
      <c r="J1332" s="20">
        <v>0</v>
      </c>
      <c r="K1332" s="1">
        <v>0</v>
      </c>
      <c r="L1332" s="1">
        <v>0</v>
      </c>
      <c r="M1332" s="42" t="s">
        <v>2920</v>
      </c>
      <c r="P1332" t="s">
        <v>23</v>
      </c>
      <c r="Q1332" t="s">
        <v>597</v>
      </c>
    </row>
    <row r="1333" spans="1:17" ht="15" customHeight="1" x14ac:dyDescent="0.25">
      <c r="A1333" s="3" t="s">
        <v>2425</v>
      </c>
      <c r="B1333" s="4" t="s">
        <v>598</v>
      </c>
      <c r="C1333" t="s">
        <v>1254</v>
      </c>
      <c r="D1333">
        <v>1</v>
      </c>
      <c r="E1333" t="s">
        <v>974</v>
      </c>
      <c r="F1333" t="s">
        <v>975</v>
      </c>
      <c r="G1333" t="s">
        <v>180</v>
      </c>
      <c r="H1333" s="1" t="s">
        <v>976</v>
      </c>
      <c r="I1333" s="1">
        <v>770</v>
      </c>
      <c r="J1333" s="20">
        <v>0</v>
      </c>
      <c r="K1333" s="1">
        <v>0</v>
      </c>
      <c r="L1333" s="1">
        <v>0</v>
      </c>
      <c r="M1333" s="42" t="s">
        <v>2920</v>
      </c>
      <c r="P1333" t="s">
        <v>22</v>
      </c>
      <c r="Q1333" t="s">
        <v>598</v>
      </c>
    </row>
    <row r="1334" spans="1:17" ht="15" customHeight="1" x14ac:dyDescent="0.25">
      <c r="A1334" s="3" t="s">
        <v>1770</v>
      </c>
      <c r="B1334" s="4" t="s">
        <v>2921</v>
      </c>
      <c r="C1334" t="s">
        <v>1254</v>
      </c>
      <c r="D1334">
        <v>1</v>
      </c>
      <c r="E1334" t="s">
        <v>974</v>
      </c>
      <c r="F1334" t="s">
        <v>975</v>
      </c>
      <c r="G1334" t="s">
        <v>180</v>
      </c>
      <c r="H1334" s="1" t="s">
        <v>976</v>
      </c>
      <c r="I1334" s="1">
        <v>370</v>
      </c>
      <c r="J1334" s="20">
        <v>4</v>
      </c>
      <c r="K1334" s="1">
        <v>0</v>
      </c>
      <c r="L1334" s="1">
        <v>0</v>
      </c>
      <c r="M1334" s="42" t="s">
        <v>2920</v>
      </c>
      <c r="O1334" s="2" t="s">
        <v>2433</v>
      </c>
      <c r="P1334" t="s">
        <v>24</v>
      </c>
      <c r="Q1334" t="s">
        <v>913</v>
      </c>
    </row>
    <row r="1335" spans="1:17" ht="15" customHeight="1" x14ac:dyDescent="0.25">
      <c r="A1335" s="3" t="s">
        <v>1771</v>
      </c>
      <c r="B1335" s="4" t="s">
        <v>2921</v>
      </c>
      <c r="C1335" t="s">
        <v>1254</v>
      </c>
      <c r="D1335">
        <v>1</v>
      </c>
      <c r="E1335" t="s">
        <v>974</v>
      </c>
      <c r="F1335" t="s">
        <v>975</v>
      </c>
      <c r="G1335" t="s">
        <v>180</v>
      </c>
      <c r="H1335" s="1" t="s">
        <v>976</v>
      </c>
      <c r="I1335" s="1">
        <v>370</v>
      </c>
      <c r="J1335" s="20">
        <v>4</v>
      </c>
      <c r="K1335" s="1">
        <v>0</v>
      </c>
      <c r="L1335" s="1">
        <v>0</v>
      </c>
      <c r="M1335" s="42" t="s">
        <v>2920</v>
      </c>
      <c r="O1335" s="2" t="s">
        <v>2433</v>
      </c>
      <c r="P1335" t="s">
        <v>23</v>
      </c>
      <c r="Q1335" t="s">
        <v>913</v>
      </c>
    </row>
    <row r="1336" spans="1:17" ht="15" customHeight="1" x14ac:dyDescent="0.25">
      <c r="A1336" s="3" t="s">
        <v>1772</v>
      </c>
      <c r="B1336" s="4" t="s">
        <v>2921</v>
      </c>
      <c r="C1336" t="s">
        <v>1254</v>
      </c>
      <c r="D1336">
        <v>1</v>
      </c>
      <c r="E1336" t="s">
        <v>974</v>
      </c>
      <c r="F1336" t="s">
        <v>975</v>
      </c>
      <c r="G1336" t="s">
        <v>180</v>
      </c>
      <c r="H1336" s="1" t="s">
        <v>976</v>
      </c>
      <c r="I1336" s="1">
        <v>370</v>
      </c>
      <c r="J1336" s="20">
        <v>7</v>
      </c>
      <c r="K1336" s="1">
        <v>0</v>
      </c>
      <c r="L1336" s="1">
        <v>0</v>
      </c>
      <c r="M1336" s="42" t="s">
        <v>2920</v>
      </c>
      <c r="O1336" s="2" t="s">
        <v>2433</v>
      </c>
      <c r="P1336" t="s">
        <v>22</v>
      </c>
      <c r="Q1336" t="s">
        <v>913</v>
      </c>
    </row>
    <row r="1337" spans="1:17" ht="15" customHeight="1" x14ac:dyDescent="0.25">
      <c r="A1337" s="3" t="s">
        <v>1773</v>
      </c>
      <c r="B1337" s="4" t="s">
        <v>2922</v>
      </c>
      <c r="C1337" t="s">
        <v>1254</v>
      </c>
      <c r="D1337">
        <v>1</v>
      </c>
      <c r="E1337" t="s">
        <v>974</v>
      </c>
      <c r="F1337" t="s">
        <v>975</v>
      </c>
      <c r="G1337" t="s">
        <v>180</v>
      </c>
      <c r="H1337" s="1" t="s">
        <v>976</v>
      </c>
      <c r="I1337" s="1">
        <v>490</v>
      </c>
      <c r="J1337" s="20">
        <v>3</v>
      </c>
      <c r="K1337" s="1">
        <v>98</v>
      </c>
      <c r="L1337" s="1">
        <v>294</v>
      </c>
      <c r="M1337" s="42" t="s">
        <v>2920</v>
      </c>
      <c r="O1337" s="2" t="s">
        <v>2447</v>
      </c>
      <c r="P1337" t="s">
        <v>24</v>
      </c>
      <c r="Q1337" t="s">
        <v>914</v>
      </c>
    </row>
    <row r="1338" spans="1:17" ht="15" customHeight="1" x14ac:dyDescent="0.25">
      <c r="A1338" s="3" t="s">
        <v>1774</v>
      </c>
      <c r="B1338" s="4" t="s">
        <v>2922</v>
      </c>
      <c r="C1338" t="s">
        <v>1254</v>
      </c>
      <c r="D1338">
        <v>1</v>
      </c>
      <c r="E1338" t="s">
        <v>974</v>
      </c>
      <c r="F1338" t="s">
        <v>975</v>
      </c>
      <c r="G1338" t="s">
        <v>180</v>
      </c>
      <c r="H1338" s="1" t="s">
        <v>976</v>
      </c>
      <c r="I1338" s="1">
        <v>490</v>
      </c>
      <c r="J1338" s="20">
        <v>0</v>
      </c>
      <c r="K1338" s="1">
        <v>0</v>
      </c>
      <c r="L1338" s="1">
        <v>0</v>
      </c>
      <c r="M1338" s="42" t="s">
        <v>2920</v>
      </c>
      <c r="O1338" s="2" t="s">
        <v>2447</v>
      </c>
      <c r="P1338" t="s">
        <v>25</v>
      </c>
      <c r="Q1338" t="s">
        <v>914</v>
      </c>
    </row>
    <row r="1339" spans="1:17" ht="15" customHeight="1" x14ac:dyDescent="0.25">
      <c r="A1339" s="3" t="s">
        <v>1775</v>
      </c>
      <c r="B1339" s="4" t="s">
        <v>2922</v>
      </c>
      <c r="C1339" t="s">
        <v>1254</v>
      </c>
      <c r="D1339">
        <v>1</v>
      </c>
      <c r="E1339" t="s">
        <v>974</v>
      </c>
      <c r="F1339" t="s">
        <v>975</v>
      </c>
      <c r="G1339" t="s">
        <v>180</v>
      </c>
      <c r="H1339" s="1" t="s">
        <v>976</v>
      </c>
      <c r="I1339" s="1">
        <v>490</v>
      </c>
      <c r="J1339" s="20">
        <v>4</v>
      </c>
      <c r="K1339" s="1">
        <v>98</v>
      </c>
      <c r="L1339" s="1">
        <v>392</v>
      </c>
      <c r="M1339" s="42" t="s">
        <v>2920</v>
      </c>
      <c r="O1339" s="2" t="s">
        <v>2447</v>
      </c>
      <c r="P1339" t="s">
        <v>23</v>
      </c>
      <c r="Q1339" t="s">
        <v>914</v>
      </c>
    </row>
    <row r="1340" spans="1:17" ht="15" customHeight="1" x14ac:dyDescent="0.25">
      <c r="A1340" s="3" t="s">
        <v>1776</v>
      </c>
      <c r="B1340" s="4" t="s">
        <v>2922</v>
      </c>
      <c r="C1340" t="s">
        <v>1254</v>
      </c>
      <c r="D1340">
        <v>1</v>
      </c>
      <c r="E1340" t="s">
        <v>974</v>
      </c>
      <c r="F1340" t="s">
        <v>975</v>
      </c>
      <c r="G1340" t="s">
        <v>180</v>
      </c>
      <c r="H1340" s="1" t="s">
        <v>976</v>
      </c>
      <c r="I1340" s="1">
        <v>490</v>
      </c>
      <c r="J1340" s="20">
        <v>0</v>
      </c>
      <c r="K1340" s="1">
        <v>98</v>
      </c>
      <c r="L1340" s="1">
        <v>0</v>
      </c>
      <c r="M1340" s="42" t="s">
        <v>2920</v>
      </c>
      <c r="O1340" s="2" t="s">
        <v>2447</v>
      </c>
      <c r="P1340" t="s">
        <v>22</v>
      </c>
      <c r="Q1340" t="s">
        <v>914</v>
      </c>
    </row>
    <row r="1341" spans="1:17" ht="15" customHeight="1" x14ac:dyDescent="0.25">
      <c r="A1341" s="3" t="s">
        <v>1777</v>
      </c>
      <c r="B1341" s="4" t="s">
        <v>2922</v>
      </c>
      <c r="C1341" t="s">
        <v>1254</v>
      </c>
      <c r="D1341">
        <v>1</v>
      </c>
      <c r="E1341" t="s">
        <v>974</v>
      </c>
      <c r="F1341" t="s">
        <v>975</v>
      </c>
      <c r="G1341" t="s">
        <v>180</v>
      </c>
      <c r="H1341" s="1" t="s">
        <v>976</v>
      </c>
      <c r="I1341" s="1">
        <v>490</v>
      </c>
      <c r="J1341" s="20">
        <v>1</v>
      </c>
      <c r="K1341" s="1">
        <v>86</v>
      </c>
      <c r="L1341" s="1">
        <v>86</v>
      </c>
      <c r="M1341" s="42" t="s">
        <v>2920</v>
      </c>
      <c r="O1341" s="2" t="s">
        <v>2447</v>
      </c>
      <c r="P1341" t="s">
        <v>21</v>
      </c>
      <c r="Q1341" t="s">
        <v>914</v>
      </c>
    </row>
    <row r="1342" spans="1:17" ht="15" customHeight="1" x14ac:dyDescent="0.25">
      <c r="A1342" s="3" t="s">
        <v>1778</v>
      </c>
      <c r="B1342" s="4" t="s">
        <v>2922</v>
      </c>
      <c r="C1342" t="s">
        <v>1254</v>
      </c>
      <c r="D1342">
        <v>1</v>
      </c>
      <c r="E1342" t="s">
        <v>974</v>
      </c>
      <c r="F1342" t="s">
        <v>975</v>
      </c>
      <c r="G1342" t="s">
        <v>180</v>
      </c>
      <c r="H1342" s="1" t="s">
        <v>976</v>
      </c>
      <c r="I1342" s="1">
        <v>490</v>
      </c>
      <c r="J1342" s="20">
        <v>1</v>
      </c>
      <c r="K1342" s="1">
        <v>98</v>
      </c>
      <c r="L1342" s="1">
        <v>98</v>
      </c>
      <c r="M1342" s="42" t="s">
        <v>2920</v>
      </c>
      <c r="O1342" s="2" t="s">
        <v>2443</v>
      </c>
      <c r="P1342" t="s">
        <v>24</v>
      </c>
      <c r="Q1342" t="s">
        <v>915</v>
      </c>
    </row>
    <row r="1343" spans="1:17" ht="15" customHeight="1" x14ac:dyDescent="0.25">
      <c r="A1343" s="3" t="s">
        <v>1779</v>
      </c>
      <c r="B1343" s="4" t="s">
        <v>2922</v>
      </c>
      <c r="C1343" t="s">
        <v>1254</v>
      </c>
      <c r="D1343">
        <v>1</v>
      </c>
      <c r="E1343" t="s">
        <v>974</v>
      </c>
      <c r="F1343" t="s">
        <v>975</v>
      </c>
      <c r="G1343" t="s">
        <v>180</v>
      </c>
      <c r="H1343" s="1" t="s">
        <v>976</v>
      </c>
      <c r="I1343" s="1">
        <v>490</v>
      </c>
      <c r="J1343" s="20">
        <v>1</v>
      </c>
      <c r="K1343" s="1">
        <v>98</v>
      </c>
      <c r="L1343" s="1">
        <v>98</v>
      </c>
      <c r="M1343" s="42" t="s">
        <v>2920</v>
      </c>
      <c r="O1343" s="2" t="s">
        <v>2443</v>
      </c>
      <c r="P1343" t="s">
        <v>25</v>
      </c>
      <c r="Q1343" t="s">
        <v>915</v>
      </c>
    </row>
    <row r="1344" spans="1:17" ht="15" customHeight="1" x14ac:dyDescent="0.25">
      <c r="A1344" s="3" t="s">
        <v>1780</v>
      </c>
      <c r="B1344" s="4" t="s">
        <v>2922</v>
      </c>
      <c r="C1344" t="s">
        <v>1254</v>
      </c>
      <c r="D1344">
        <v>1</v>
      </c>
      <c r="E1344" t="s">
        <v>974</v>
      </c>
      <c r="F1344" t="s">
        <v>975</v>
      </c>
      <c r="G1344" t="s">
        <v>180</v>
      </c>
      <c r="H1344" s="1" t="s">
        <v>976</v>
      </c>
      <c r="I1344" s="1">
        <v>490</v>
      </c>
      <c r="J1344" s="20">
        <v>1</v>
      </c>
      <c r="K1344" s="1">
        <v>98</v>
      </c>
      <c r="L1344" s="1">
        <v>98</v>
      </c>
      <c r="M1344" s="42" t="s">
        <v>2920</v>
      </c>
      <c r="O1344" s="2" t="s">
        <v>2443</v>
      </c>
      <c r="P1344" t="s">
        <v>23</v>
      </c>
      <c r="Q1344" t="s">
        <v>915</v>
      </c>
    </row>
    <row r="1345" spans="1:17" ht="15" customHeight="1" x14ac:dyDescent="0.25">
      <c r="A1345" s="3" t="s">
        <v>1781</v>
      </c>
      <c r="B1345" s="4" t="s">
        <v>2922</v>
      </c>
      <c r="C1345" t="s">
        <v>1254</v>
      </c>
      <c r="D1345">
        <v>1</v>
      </c>
      <c r="E1345" t="s">
        <v>974</v>
      </c>
      <c r="F1345" t="s">
        <v>975</v>
      </c>
      <c r="G1345" t="s">
        <v>180</v>
      </c>
      <c r="H1345" s="1" t="s">
        <v>976</v>
      </c>
      <c r="I1345" s="1">
        <v>490</v>
      </c>
      <c r="J1345" s="20">
        <v>1</v>
      </c>
      <c r="K1345" s="1">
        <v>98</v>
      </c>
      <c r="L1345" s="1">
        <v>98</v>
      </c>
      <c r="M1345" s="42" t="s">
        <v>2920</v>
      </c>
      <c r="O1345" s="2" t="s">
        <v>2443</v>
      </c>
      <c r="P1345" t="s">
        <v>22</v>
      </c>
      <c r="Q1345" t="s">
        <v>915</v>
      </c>
    </row>
    <row r="1346" spans="1:17" ht="15" customHeight="1" x14ac:dyDescent="0.25">
      <c r="A1346" s="3" t="s">
        <v>1782</v>
      </c>
      <c r="B1346" s="4" t="s">
        <v>2922</v>
      </c>
      <c r="C1346" t="s">
        <v>1254</v>
      </c>
      <c r="D1346">
        <v>1</v>
      </c>
      <c r="E1346" t="s">
        <v>974</v>
      </c>
      <c r="F1346" t="s">
        <v>975</v>
      </c>
      <c r="G1346" t="s">
        <v>180</v>
      </c>
      <c r="H1346" s="1" t="s">
        <v>976</v>
      </c>
      <c r="I1346" s="1">
        <v>490</v>
      </c>
      <c r="J1346" s="20">
        <v>1</v>
      </c>
      <c r="K1346" s="1">
        <v>98</v>
      </c>
      <c r="L1346" s="1">
        <v>98</v>
      </c>
      <c r="M1346" s="42" t="s">
        <v>2920</v>
      </c>
      <c r="O1346" s="2" t="s">
        <v>2443</v>
      </c>
      <c r="P1346" t="s">
        <v>21</v>
      </c>
      <c r="Q1346" t="s">
        <v>915</v>
      </c>
    </row>
    <row r="1347" spans="1:17" ht="15" customHeight="1" x14ac:dyDescent="0.25">
      <c r="A1347" s="3" t="s">
        <v>1783</v>
      </c>
      <c r="B1347" s="4" t="s">
        <v>2922</v>
      </c>
      <c r="C1347" t="s">
        <v>1254</v>
      </c>
      <c r="D1347">
        <v>1</v>
      </c>
      <c r="E1347" t="s">
        <v>974</v>
      </c>
      <c r="F1347" t="s">
        <v>975</v>
      </c>
      <c r="G1347" t="s">
        <v>180</v>
      </c>
      <c r="H1347" s="1" t="s">
        <v>976</v>
      </c>
      <c r="I1347" s="1">
        <v>490</v>
      </c>
      <c r="J1347" s="20">
        <v>0</v>
      </c>
      <c r="K1347" s="1">
        <v>86</v>
      </c>
      <c r="L1347" s="1">
        <v>0</v>
      </c>
      <c r="M1347" s="42" t="s">
        <v>2920</v>
      </c>
      <c r="O1347" s="2" t="s">
        <v>2482</v>
      </c>
      <c r="P1347" t="s">
        <v>24</v>
      </c>
      <c r="Q1347" t="s">
        <v>916</v>
      </c>
    </row>
    <row r="1348" spans="1:17" ht="15" customHeight="1" x14ac:dyDescent="0.25">
      <c r="A1348" s="3" t="s">
        <v>1784</v>
      </c>
      <c r="B1348" s="4" t="s">
        <v>2922</v>
      </c>
      <c r="C1348" t="s">
        <v>1254</v>
      </c>
      <c r="D1348">
        <v>1</v>
      </c>
      <c r="E1348" t="s">
        <v>974</v>
      </c>
      <c r="F1348" t="s">
        <v>975</v>
      </c>
      <c r="G1348" t="s">
        <v>180</v>
      </c>
      <c r="H1348" s="1" t="s">
        <v>976</v>
      </c>
      <c r="I1348" s="1">
        <v>490</v>
      </c>
      <c r="J1348" s="20">
        <v>2</v>
      </c>
      <c r="K1348" s="1">
        <v>86</v>
      </c>
      <c r="L1348" s="1">
        <v>172</v>
      </c>
      <c r="M1348" s="42" t="s">
        <v>2920</v>
      </c>
      <c r="O1348" s="2" t="s">
        <v>2482</v>
      </c>
      <c r="P1348" t="s">
        <v>25</v>
      </c>
      <c r="Q1348" t="s">
        <v>916</v>
      </c>
    </row>
    <row r="1349" spans="1:17" ht="15" customHeight="1" x14ac:dyDescent="0.25">
      <c r="A1349" s="3" t="s">
        <v>1785</v>
      </c>
      <c r="B1349" s="4" t="s">
        <v>2922</v>
      </c>
      <c r="C1349" t="s">
        <v>1254</v>
      </c>
      <c r="D1349">
        <v>1</v>
      </c>
      <c r="E1349" t="s">
        <v>974</v>
      </c>
      <c r="F1349" t="s">
        <v>975</v>
      </c>
      <c r="G1349" t="s">
        <v>180</v>
      </c>
      <c r="H1349" s="1" t="s">
        <v>976</v>
      </c>
      <c r="I1349" s="1">
        <v>490</v>
      </c>
      <c r="J1349" s="20">
        <v>1</v>
      </c>
      <c r="K1349" s="1">
        <v>98</v>
      </c>
      <c r="L1349" s="1">
        <v>98</v>
      </c>
      <c r="M1349" s="42" t="s">
        <v>2920</v>
      </c>
      <c r="O1349" s="2" t="s">
        <v>2482</v>
      </c>
      <c r="P1349" t="s">
        <v>23</v>
      </c>
      <c r="Q1349" t="s">
        <v>916</v>
      </c>
    </row>
    <row r="1350" spans="1:17" ht="15" customHeight="1" x14ac:dyDescent="0.25">
      <c r="A1350" s="3" t="s">
        <v>1786</v>
      </c>
      <c r="B1350" s="4" t="s">
        <v>2922</v>
      </c>
      <c r="C1350" t="s">
        <v>1254</v>
      </c>
      <c r="D1350">
        <v>1</v>
      </c>
      <c r="E1350" t="s">
        <v>974</v>
      </c>
      <c r="F1350" t="s">
        <v>975</v>
      </c>
      <c r="G1350" t="s">
        <v>180</v>
      </c>
      <c r="H1350" s="1" t="s">
        <v>976</v>
      </c>
      <c r="I1350" s="1">
        <v>490</v>
      </c>
      <c r="J1350" s="20">
        <v>1</v>
      </c>
      <c r="K1350" s="1">
        <v>98</v>
      </c>
      <c r="L1350" s="1">
        <v>98</v>
      </c>
      <c r="M1350" s="42" t="s">
        <v>2920</v>
      </c>
      <c r="O1350" s="2" t="s">
        <v>2482</v>
      </c>
      <c r="P1350" t="s">
        <v>22</v>
      </c>
      <c r="Q1350" t="s">
        <v>916</v>
      </c>
    </row>
    <row r="1351" spans="1:17" ht="15" customHeight="1" x14ac:dyDescent="0.25">
      <c r="A1351" s="3" t="s">
        <v>1787</v>
      </c>
      <c r="B1351" s="4" t="s">
        <v>2922</v>
      </c>
      <c r="C1351" t="s">
        <v>1254</v>
      </c>
      <c r="D1351">
        <v>1</v>
      </c>
      <c r="E1351" t="s">
        <v>974</v>
      </c>
      <c r="F1351" t="s">
        <v>975</v>
      </c>
      <c r="G1351" t="s">
        <v>180</v>
      </c>
      <c r="H1351" s="1" t="s">
        <v>976</v>
      </c>
      <c r="I1351" s="1">
        <v>490</v>
      </c>
      <c r="J1351" s="20">
        <v>3</v>
      </c>
      <c r="K1351" s="1">
        <v>89</v>
      </c>
      <c r="L1351" s="1">
        <v>267</v>
      </c>
      <c r="M1351" s="42" t="s">
        <v>2920</v>
      </c>
      <c r="O1351" s="2" t="s">
        <v>2482</v>
      </c>
      <c r="P1351" t="s">
        <v>21</v>
      </c>
      <c r="Q1351" t="s">
        <v>916</v>
      </c>
    </row>
    <row r="1352" spans="1:17" ht="15" customHeight="1" x14ac:dyDescent="0.25">
      <c r="A1352" s="3" t="s">
        <v>2242</v>
      </c>
      <c r="B1352" s="4" t="s">
        <v>2840</v>
      </c>
      <c r="C1352" t="s">
        <v>1383</v>
      </c>
      <c r="D1352">
        <v>1</v>
      </c>
      <c r="E1352" t="s">
        <v>974</v>
      </c>
      <c r="F1352" t="s">
        <v>975</v>
      </c>
      <c r="G1352" t="s">
        <v>180</v>
      </c>
      <c r="H1352" s="1" t="s">
        <v>976</v>
      </c>
      <c r="I1352" s="1">
        <v>89</v>
      </c>
      <c r="J1352" s="20">
        <v>6</v>
      </c>
      <c r="K1352" s="1">
        <v>24</v>
      </c>
      <c r="L1352" s="1">
        <v>144</v>
      </c>
      <c r="M1352" s="42" t="s">
        <v>2923</v>
      </c>
      <c r="O1352" s="2" t="s">
        <v>2472</v>
      </c>
      <c r="Q1352" t="s">
        <v>825</v>
      </c>
    </row>
    <row r="1353" spans="1:17" ht="15" customHeight="1" x14ac:dyDescent="0.25">
      <c r="A1353" s="3" t="s">
        <v>1788</v>
      </c>
      <c r="B1353" s="4" t="s">
        <v>2925</v>
      </c>
      <c r="C1353" t="s">
        <v>1148</v>
      </c>
      <c r="D1353">
        <v>1</v>
      </c>
      <c r="E1353" t="s">
        <v>974</v>
      </c>
      <c r="F1353" t="s">
        <v>975</v>
      </c>
      <c r="G1353" t="s">
        <v>976</v>
      </c>
      <c r="H1353" s="1" t="s">
        <v>976</v>
      </c>
      <c r="I1353" s="1">
        <v>1020</v>
      </c>
      <c r="J1353" s="20">
        <v>5</v>
      </c>
      <c r="K1353" s="1">
        <v>187.44618</v>
      </c>
      <c r="L1353" s="1">
        <v>937.23</v>
      </c>
      <c r="M1353" s="42" t="s">
        <v>2924</v>
      </c>
      <c r="O1353" s="2" t="s">
        <v>2433</v>
      </c>
      <c r="Q1353" t="s">
        <v>917</v>
      </c>
    </row>
    <row r="1354" spans="1:17" ht="15" customHeight="1" x14ac:dyDescent="0.25">
      <c r="A1354" s="3" t="s">
        <v>1789</v>
      </c>
      <c r="B1354" s="4" t="s">
        <v>380</v>
      </c>
      <c r="C1354" t="s">
        <v>1148</v>
      </c>
      <c r="D1354">
        <v>1</v>
      </c>
      <c r="E1354" t="s">
        <v>974</v>
      </c>
      <c r="F1354" t="s">
        <v>975</v>
      </c>
      <c r="G1354" t="s">
        <v>976</v>
      </c>
      <c r="H1354" s="1" t="s">
        <v>976</v>
      </c>
      <c r="I1354" s="1">
        <v>1020</v>
      </c>
      <c r="J1354" s="20">
        <v>8</v>
      </c>
      <c r="K1354" s="1">
        <v>176.826922</v>
      </c>
      <c r="L1354" s="1">
        <v>1414.62</v>
      </c>
      <c r="M1354" s="42" t="s">
        <v>2924</v>
      </c>
      <c r="Q1354" t="s">
        <v>380</v>
      </c>
    </row>
    <row r="1355" spans="1:17" ht="15" customHeight="1" x14ac:dyDescent="0.25">
      <c r="A1355" s="3" t="s">
        <v>1790</v>
      </c>
      <c r="B1355" s="4" t="s">
        <v>2926</v>
      </c>
      <c r="C1355" t="s">
        <v>1148</v>
      </c>
      <c r="D1355">
        <v>1</v>
      </c>
      <c r="E1355" t="s">
        <v>974</v>
      </c>
      <c r="F1355" t="s">
        <v>975</v>
      </c>
      <c r="G1355" t="s">
        <v>976</v>
      </c>
      <c r="H1355" s="1" t="s">
        <v>976</v>
      </c>
      <c r="I1355" s="1">
        <v>1020</v>
      </c>
      <c r="J1355" s="20">
        <v>14</v>
      </c>
      <c r="K1355" s="1">
        <v>176.83928499999999</v>
      </c>
      <c r="L1355" s="1">
        <v>2475.75</v>
      </c>
      <c r="M1355" s="42" t="s">
        <v>2924</v>
      </c>
      <c r="O1355" s="2" t="s">
        <v>2472</v>
      </c>
      <c r="Q1355" t="s">
        <v>918</v>
      </c>
    </row>
    <row r="1356" spans="1:17" ht="15" customHeight="1" x14ac:dyDescent="0.25">
      <c r="A1356" s="41" t="s">
        <v>1790</v>
      </c>
      <c r="B1356" s="3" t="s">
        <v>2926</v>
      </c>
      <c r="C1356" s="41" t="s">
        <v>1148</v>
      </c>
      <c r="D1356">
        <v>3</v>
      </c>
      <c r="E1356" t="s">
        <v>1179</v>
      </c>
      <c r="F1356" t="s">
        <v>1180</v>
      </c>
      <c r="G1356" t="s">
        <v>976</v>
      </c>
      <c r="H1356" s="1" t="s">
        <v>976</v>
      </c>
      <c r="I1356" s="1">
        <v>1020</v>
      </c>
      <c r="J1356" s="20">
        <v>2</v>
      </c>
      <c r="K1356" s="1">
        <v>890</v>
      </c>
      <c r="L1356" s="1">
        <v>1780</v>
      </c>
      <c r="M1356" s="42" t="s">
        <v>2924</v>
      </c>
      <c r="O1356" s="2" t="s">
        <v>2472</v>
      </c>
      <c r="Q1356" t="s">
        <v>918</v>
      </c>
    </row>
    <row r="1357" spans="1:17" ht="15" customHeight="1" x14ac:dyDescent="0.25">
      <c r="A1357" s="3" t="s">
        <v>1791</v>
      </c>
      <c r="B1357" s="4" t="s">
        <v>381</v>
      </c>
      <c r="C1357" t="s">
        <v>1219</v>
      </c>
      <c r="D1357">
        <v>1</v>
      </c>
      <c r="E1357" t="s">
        <v>974</v>
      </c>
      <c r="F1357" t="s">
        <v>975</v>
      </c>
      <c r="G1357" t="s">
        <v>976</v>
      </c>
      <c r="H1357" s="1" t="s">
        <v>976</v>
      </c>
      <c r="I1357" s="1">
        <v>328</v>
      </c>
      <c r="J1357" s="20">
        <v>11</v>
      </c>
      <c r="K1357" s="1">
        <v>58.15</v>
      </c>
      <c r="L1357" s="1">
        <v>639.65</v>
      </c>
      <c r="M1357" s="42" t="s">
        <v>2927</v>
      </c>
      <c r="Q1357" t="s">
        <v>381</v>
      </c>
    </row>
    <row r="1358" spans="1:17" ht="15" customHeight="1" x14ac:dyDescent="0.25">
      <c r="A1358" s="3" t="s">
        <v>1792</v>
      </c>
      <c r="B1358" s="4" t="s">
        <v>382</v>
      </c>
      <c r="C1358" t="s">
        <v>1152</v>
      </c>
      <c r="D1358">
        <v>1</v>
      </c>
      <c r="E1358" t="s">
        <v>974</v>
      </c>
      <c r="F1358" t="s">
        <v>975</v>
      </c>
      <c r="G1358" t="s">
        <v>180</v>
      </c>
      <c r="H1358" s="1" t="s">
        <v>976</v>
      </c>
      <c r="I1358" s="1">
        <v>165</v>
      </c>
      <c r="J1358" s="20">
        <v>70</v>
      </c>
      <c r="K1358" s="1">
        <v>45</v>
      </c>
      <c r="L1358" s="1">
        <v>3150</v>
      </c>
      <c r="M1358" s="42" t="s">
        <v>2928</v>
      </c>
      <c r="Q1358" t="s">
        <v>382</v>
      </c>
    </row>
    <row r="1359" spans="1:17" ht="15" customHeight="1" x14ac:dyDescent="0.25">
      <c r="A1359" s="3" t="s">
        <v>1793</v>
      </c>
      <c r="B1359" s="4" t="s">
        <v>383</v>
      </c>
      <c r="C1359" t="s">
        <v>1266</v>
      </c>
      <c r="D1359">
        <v>1</v>
      </c>
      <c r="E1359" t="s">
        <v>974</v>
      </c>
      <c r="F1359" t="s">
        <v>975</v>
      </c>
      <c r="G1359" t="s">
        <v>180</v>
      </c>
      <c r="H1359" s="1" t="s">
        <v>976</v>
      </c>
      <c r="I1359" s="1">
        <v>575</v>
      </c>
      <c r="J1359" s="20">
        <v>-3</v>
      </c>
      <c r="K1359" s="1">
        <v>0</v>
      </c>
      <c r="L1359" s="1">
        <v>0</v>
      </c>
      <c r="M1359" s="42" t="s">
        <v>2929</v>
      </c>
      <c r="P1359" t="s">
        <v>23</v>
      </c>
      <c r="Q1359" t="s">
        <v>383</v>
      </c>
    </row>
    <row r="1360" spans="1:17" ht="15" customHeight="1" x14ac:dyDescent="0.25">
      <c r="A1360" s="3" t="s">
        <v>1794</v>
      </c>
      <c r="B1360" s="4" t="s">
        <v>2930</v>
      </c>
      <c r="C1360" t="s">
        <v>1795</v>
      </c>
      <c r="D1360">
        <v>1</v>
      </c>
      <c r="E1360" t="s">
        <v>974</v>
      </c>
      <c r="F1360" t="s">
        <v>975</v>
      </c>
      <c r="G1360" t="s">
        <v>180</v>
      </c>
      <c r="H1360" s="1" t="s">
        <v>976</v>
      </c>
      <c r="I1360" s="1">
        <v>650</v>
      </c>
      <c r="J1360" s="20">
        <v>2</v>
      </c>
      <c r="K1360" s="1">
        <v>119.503333</v>
      </c>
      <c r="L1360" s="1">
        <v>239.01</v>
      </c>
      <c r="M1360" s="42" t="s">
        <v>2929</v>
      </c>
      <c r="O1360" s="2" t="s">
        <v>2447</v>
      </c>
      <c r="P1360" t="s">
        <v>24</v>
      </c>
      <c r="Q1360" t="s">
        <v>919</v>
      </c>
    </row>
    <row r="1361" spans="1:17" ht="15" customHeight="1" x14ac:dyDescent="0.25">
      <c r="A1361" s="3" t="s">
        <v>1796</v>
      </c>
      <c r="B1361" s="4" t="s">
        <v>2930</v>
      </c>
      <c r="C1361" t="s">
        <v>1795</v>
      </c>
      <c r="D1361">
        <v>1</v>
      </c>
      <c r="E1361" t="s">
        <v>974</v>
      </c>
      <c r="F1361" t="s">
        <v>975</v>
      </c>
      <c r="G1361" t="s">
        <v>180</v>
      </c>
      <c r="H1361" s="1" t="s">
        <v>976</v>
      </c>
      <c r="I1361" s="1">
        <v>650</v>
      </c>
      <c r="J1361" s="20">
        <v>2</v>
      </c>
      <c r="K1361" s="1">
        <v>118.75</v>
      </c>
      <c r="L1361" s="1">
        <v>237.5</v>
      </c>
      <c r="M1361" s="42" t="s">
        <v>2929</v>
      </c>
      <c r="O1361" s="2" t="s">
        <v>2447</v>
      </c>
      <c r="P1361" t="s">
        <v>25</v>
      </c>
      <c r="Q1361" t="s">
        <v>919</v>
      </c>
    </row>
    <row r="1362" spans="1:17" ht="15" customHeight="1" x14ac:dyDescent="0.25">
      <c r="A1362" s="3" t="s">
        <v>1797</v>
      </c>
      <c r="B1362" s="4" t="s">
        <v>2930</v>
      </c>
      <c r="C1362" t="s">
        <v>1795</v>
      </c>
      <c r="D1362">
        <v>1</v>
      </c>
      <c r="E1362" t="s">
        <v>974</v>
      </c>
      <c r="F1362" t="s">
        <v>975</v>
      </c>
      <c r="G1362" t="s">
        <v>180</v>
      </c>
      <c r="H1362" s="1" t="s">
        <v>976</v>
      </c>
      <c r="I1362" s="1">
        <v>650</v>
      </c>
      <c r="J1362" s="20">
        <v>6</v>
      </c>
      <c r="K1362" s="1">
        <v>118.434285</v>
      </c>
      <c r="L1362" s="1">
        <v>710.61</v>
      </c>
      <c r="M1362" s="42" t="s">
        <v>2929</v>
      </c>
      <c r="O1362" s="2" t="s">
        <v>2447</v>
      </c>
      <c r="P1362" t="s">
        <v>23</v>
      </c>
      <c r="Q1362" t="s">
        <v>919</v>
      </c>
    </row>
    <row r="1363" spans="1:17" ht="15" customHeight="1" x14ac:dyDescent="0.25">
      <c r="A1363" s="3" t="s">
        <v>1798</v>
      </c>
      <c r="B1363" s="4" t="s">
        <v>2930</v>
      </c>
      <c r="C1363" t="s">
        <v>1795</v>
      </c>
      <c r="D1363">
        <v>1</v>
      </c>
      <c r="E1363" t="s">
        <v>974</v>
      </c>
      <c r="F1363" t="s">
        <v>975</v>
      </c>
      <c r="G1363" t="s">
        <v>180</v>
      </c>
      <c r="H1363" s="1" t="s">
        <v>976</v>
      </c>
      <c r="I1363" s="1">
        <v>650</v>
      </c>
      <c r="J1363" s="20">
        <v>6</v>
      </c>
      <c r="K1363" s="1">
        <v>119.717142</v>
      </c>
      <c r="L1363" s="1">
        <v>718.3</v>
      </c>
      <c r="M1363" s="42" t="s">
        <v>2929</v>
      </c>
      <c r="O1363" s="2" t="s">
        <v>2447</v>
      </c>
      <c r="P1363" t="s">
        <v>22</v>
      </c>
      <c r="Q1363" t="s">
        <v>919</v>
      </c>
    </row>
    <row r="1364" spans="1:17" ht="15" customHeight="1" x14ac:dyDescent="0.25">
      <c r="A1364" s="3" t="s">
        <v>1799</v>
      </c>
      <c r="B1364" s="4" t="s">
        <v>384</v>
      </c>
      <c r="C1364" t="s">
        <v>1795</v>
      </c>
      <c r="D1364">
        <v>1</v>
      </c>
      <c r="E1364" t="s">
        <v>974</v>
      </c>
      <c r="F1364" t="s">
        <v>975</v>
      </c>
      <c r="G1364" t="s">
        <v>976</v>
      </c>
      <c r="H1364" s="1" t="s">
        <v>976</v>
      </c>
      <c r="I1364" s="1">
        <v>650</v>
      </c>
      <c r="J1364" s="20">
        <v>3</v>
      </c>
      <c r="K1364" s="1">
        <v>118.71</v>
      </c>
      <c r="L1364" s="1">
        <v>356.13</v>
      </c>
      <c r="M1364" s="42" t="s">
        <v>2929</v>
      </c>
      <c r="P1364" t="s">
        <v>24</v>
      </c>
      <c r="Q1364" t="s">
        <v>384</v>
      </c>
    </row>
    <row r="1365" spans="1:17" ht="15" customHeight="1" x14ac:dyDescent="0.25">
      <c r="A1365" s="3" t="s">
        <v>1800</v>
      </c>
      <c r="B1365" s="4" t="s">
        <v>385</v>
      </c>
      <c r="C1365" t="s">
        <v>1795</v>
      </c>
      <c r="D1365">
        <v>1</v>
      </c>
      <c r="E1365" t="s">
        <v>974</v>
      </c>
      <c r="F1365" t="s">
        <v>975</v>
      </c>
      <c r="G1365" t="s">
        <v>976</v>
      </c>
      <c r="H1365" s="1" t="s">
        <v>976</v>
      </c>
      <c r="I1365" s="1">
        <v>650</v>
      </c>
      <c r="J1365" s="20">
        <v>2</v>
      </c>
      <c r="K1365" s="1">
        <v>121</v>
      </c>
      <c r="L1365" s="1">
        <v>242</v>
      </c>
      <c r="M1365" s="42" t="s">
        <v>2929</v>
      </c>
      <c r="P1365" t="s">
        <v>25</v>
      </c>
      <c r="Q1365" t="s">
        <v>385</v>
      </c>
    </row>
    <row r="1366" spans="1:17" ht="15" customHeight="1" x14ac:dyDescent="0.25">
      <c r="A1366" s="3" t="s">
        <v>1801</v>
      </c>
      <c r="B1366" s="4" t="s">
        <v>386</v>
      </c>
      <c r="C1366" t="s">
        <v>1795</v>
      </c>
      <c r="D1366">
        <v>1</v>
      </c>
      <c r="E1366" t="s">
        <v>974</v>
      </c>
      <c r="F1366" t="s">
        <v>975</v>
      </c>
      <c r="G1366" t="s">
        <v>976</v>
      </c>
      <c r="H1366" s="1" t="s">
        <v>976</v>
      </c>
      <c r="I1366" s="1">
        <v>650</v>
      </c>
      <c r="J1366" s="20">
        <v>6</v>
      </c>
      <c r="K1366" s="1">
        <v>116.70625</v>
      </c>
      <c r="L1366" s="1">
        <v>700.24</v>
      </c>
      <c r="M1366" s="42" t="s">
        <v>2929</v>
      </c>
      <c r="P1366" t="s">
        <v>23</v>
      </c>
      <c r="Q1366" t="s">
        <v>386</v>
      </c>
    </row>
    <row r="1367" spans="1:17" ht="15" customHeight="1" x14ac:dyDescent="0.25">
      <c r="A1367" s="3" t="s">
        <v>1802</v>
      </c>
      <c r="B1367" s="4" t="s">
        <v>387</v>
      </c>
      <c r="C1367" t="s">
        <v>1795</v>
      </c>
      <c r="D1367">
        <v>1</v>
      </c>
      <c r="E1367" t="s">
        <v>974</v>
      </c>
      <c r="F1367" t="s">
        <v>975</v>
      </c>
      <c r="G1367" t="s">
        <v>976</v>
      </c>
      <c r="H1367" s="1" t="s">
        <v>976</v>
      </c>
      <c r="I1367" s="1">
        <v>650</v>
      </c>
      <c r="J1367" s="20">
        <v>5</v>
      </c>
      <c r="K1367" s="1">
        <v>116.884</v>
      </c>
      <c r="L1367" s="1">
        <v>584.41999999999996</v>
      </c>
      <c r="M1367" s="42" t="s">
        <v>2929</v>
      </c>
      <c r="P1367" t="s">
        <v>22</v>
      </c>
      <c r="Q1367" t="s">
        <v>387</v>
      </c>
    </row>
    <row r="1368" spans="1:17" ht="15" customHeight="1" x14ac:dyDescent="0.25">
      <c r="A1368" s="3" t="s">
        <v>1803</v>
      </c>
      <c r="B1368" s="4" t="s">
        <v>2930</v>
      </c>
      <c r="C1368" t="s">
        <v>1795</v>
      </c>
      <c r="D1368">
        <v>1</v>
      </c>
      <c r="E1368" t="s">
        <v>974</v>
      </c>
      <c r="F1368" t="s">
        <v>975</v>
      </c>
      <c r="G1368" t="s">
        <v>180</v>
      </c>
      <c r="H1368" s="1" t="s">
        <v>976</v>
      </c>
      <c r="I1368" s="1">
        <v>650</v>
      </c>
      <c r="J1368" s="20">
        <v>0</v>
      </c>
      <c r="K1368" s="1">
        <v>118.755</v>
      </c>
      <c r="L1368" s="1">
        <v>0</v>
      </c>
      <c r="M1368" s="42" t="s">
        <v>2929</v>
      </c>
      <c r="O1368" s="2" t="s">
        <v>2443</v>
      </c>
      <c r="P1368" t="s">
        <v>24</v>
      </c>
      <c r="Q1368" t="s">
        <v>920</v>
      </c>
    </row>
    <row r="1369" spans="1:17" ht="15" customHeight="1" x14ac:dyDescent="0.25">
      <c r="A1369" s="3" t="s">
        <v>1804</v>
      </c>
      <c r="B1369" s="4" t="s">
        <v>2930</v>
      </c>
      <c r="C1369" t="s">
        <v>1795</v>
      </c>
      <c r="D1369">
        <v>1</v>
      </c>
      <c r="E1369" t="s">
        <v>974</v>
      </c>
      <c r="F1369" t="s">
        <v>975</v>
      </c>
      <c r="G1369" t="s">
        <v>180</v>
      </c>
      <c r="H1369" s="1" t="s">
        <v>976</v>
      </c>
      <c r="I1369" s="1">
        <v>650</v>
      </c>
      <c r="J1369" s="20">
        <v>1</v>
      </c>
      <c r="K1369" s="1">
        <v>121</v>
      </c>
      <c r="L1369" s="1">
        <v>121</v>
      </c>
      <c r="M1369" s="42" t="s">
        <v>2929</v>
      </c>
      <c r="O1369" s="2" t="s">
        <v>2443</v>
      </c>
      <c r="P1369" t="s">
        <v>25</v>
      </c>
      <c r="Q1369" t="s">
        <v>920</v>
      </c>
    </row>
    <row r="1370" spans="1:17" ht="15" customHeight="1" x14ac:dyDescent="0.25">
      <c r="A1370" s="3" t="s">
        <v>1805</v>
      </c>
      <c r="B1370" s="4" t="s">
        <v>2930</v>
      </c>
      <c r="C1370" t="s">
        <v>1795</v>
      </c>
      <c r="D1370">
        <v>1</v>
      </c>
      <c r="E1370" t="s">
        <v>974</v>
      </c>
      <c r="F1370" t="s">
        <v>975</v>
      </c>
      <c r="G1370" t="s">
        <v>180</v>
      </c>
      <c r="H1370" s="1" t="s">
        <v>976</v>
      </c>
      <c r="I1370" s="1">
        <v>650</v>
      </c>
      <c r="J1370" s="20">
        <v>8</v>
      </c>
      <c r="K1370" s="1">
        <v>121</v>
      </c>
      <c r="L1370" s="1">
        <v>968</v>
      </c>
      <c r="M1370" s="42" t="s">
        <v>2929</v>
      </c>
      <c r="O1370" s="2" t="s">
        <v>2443</v>
      </c>
      <c r="P1370" t="s">
        <v>23</v>
      </c>
      <c r="Q1370" t="s">
        <v>920</v>
      </c>
    </row>
    <row r="1371" spans="1:17" ht="15" customHeight="1" x14ac:dyDescent="0.25">
      <c r="A1371" s="41" t="s">
        <v>1805</v>
      </c>
      <c r="B1371" s="3" t="s">
        <v>2930</v>
      </c>
      <c r="C1371" s="41" t="s">
        <v>1795</v>
      </c>
      <c r="D1371">
        <v>4</v>
      </c>
      <c r="E1371" t="s">
        <v>1018</v>
      </c>
      <c r="F1371" t="s">
        <v>975</v>
      </c>
      <c r="G1371" t="s">
        <v>180</v>
      </c>
      <c r="H1371" s="1" t="s">
        <v>976</v>
      </c>
      <c r="I1371" s="1">
        <v>650</v>
      </c>
      <c r="J1371" s="20">
        <v>0</v>
      </c>
      <c r="K1371" s="1">
        <v>575</v>
      </c>
      <c r="L1371" s="1">
        <v>0</v>
      </c>
      <c r="M1371" s="42" t="s">
        <v>2929</v>
      </c>
      <c r="O1371" s="2" t="s">
        <v>2443</v>
      </c>
      <c r="P1371" t="s">
        <v>23</v>
      </c>
      <c r="Q1371" t="s">
        <v>920</v>
      </c>
    </row>
    <row r="1372" spans="1:17" ht="15" customHeight="1" x14ac:dyDescent="0.25">
      <c r="A1372" s="3" t="s">
        <v>1806</v>
      </c>
      <c r="B1372" s="4" t="s">
        <v>2930</v>
      </c>
      <c r="C1372" t="s">
        <v>1795</v>
      </c>
      <c r="D1372">
        <v>1</v>
      </c>
      <c r="E1372" t="s">
        <v>974</v>
      </c>
      <c r="F1372" t="s">
        <v>975</v>
      </c>
      <c r="G1372" t="s">
        <v>180</v>
      </c>
      <c r="H1372" s="1" t="s">
        <v>976</v>
      </c>
      <c r="I1372" s="1">
        <v>650</v>
      </c>
      <c r="J1372" s="20">
        <v>7</v>
      </c>
      <c r="K1372" s="1">
        <v>120.358571</v>
      </c>
      <c r="L1372" s="1">
        <v>842.51</v>
      </c>
      <c r="M1372" s="42" t="s">
        <v>2929</v>
      </c>
      <c r="O1372" s="2" t="s">
        <v>2443</v>
      </c>
      <c r="P1372" t="s">
        <v>22</v>
      </c>
      <c r="Q1372" t="s">
        <v>920</v>
      </c>
    </row>
    <row r="1373" spans="1:17" ht="15" customHeight="1" x14ac:dyDescent="0.25">
      <c r="A1373" s="3" t="s">
        <v>1807</v>
      </c>
      <c r="B1373" s="4" t="s">
        <v>2930</v>
      </c>
      <c r="C1373" t="s">
        <v>1795</v>
      </c>
      <c r="D1373">
        <v>1</v>
      </c>
      <c r="E1373" t="s">
        <v>974</v>
      </c>
      <c r="F1373" t="s">
        <v>975</v>
      </c>
      <c r="G1373" t="s">
        <v>180</v>
      </c>
      <c r="H1373" s="1" t="s">
        <v>976</v>
      </c>
      <c r="I1373" s="1">
        <v>650</v>
      </c>
      <c r="J1373" s="20">
        <v>2</v>
      </c>
      <c r="K1373" s="1">
        <v>116.51</v>
      </c>
      <c r="L1373" s="1">
        <v>233.02</v>
      </c>
      <c r="M1373" s="42" t="s">
        <v>2929</v>
      </c>
      <c r="O1373" s="2" t="s">
        <v>2433</v>
      </c>
      <c r="P1373" t="s">
        <v>24</v>
      </c>
      <c r="Q1373" t="s">
        <v>921</v>
      </c>
    </row>
    <row r="1374" spans="1:17" ht="15" customHeight="1" x14ac:dyDescent="0.25">
      <c r="A1374" s="41" t="s">
        <v>1807</v>
      </c>
      <c r="B1374" s="3" t="s">
        <v>2930</v>
      </c>
      <c r="C1374" s="41" t="s">
        <v>1795</v>
      </c>
      <c r="D1374">
        <v>4</v>
      </c>
      <c r="E1374" t="s">
        <v>1018</v>
      </c>
      <c r="F1374" t="s">
        <v>975</v>
      </c>
      <c r="G1374" t="s">
        <v>180</v>
      </c>
      <c r="H1374" s="1" t="s">
        <v>976</v>
      </c>
      <c r="I1374" s="1">
        <v>650</v>
      </c>
      <c r="J1374" s="20">
        <v>1</v>
      </c>
      <c r="K1374" s="1">
        <v>0</v>
      </c>
      <c r="L1374" s="1">
        <v>0</v>
      </c>
      <c r="M1374" s="42" t="s">
        <v>2929</v>
      </c>
      <c r="O1374" s="2" t="s">
        <v>2433</v>
      </c>
      <c r="P1374" t="s">
        <v>24</v>
      </c>
      <c r="Q1374" t="s">
        <v>921</v>
      </c>
    </row>
    <row r="1375" spans="1:17" ht="15" customHeight="1" x14ac:dyDescent="0.25">
      <c r="A1375" s="3" t="s">
        <v>1808</v>
      </c>
      <c r="B1375" s="4" t="s">
        <v>2930</v>
      </c>
      <c r="C1375" t="s">
        <v>1795</v>
      </c>
      <c r="D1375">
        <v>1</v>
      </c>
      <c r="E1375" t="s">
        <v>974</v>
      </c>
      <c r="F1375" t="s">
        <v>975</v>
      </c>
      <c r="G1375" t="s">
        <v>180</v>
      </c>
      <c r="H1375" s="1" t="s">
        <v>976</v>
      </c>
      <c r="I1375" s="1">
        <v>650</v>
      </c>
      <c r="J1375" s="20">
        <v>1</v>
      </c>
      <c r="K1375" s="1">
        <v>345.755</v>
      </c>
      <c r="L1375" s="1">
        <v>345.76</v>
      </c>
      <c r="M1375" s="42" t="s">
        <v>2929</v>
      </c>
      <c r="O1375" s="2" t="s">
        <v>2433</v>
      </c>
      <c r="P1375" t="s">
        <v>25</v>
      </c>
      <c r="Q1375" t="s">
        <v>921</v>
      </c>
    </row>
    <row r="1376" spans="1:17" ht="15" customHeight="1" x14ac:dyDescent="0.25">
      <c r="A1376" s="41" t="s">
        <v>1808</v>
      </c>
      <c r="B1376" s="3" t="s">
        <v>2930</v>
      </c>
      <c r="C1376" s="41" t="s">
        <v>1795</v>
      </c>
      <c r="D1376">
        <v>4</v>
      </c>
      <c r="E1376" t="s">
        <v>1018</v>
      </c>
      <c r="F1376" t="s">
        <v>975</v>
      </c>
      <c r="G1376" t="s">
        <v>180</v>
      </c>
      <c r="H1376" s="1" t="s">
        <v>976</v>
      </c>
      <c r="I1376" s="1">
        <v>650</v>
      </c>
      <c r="J1376" s="20">
        <v>0</v>
      </c>
      <c r="K1376" s="1">
        <v>0</v>
      </c>
      <c r="L1376" s="1">
        <v>0</v>
      </c>
      <c r="M1376" s="42" t="s">
        <v>2929</v>
      </c>
      <c r="O1376" s="2" t="s">
        <v>2433</v>
      </c>
      <c r="P1376" t="s">
        <v>25</v>
      </c>
      <c r="Q1376" t="s">
        <v>921</v>
      </c>
    </row>
    <row r="1377" spans="1:17" ht="15" customHeight="1" x14ac:dyDescent="0.25">
      <c r="A1377" s="3" t="s">
        <v>1809</v>
      </c>
      <c r="B1377" s="4" t="s">
        <v>2930</v>
      </c>
      <c r="C1377" t="s">
        <v>1795</v>
      </c>
      <c r="D1377">
        <v>1</v>
      </c>
      <c r="E1377" t="s">
        <v>974</v>
      </c>
      <c r="F1377" t="s">
        <v>975</v>
      </c>
      <c r="G1377" t="s">
        <v>180</v>
      </c>
      <c r="H1377" s="1" t="s">
        <v>976</v>
      </c>
      <c r="I1377" s="1">
        <v>650</v>
      </c>
      <c r="J1377" s="20">
        <v>7</v>
      </c>
      <c r="K1377" s="1">
        <v>118.434285</v>
      </c>
      <c r="L1377" s="1">
        <v>829.04</v>
      </c>
      <c r="M1377" s="42" t="s">
        <v>2929</v>
      </c>
      <c r="O1377" s="2" t="s">
        <v>2433</v>
      </c>
      <c r="P1377" t="s">
        <v>23</v>
      </c>
      <c r="Q1377" t="s">
        <v>921</v>
      </c>
    </row>
    <row r="1378" spans="1:17" ht="15" customHeight="1" x14ac:dyDescent="0.25">
      <c r="A1378" s="3" t="s">
        <v>1810</v>
      </c>
      <c r="B1378" s="4" t="s">
        <v>2930</v>
      </c>
      <c r="C1378" t="s">
        <v>1795</v>
      </c>
      <c r="D1378">
        <v>1</v>
      </c>
      <c r="E1378" t="s">
        <v>974</v>
      </c>
      <c r="F1378" t="s">
        <v>975</v>
      </c>
      <c r="G1378" t="s">
        <v>180</v>
      </c>
      <c r="H1378" s="1" t="s">
        <v>976</v>
      </c>
      <c r="I1378" s="1">
        <v>650</v>
      </c>
      <c r="J1378" s="20">
        <v>4</v>
      </c>
      <c r="K1378" s="1">
        <v>117.63249999999999</v>
      </c>
      <c r="L1378" s="1">
        <v>470.53</v>
      </c>
      <c r="M1378" s="42" t="s">
        <v>2929</v>
      </c>
      <c r="O1378" s="2" t="s">
        <v>2433</v>
      </c>
      <c r="P1378" t="s">
        <v>22</v>
      </c>
      <c r="Q1378" t="s">
        <v>921</v>
      </c>
    </row>
    <row r="1379" spans="1:17" ht="15" customHeight="1" x14ac:dyDescent="0.25">
      <c r="A1379" s="3" t="s">
        <v>1811</v>
      </c>
      <c r="B1379" s="4" t="s">
        <v>2930</v>
      </c>
      <c r="C1379" t="s">
        <v>1795</v>
      </c>
      <c r="D1379">
        <v>1</v>
      </c>
      <c r="E1379" t="s">
        <v>974</v>
      </c>
      <c r="F1379" t="s">
        <v>975</v>
      </c>
      <c r="G1379" t="s">
        <v>180</v>
      </c>
      <c r="H1379" s="1" t="s">
        <v>976</v>
      </c>
      <c r="I1379" s="1">
        <v>650</v>
      </c>
      <c r="J1379" s="20">
        <v>2</v>
      </c>
      <c r="K1379" s="1">
        <v>118.006666</v>
      </c>
      <c r="L1379" s="1">
        <v>236.01</v>
      </c>
      <c r="M1379" s="42" t="s">
        <v>2929</v>
      </c>
      <c r="O1379" s="2" t="s">
        <v>2482</v>
      </c>
      <c r="P1379" t="s">
        <v>24</v>
      </c>
      <c r="Q1379" t="s">
        <v>922</v>
      </c>
    </row>
    <row r="1380" spans="1:17" ht="15" customHeight="1" x14ac:dyDescent="0.25">
      <c r="A1380" s="3" t="s">
        <v>1812</v>
      </c>
      <c r="B1380" s="4" t="s">
        <v>2930</v>
      </c>
      <c r="C1380" t="s">
        <v>1795</v>
      </c>
      <c r="D1380">
        <v>1</v>
      </c>
      <c r="E1380" t="s">
        <v>974</v>
      </c>
      <c r="F1380" t="s">
        <v>975</v>
      </c>
      <c r="G1380" t="s">
        <v>180</v>
      </c>
      <c r="H1380" s="1" t="s">
        <v>976</v>
      </c>
      <c r="I1380" s="1">
        <v>650</v>
      </c>
      <c r="J1380" s="20">
        <v>2</v>
      </c>
      <c r="K1380" s="1">
        <v>116.51</v>
      </c>
      <c r="L1380" s="1">
        <v>233.02</v>
      </c>
      <c r="M1380" s="42" t="s">
        <v>2929</v>
      </c>
      <c r="O1380" s="2" t="s">
        <v>2482</v>
      </c>
      <c r="P1380" t="s">
        <v>25</v>
      </c>
      <c r="Q1380" t="s">
        <v>922</v>
      </c>
    </row>
    <row r="1381" spans="1:17" ht="15" customHeight="1" x14ac:dyDescent="0.25">
      <c r="A1381" s="3" t="s">
        <v>1813</v>
      </c>
      <c r="B1381" s="4" t="s">
        <v>2930</v>
      </c>
      <c r="C1381" t="s">
        <v>1795</v>
      </c>
      <c r="D1381">
        <v>1</v>
      </c>
      <c r="E1381" t="s">
        <v>974</v>
      </c>
      <c r="F1381" t="s">
        <v>975</v>
      </c>
      <c r="G1381" t="s">
        <v>180</v>
      </c>
      <c r="H1381" s="1" t="s">
        <v>976</v>
      </c>
      <c r="I1381" s="1">
        <v>650</v>
      </c>
      <c r="J1381" s="20">
        <v>7</v>
      </c>
      <c r="K1381" s="1">
        <v>119.717142</v>
      </c>
      <c r="L1381" s="1">
        <v>838.02</v>
      </c>
      <c r="M1381" s="42" t="s">
        <v>2929</v>
      </c>
      <c r="O1381" s="2" t="s">
        <v>2482</v>
      </c>
      <c r="P1381" t="s">
        <v>23</v>
      </c>
      <c r="Q1381" t="s">
        <v>922</v>
      </c>
    </row>
    <row r="1382" spans="1:17" ht="15" customHeight="1" x14ac:dyDescent="0.25">
      <c r="A1382" s="3" t="s">
        <v>1814</v>
      </c>
      <c r="B1382" s="4" t="s">
        <v>2930</v>
      </c>
      <c r="C1382" t="s">
        <v>1795</v>
      </c>
      <c r="D1382">
        <v>1</v>
      </c>
      <c r="E1382" t="s">
        <v>974</v>
      </c>
      <c r="F1382" t="s">
        <v>975</v>
      </c>
      <c r="G1382" t="s">
        <v>180</v>
      </c>
      <c r="H1382" s="1" t="s">
        <v>976</v>
      </c>
      <c r="I1382" s="1">
        <v>650</v>
      </c>
      <c r="J1382" s="20">
        <v>0</v>
      </c>
      <c r="K1382" s="1">
        <v>118.755</v>
      </c>
      <c r="L1382" s="1">
        <v>0</v>
      </c>
      <c r="M1382" s="42" t="s">
        <v>2929</v>
      </c>
      <c r="O1382" s="2" t="s">
        <v>2482</v>
      </c>
      <c r="P1382" t="s">
        <v>22</v>
      </c>
      <c r="Q1382" t="s">
        <v>922</v>
      </c>
    </row>
    <row r="1383" spans="1:17" ht="15" customHeight="1" x14ac:dyDescent="0.25">
      <c r="A1383" s="3" t="s">
        <v>2181</v>
      </c>
      <c r="B1383" s="4" t="s">
        <v>530</v>
      </c>
      <c r="C1383" t="s">
        <v>1016</v>
      </c>
      <c r="D1383">
        <v>1</v>
      </c>
      <c r="E1383" t="s">
        <v>974</v>
      </c>
      <c r="F1383" t="s">
        <v>975</v>
      </c>
      <c r="G1383" t="s">
        <v>976</v>
      </c>
      <c r="H1383" s="1" t="s">
        <v>976</v>
      </c>
      <c r="I1383" s="1">
        <v>1</v>
      </c>
      <c r="J1383" s="20">
        <v>1000</v>
      </c>
      <c r="K1383" s="1">
        <v>1</v>
      </c>
      <c r="L1383" s="1">
        <v>1000</v>
      </c>
      <c r="M1383" s="42" t="s">
        <v>2931</v>
      </c>
      <c r="Q1383" t="s">
        <v>530</v>
      </c>
    </row>
    <row r="1384" spans="1:17" ht="15" customHeight="1" x14ac:dyDescent="0.25">
      <c r="A1384" s="3" t="s">
        <v>1815</v>
      </c>
      <c r="B1384" s="4" t="s">
        <v>388</v>
      </c>
      <c r="C1384" t="s">
        <v>1016</v>
      </c>
      <c r="D1384">
        <v>1</v>
      </c>
      <c r="E1384" t="s">
        <v>974</v>
      </c>
      <c r="F1384" t="s">
        <v>975</v>
      </c>
      <c r="G1384" t="s">
        <v>976</v>
      </c>
      <c r="H1384" s="1" t="s">
        <v>976</v>
      </c>
      <c r="I1384" s="1">
        <v>2.5299999999999998</v>
      </c>
      <c r="J1384" s="20">
        <v>0</v>
      </c>
      <c r="K1384" s="1">
        <v>0</v>
      </c>
      <c r="L1384" s="1">
        <v>0</v>
      </c>
      <c r="M1384" s="42" t="s">
        <v>2932</v>
      </c>
      <c r="Q1384" t="s">
        <v>388</v>
      </c>
    </row>
    <row r="1385" spans="1:17" ht="15" customHeight="1" x14ac:dyDescent="0.25">
      <c r="A1385" s="3" t="s">
        <v>2426</v>
      </c>
      <c r="B1385" s="4" t="s">
        <v>599</v>
      </c>
      <c r="C1385" t="s">
        <v>976</v>
      </c>
      <c r="D1385">
        <v>1</v>
      </c>
      <c r="E1385" t="s">
        <v>974</v>
      </c>
      <c r="F1385" t="s">
        <v>975</v>
      </c>
      <c r="G1385" t="s">
        <v>976</v>
      </c>
      <c r="H1385" s="1" t="s">
        <v>976</v>
      </c>
      <c r="I1385" s="1">
        <v>10</v>
      </c>
      <c r="J1385" s="20">
        <v>-1</v>
      </c>
      <c r="K1385" s="1">
        <v>0</v>
      </c>
      <c r="L1385" s="1">
        <v>0</v>
      </c>
      <c r="M1385" s="42" t="s">
        <v>2933</v>
      </c>
      <c r="Q1385" t="s">
        <v>599</v>
      </c>
    </row>
    <row r="1386" spans="1:17" ht="15" customHeight="1" x14ac:dyDescent="0.25">
      <c r="A1386" s="3" t="s">
        <v>2243</v>
      </c>
      <c r="B1386" s="4" t="s">
        <v>553</v>
      </c>
      <c r="C1386" t="s">
        <v>1016</v>
      </c>
      <c r="D1386">
        <v>1</v>
      </c>
      <c r="E1386" t="s">
        <v>974</v>
      </c>
      <c r="F1386" t="s">
        <v>975</v>
      </c>
      <c r="G1386" t="s">
        <v>976</v>
      </c>
      <c r="H1386" s="1" t="s">
        <v>976</v>
      </c>
      <c r="I1386" s="1">
        <v>0.73</v>
      </c>
      <c r="J1386" s="20">
        <v>23</v>
      </c>
      <c r="K1386" s="1">
        <v>0.8</v>
      </c>
      <c r="L1386" s="1">
        <v>18.399999999999999</v>
      </c>
      <c r="M1386" s="42" t="s">
        <v>2934</v>
      </c>
      <c r="Q1386" t="s">
        <v>553</v>
      </c>
    </row>
    <row r="1387" spans="1:17" ht="15" customHeight="1" x14ac:dyDescent="0.25">
      <c r="A1387" s="41" t="s">
        <v>2243</v>
      </c>
      <c r="B1387" s="3" t="s">
        <v>553</v>
      </c>
      <c r="C1387" s="41" t="s">
        <v>1016</v>
      </c>
      <c r="D1387">
        <v>4</v>
      </c>
      <c r="E1387" t="s">
        <v>1018</v>
      </c>
      <c r="F1387" t="s">
        <v>975</v>
      </c>
      <c r="G1387" t="s">
        <v>976</v>
      </c>
      <c r="H1387" s="1" t="s">
        <v>976</v>
      </c>
      <c r="I1387" s="1">
        <v>0.73</v>
      </c>
      <c r="J1387" s="20">
        <v>393</v>
      </c>
      <c r="K1387" s="1">
        <v>0.73</v>
      </c>
      <c r="L1387" s="1">
        <v>286.89</v>
      </c>
      <c r="M1387" s="42" t="s">
        <v>2934</v>
      </c>
      <c r="Q1387" t="s">
        <v>553</v>
      </c>
    </row>
    <row r="1388" spans="1:17" ht="15" customHeight="1" x14ac:dyDescent="0.25">
      <c r="A1388" s="3" t="s">
        <v>2427</v>
      </c>
      <c r="B1388" s="4" t="s">
        <v>600</v>
      </c>
      <c r="C1388" t="s">
        <v>1066</v>
      </c>
      <c r="D1388">
        <v>1</v>
      </c>
      <c r="E1388" t="s">
        <v>974</v>
      </c>
      <c r="F1388" t="s">
        <v>975</v>
      </c>
      <c r="G1388" t="s">
        <v>976</v>
      </c>
      <c r="H1388" s="1" t="s">
        <v>976</v>
      </c>
      <c r="I1388" s="1">
        <v>0.72</v>
      </c>
      <c r="J1388" s="20">
        <v>600</v>
      </c>
      <c r="K1388" s="1">
        <v>0.75283999999999995</v>
      </c>
      <c r="L1388" s="1">
        <v>451.7</v>
      </c>
      <c r="M1388" s="42" t="s">
        <v>2935</v>
      </c>
      <c r="Q1388" t="s">
        <v>600</v>
      </c>
    </row>
    <row r="1389" spans="1:17" ht="15" customHeight="1" x14ac:dyDescent="0.25">
      <c r="A1389" s="41" t="s">
        <v>2427</v>
      </c>
      <c r="B1389" s="3" t="s">
        <v>600</v>
      </c>
      <c r="C1389" s="41" t="s">
        <v>1066</v>
      </c>
      <c r="D1389">
        <v>4</v>
      </c>
      <c r="E1389" t="s">
        <v>1018</v>
      </c>
      <c r="F1389" t="s">
        <v>975</v>
      </c>
      <c r="G1389" t="s">
        <v>976</v>
      </c>
      <c r="H1389" s="1" t="s">
        <v>976</v>
      </c>
      <c r="I1389" s="1">
        <v>0.72</v>
      </c>
      <c r="J1389" s="20">
        <v>608</v>
      </c>
      <c r="K1389" s="1">
        <v>0.72</v>
      </c>
      <c r="L1389" s="1">
        <v>437.76</v>
      </c>
      <c r="M1389" s="42" t="s">
        <v>2935</v>
      </c>
      <c r="Q1389" t="s">
        <v>600</v>
      </c>
    </row>
    <row r="1390" spans="1:17" ht="15" customHeight="1" x14ac:dyDescent="0.25">
      <c r="A1390" s="3" t="s">
        <v>2182</v>
      </c>
      <c r="B1390" s="4" t="s">
        <v>531</v>
      </c>
      <c r="C1390" t="s">
        <v>1016</v>
      </c>
      <c r="D1390">
        <v>1</v>
      </c>
      <c r="E1390" t="s">
        <v>974</v>
      </c>
      <c r="F1390" t="s">
        <v>975</v>
      </c>
      <c r="G1390" t="s">
        <v>976</v>
      </c>
      <c r="H1390" s="1" t="s">
        <v>976</v>
      </c>
      <c r="I1390" s="1">
        <v>1.33</v>
      </c>
      <c r="J1390" s="20">
        <v>880</v>
      </c>
      <c r="K1390" s="1">
        <v>1.33</v>
      </c>
      <c r="L1390" s="1">
        <v>1170.4000000000001</v>
      </c>
      <c r="M1390" s="42" t="s">
        <v>2936</v>
      </c>
      <c r="Q1390" t="s">
        <v>531</v>
      </c>
    </row>
    <row r="1391" spans="1:17" ht="15" customHeight="1" x14ac:dyDescent="0.25">
      <c r="A1391" s="3" t="s">
        <v>1816</v>
      </c>
      <c r="B1391" s="4" t="s">
        <v>2938</v>
      </c>
      <c r="C1391" t="s">
        <v>973</v>
      </c>
      <c r="D1391">
        <v>1</v>
      </c>
      <c r="E1391" t="s">
        <v>974</v>
      </c>
      <c r="F1391" t="s">
        <v>975</v>
      </c>
      <c r="G1391" t="s">
        <v>976</v>
      </c>
      <c r="H1391" s="1" t="s">
        <v>976</v>
      </c>
      <c r="I1391" s="1">
        <v>75</v>
      </c>
      <c r="J1391" s="20">
        <v>-1.4</v>
      </c>
      <c r="K1391" s="1">
        <v>0</v>
      </c>
      <c r="L1391" s="1">
        <v>0</v>
      </c>
      <c r="M1391" s="42" t="s">
        <v>2937</v>
      </c>
      <c r="O1391" s="2" t="s">
        <v>2447</v>
      </c>
      <c r="Q1391" t="s">
        <v>923</v>
      </c>
    </row>
    <row r="1392" spans="1:17" ht="15" customHeight="1" x14ac:dyDescent="0.25">
      <c r="A1392" s="3" t="s">
        <v>1817</v>
      </c>
      <c r="B1392" s="4" t="s">
        <v>2940</v>
      </c>
      <c r="C1392" t="s">
        <v>1383</v>
      </c>
      <c r="D1392">
        <v>1</v>
      </c>
      <c r="E1392" t="s">
        <v>974</v>
      </c>
      <c r="F1392" t="s">
        <v>975</v>
      </c>
      <c r="G1392" t="s">
        <v>180</v>
      </c>
      <c r="H1392" s="1" t="s">
        <v>976</v>
      </c>
      <c r="I1392" s="1">
        <v>790</v>
      </c>
      <c r="J1392" s="20">
        <v>0</v>
      </c>
      <c r="K1392" s="1">
        <v>0</v>
      </c>
      <c r="L1392" s="1">
        <v>0</v>
      </c>
      <c r="M1392" s="42" t="s">
        <v>2939</v>
      </c>
      <c r="O1392" s="2" t="s">
        <v>2495</v>
      </c>
      <c r="Q1392" t="s">
        <v>924</v>
      </c>
    </row>
    <row r="1393" spans="1:17" ht="15" customHeight="1" x14ac:dyDescent="0.25">
      <c r="A1393" s="41" t="s">
        <v>1817</v>
      </c>
      <c r="B1393" s="3" t="s">
        <v>2940</v>
      </c>
      <c r="C1393" s="41" t="s">
        <v>1383</v>
      </c>
      <c r="D1393">
        <v>4</v>
      </c>
      <c r="E1393" t="s">
        <v>1018</v>
      </c>
      <c r="F1393" t="s">
        <v>975</v>
      </c>
      <c r="G1393" t="s">
        <v>180</v>
      </c>
      <c r="H1393" s="1" t="s">
        <v>976</v>
      </c>
      <c r="I1393" s="1">
        <v>790</v>
      </c>
      <c r="J1393" s="20">
        <v>0</v>
      </c>
      <c r="K1393" s="1">
        <v>0</v>
      </c>
      <c r="L1393" s="1">
        <v>0</v>
      </c>
      <c r="M1393" s="42" t="s">
        <v>2939</v>
      </c>
      <c r="O1393" s="2" t="s">
        <v>2495</v>
      </c>
      <c r="Q1393" t="s">
        <v>924</v>
      </c>
    </row>
    <row r="1394" spans="1:17" ht="15" customHeight="1" x14ac:dyDescent="0.25">
      <c r="A1394" s="3" t="s">
        <v>2428</v>
      </c>
      <c r="B1394" s="4" t="s">
        <v>601</v>
      </c>
      <c r="C1394" t="s">
        <v>1818</v>
      </c>
      <c r="D1394">
        <v>1</v>
      </c>
      <c r="E1394" t="s">
        <v>974</v>
      </c>
      <c r="F1394" t="s">
        <v>975</v>
      </c>
      <c r="G1394" t="s">
        <v>976</v>
      </c>
      <c r="H1394" s="1" t="s">
        <v>976</v>
      </c>
      <c r="I1394" s="1">
        <v>33.9</v>
      </c>
      <c r="J1394" s="20">
        <v>0</v>
      </c>
      <c r="K1394" s="1">
        <v>0</v>
      </c>
      <c r="L1394" s="1">
        <v>0</v>
      </c>
      <c r="M1394" s="42" t="s">
        <v>2941</v>
      </c>
      <c r="Q1394" t="s">
        <v>601</v>
      </c>
    </row>
    <row r="1395" spans="1:17" ht="15" customHeight="1" x14ac:dyDescent="0.25">
      <c r="A1395" s="3" t="s">
        <v>1819</v>
      </c>
      <c r="B1395" s="4" t="s">
        <v>389</v>
      </c>
      <c r="C1395" t="s">
        <v>976</v>
      </c>
      <c r="D1395">
        <v>1</v>
      </c>
      <c r="E1395" t="s">
        <v>974</v>
      </c>
      <c r="F1395" t="s">
        <v>975</v>
      </c>
      <c r="G1395" t="s">
        <v>976</v>
      </c>
      <c r="H1395" s="1" t="s">
        <v>976</v>
      </c>
      <c r="I1395" s="1">
        <v>350</v>
      </c>
      <c r="J1395" s="20">
        <v>-1</v>
      </c>
      <c r="K1395" s="1">
        <v>0</v>
      </c>
      <c r="L1395" s="1">
        <v>0</v>
      </c>
      <c r="M1395" s="42" t="s">
        <v>2942</v>
      </c>
      <c r="Q1395" t="s">
        <v>389</v>
      </c>
    </row>
    <row r="1396" spans="1:17" ht="15" customHeight="1" x14ac:dyDescent="0.25">
      <c r="A1396" s="3" t="s">
        <v>2183</v>
      </c>
      <c r="B1396" s="4" t="s">
        <v>532</v>
      </c>
      <c r="C1396" t="s">
        <v>973</v>
      </c>
      <c r="D1396">
        <v>1</v>
      </c>
      <c r="E1396" t="s">
        <v>974</v>
      </c>
      <c r="F1396" t="s">
        <v>975</v>
      </c>
      <c r="G1396" t="s">
        <v>1820</v>
      </c>
      <c r="H1396" s="1" t="s">
        <v>976</v>
      </c>
      <c r="I1396" s="1">
        <v>16.899999999999999</v>
      </c>
      <c r="J1396" s="20">
        <v>0</v>
      </c>
      <c r="K1396" s="1">
        <v>16.899999999999999</v>
      </c>
      <c r="L1396" s="1">
        <v>0</v>
      </c>
      <c r="M1396" s="42" t="s">
        <v>2943</v>
      </c>
      <c r="Q1396" t="s">
        <v>532</v>
      </c>
    </row>
    <row r="1397" spans="1:17" ht="15" customHeight="1" x14ac:dyDescent="0.25">
      <c r="A1397" s="41" t="s">
        <v>2183</v>
      </c>
      <c r="B1397" s="3" t="s">
        <v>532</v>
      </c>
      <c r="C1397" s="41" t="s">
        <v>973</v>
      </c>
      <c r="D1397">
        <v>4</v>
      </c>
      <c r="E1397" t="s">
        <v>1018</v>
      </c>
      <c r="F1397" t="s">
        <v>975</v>
      </c>
      <c r="G1397" t="s">
        <v>1820</v>
      </c>
      <c r="H1397" s="1" t="s">
        <v>976</v>
      </c>
      <c r="I1397" s="1">
        <v>16.899999999999999</v>
      </c>
      <c r="J1397" s="20">
        <v>40</v>
      </c>
      <c r="K1397" s="1">
        <v>16.899999999999999</v>
      </c>
      <c r="L1397" s="1">
        <v>676</v>
      </c>
      <c r="M1397" s="42" t="s">
        <v>2943</v>
      </c>
      <c r="Q1397" t="s">
        <v>532</v>
      </c>
    </row>
    <row r="1398" spans="1:17" ht="15" customHeight="1" x14ac:dyDescent="0.25">
      <c r="A1398" s="3" t="s">
        <v>1821</v>
      </c>
      <c r="B1398" s="4" t="s">
        <v>2945</v>
      </c>
      <c r="C1398" t="s">
        <v>973</v>
      </c>
      <c r="D1398">
        <v>1</v>
      </c>
      <c r="E1398" t="s">
        <v>974</v>
      </c>
      <c r="F1398" t="s">
        <v>975</v>
      </c>
      <c r="G1398" t="s">
        <v>976</v>
      </c>
      <c r="H1398" s="1" t="s">
        <v>976</v>
      </c>
      <c r="I1398" s="1">
        <v>17.45</v>
      </c>
      <c r="J1398" s="20">
        <v>100</v>
      </c>
      <c r="K1398" s="1">
        <v>17.45</v>
      </c>
      <c r="L1398" s="1">
        <v>1745</v>
      </c>
      <c r="M1398" s="42" t="s">
        <v>2944</v>
      </c>
      <c r="O1398" s="2" t="s">
        <v>2463</v>
      </c>
      <c r="Q1398" t="s">
        <v>925</v>
      </c>
    </row>
    <row r="1399" spans="1:17" ht="15" customHeight="1" x14ac:dyDescent="0.25">
      <c r="A1399" s="3" t="s">
        <v>2184</v>
      </c>
      <c r="B1399" s="4" t="s">
        <v>2947</v>
      </c>
      <c r="C1399" t="s">
        <v>973</v>
      </c>
      <c r="D1399">
        <v>1</v>
      </c>
      <c r="E1399" t="s">
        <v>974</v>
      </c>
      <c r="F1399" t="s">
        <v>975</v>
      </c>
      <c r="G1399" t="s">
        <v>1820</v>
      </c>
      <c r="H1399" s="1" t="s">
        <v>976</v>
      </c>
      <c r="I1399" s="1">
        <v>15.49</v>
      </c>
      <c r="J1399" s="20">
        <v>50</v>
      </c>
      <c r="K1399" s="1">
        <v>15.49</v>
      </c>
      <c r="L1399" s="1">
        <v>774.5</v>
      </c>
      <c r="M1399" s="42" t="s">
        <v>2946</v>
      </c>
      <c r="O1399" s="2" t="s">
        <v>2437</v>
      </c>
      <c r="Q1399" t="s">
        <v>926</v>
      </c>
    </row>
    <row r="1400" spans="1:17" ht="15" customHeight="1" x14ac:dyDescent="0.25">
      <c r="A1400" s="3" t="s">
        <v>2185</v>
      </c>
      <c r="B1400" s="4" t="s">
        <v>2949</v>
      </c>
      <c r="C1400" t="s">
        <v>973</v>
      </c>
      <c r="D1400">
        <v>1</v>
      </c>
      <c r="E1400" t="s">
        <v>974</v>
      </c>
      <c r="F1400" t="s">
        <v>975</v>
      </c>
      <c r="G1400" t="s">
        <v>1820</v>
      </c>
      <c r="H1400" s="1" t="s">
        <v>976</v>
      </c>
      <c r="I1400" s="1">
        <v>15.8</v>
      </c>
      <c r="J1400" s="20">
        <v>50</v>
      </c>
      <c r="K1400" s="1">
        <v>15.8</v>
      </c>
      <c r="L1400" s="1">
        <v>790</v>
      </c>
      <c r="M1400" s="42" t="s">
        <v>2948</v>
      </c>
      <c r="O1400" s="2" t="s">
        <v>2482</v>
      </c>
      <c r="Q1400" t="s">
        <v>927</v>
      </c>
    </row>
    <row r="1401" spans="1:17" ht="15" customHeight="1" x14ac:dyDescent="0.25">
      <c r="A1401" s="3" t="s">
        <v>1822</v>
      </c>
      <c r="B1401" s="4" t="s">
        <v>2951</v>
      </c>
      <c r="C1401" t="s">
        <v>973</v>
      </c>
      <c r="D1401">
        <v>1</v>
      </c>
      <c r="E1401" t="s">
        <v>974</v>
      </c>
      <c r="F1401" t="s">
        <v>975</v>
      </c>
      <c r="G1401" t="s">
        <v>1820</v>
      </c>
      <c r="H1401" s="1" t="s">
        <v>976</v>
      </c>
      <c r="I1401" s="1">
        <v>18.420000000000002</v>
      </c>
      <c r="J1401" s="20">
        <v>55</v>
      </c>
      <c r="K1401" s="1">
        <v>18.420000000000002</v>
      </c>
      <c r="L1401" s="1">
        <v>1013.1</v>
      </c>
      <c r="M1401" s="42" t="s">
        <v>2950</v>
      </c>
      <c r="O1401" s="2" t="s">
        <v>2447</v>
      </c>
      <c r="Q1401" t="s">
        <v>928</v>
      </c>
    </row>
    <row r="1402" spans="1:17" ht="15" customHeight="1" x14ac:dyDescent="0.25">
      <c r="A1402" s="3" t="s">
        <v>1823</v>
      </c>
      <c r="B1402" s="4" t="s">
        <v>390</v>
      </c>
      <c r="C1402" t="s">
        <v>973</v>
      </c>
      <c r="D1402">
        <v>1</v>
      </c>
      <c r="E1402" t="s">
        <v>974</v>
      </c>
      <c r="F1402" t="s">
        <v>975</v>
      </c>
      <c r="G1402" t="s">
        <v>1820</v>
      </c>
      <c r="H1402" s="1" t="s">
        <v>976</v>
      </c>
      <c r="I1402" s="1">
        <v>18.420000000000002</v>
      </c>
      <c r="J1402" s="20">
        <v>0</v>
      </c>
      <c r="K1402" s="1">
        <v>18.419975999999998</v>
      </c>
      <c r="L1402" s="1">
        <v>0</v>
      </c>
      <c r="M1402" s="42" t="s">
        <v>2952</v>
      </c>
      <c r="Q1402" t="s">
        <v>390</v>
      </c>
    </row>
    <row r="1403" spans="1:17" ht="15" customHeight="1" x14ac:dyDescent="0.25">
      <c r="A1403" s="3" t="s">
        <v>2186</v>
      </c>
      <c r="B1403" s="4" t="s">
        <v>2954</v>
      </c>
      <c r="C1403" t="s">
        <v>973</v>
      </c>
      <c r="D1403">
        <v>1</v>
      </c>
      <c r="E1403" t="s">
        <v>974</v>
      </c>
      <c r="F1403" t="s">
        <v>975</v>
      </c>
      <c r="G1403" t="s">
        <v>1820</v>
      </c>
      <c r="H1403" s="1" t="s">
        <v>976</v>
      </c>
      <c r="I1403" s="1">
        <v>17.45</v>
      </c>
      <c r="J1403" s="20">
        <v>50</v>
      </c>
      <c r="K1403" s="1">
        <v>17.45</v>
      </c>
      <c r="L1403" s="1">
        <v>872.5</v>
      </c>
      <c r="M1403" s="42" t="s">
        <v>2953</v>
      </c>
      <c r="O1403" s="2" t="s">
        <v>2472</v>
      </c>
      <c r="Q1403" t="s">
        <v>533</v>
      </c>
    </row>
    <row r="1404" spans="1:17" ht="15" customHeight="1" x14ac:dyDescent="0.25">
      <c r="A1404" s="3" t="s">
        <v>2187</v>
      </c>
      <c r="B1404" s="4" t="s">
        <v>534</v>
      </c>
      <c r="C1404" t="s">
        <v>973</v>
      </c>
      <c r="D1404">
        <v>1</v>
      </c>
      <c r="E1404" t="s">
        <v>974</v>
      </c>
      <c r="F1404" t="s">
        <v>975</v>
      </c>
      <c r="G1404" t="s">
        <v>1820</v>
      </c>
      <c r="H1404" s="1" t="s">
        <v>976</v>
      </c>
      <c r="I1404" s="1">
        <v>11.9</v>
      </c>
      <c r="J1404" s="20">
        <v>8.1999999999999993</v>
      </c>
      <c r="K1404" s="1">
        <v>11.9</v>
      </c>
      <c r="L1404" s="1">
        <v>97.58</v>
      </c>
      <c r="M1404" s="42" t="s">
        <v>2955</v>
      </c>
      <c r="Q1404" t="s">
        <v>534</v>
      </c>
    </row>
    <row r="1405" spans="1:17" ht="15" customHeight="1" x14ac:dyDescent="0.25">
      <c r="A1405" s="3" t="s">
        <v>1824</v>
      </c>
      <c r="B1405" s="4" t="s">
        <v>391</v>
      </c>
      <c r="C1405" t="s">
        <v>1383</v>
      </c>
      <c r="D1405">
        <v>1</v>
      </c>
      <c r="E1405" t="s">
        <v>974</v>
      </c>
      <c r="F1405" t="s">
        <v>975</v>
      </c>
      <c r="G1405" t="s">
        <v>180</v>
      </c>
      <c r="H1405" s="1" t="s">
        <v>976</v>
      </c>
      <c r="I1405" s="1">
        <v>870</v>
      </c>
      <c r="J1405" s="20">
        <v>2</v>
      </c>
      <c r="K1405" s="1">
        <v>229</v>
      </c>
      <c r="L1405" s="1">
        <v>458</v>
      </c>
      <c r="M1405" s="42" t="s">
        <v>2956</v>
      </c>
      <c r="P1405">
        <v>35</v>
      </c>
      <c r="Q1405" t="s">
        <v>391</v>
      </c>
    </row>
    <row r="1406" spans="1:17" ht="15" customHeight="1" x14ac:dyDescent="0.25">
      <c r="A1406" s="3" t="s">
        <v>1825</v>
      </c>
      <c r="B1406" s="4" t="s">
        <v>392</v>
      </c>
      <c r="C1406" t="s">
        <v>1383</v>
      </c>
      <c r="D1406">
        <v>1</v>
      </c>
      <c r="E1406" t="s">
        <v>974</v>
      </c>
      <c r="F1406" t="s">
        <v>975</v>
      </c>
      <c r="G1406" t="s">
        <v>180</v>
      </c>
      <c r="H1406" s="1" t="s">
        <v>976</v>
      </c>
      <c r="I1406" s="1">
        <v>870</v>
      </c>
      <c r="J1406" s="20">
        <v>3</v>
      </c>
      <c r="K1406" s="1">
        <v>242.33333300000001</v>
      </c>
      <c r="L1406" s="1">
        <v>727</v>
      </c>
      <c r="M1406" s="42" t="s">
        <v>2956</v>
      </c>
      <c r="P1406">
        <v>36</v>
      </c>
      <c r="Q1406" t="s">
        <v>392</v>
      </c>
    </row>
    <row r="1407" spans="1:17" ht="15" customHeight="1" x14ac:dyDescent="0.25">
      <c r="A1407" s="3" t="s">
        <v>1826</v>
      </c>
      <c r="B1407" s="4" t="s">
        <v>393</v>
      </c>
      <c r="C1407" t="s">
        <v>1383</v>
      </c>
      <c r="D1407">
        <v>1</v>
      </c>
      <c r="E1407" t="s">
        <v>974</v>
      </c>
      <c r="F1407" t="s">
        <v>975</v>
      </c>
      <c r="G1407" t="s">
        <v>180</v>
      </c>
      <c r="H1407" s="1" t="s">
        <v>976</v>
      </c>
      <c r="I1407" s="1">
        <v>870</v>
      </c>
      <c r="J1407" s="20">
        <v>2</v>
      </c>
      <c r="K1407" s="1">
        <v>229</v>
      </c>
      <c r="L1407" s="1">
        <v>458</v>
      </c>
      <c r="M1407" s="42" t="s">
        <v>2956</v>
      </c>
      <c r="P1407">
        <v>37</v>
      </c>
      <c r="Q1407" t="s">
        <v>393</v>
      </c>
    </row>
    <row r="1408" spans="1:17" ht="15" customHeight="1" x14ac:dyDescent="0.25">
      <c r="A1408" s="3" t="s">
        <v>1827</v>
      </c>
      <c r="B1408" s="4" t="s">
        <v>394</v>
      </c>
      <c r="C1408" t="s">
        <v>1383</v>
      </c>
      <c r="D1408">
        <v>1</v>
      </c>
      <c r="E1408" t="s">
        <v>974</v>
      </c>
      <c r="F1408" t="s">
        <v>975</v>
      </c>
      <c r="G1408" t="s">
        <v>180</v>
      </c>
      <c r="H1408" s="1" t="s">
        <v>976</v>
      </c>
      <c r="I1408" s="1">
        <v>870</v>
      </c>
      <c r="J1408" s="20">
        <v>2</v>
      </c>
      <c r="K1408" s="1">
        <v>429.33333299999998</v>
      </c>
      <c r="L1408" s="1">
        <v>858.67</v>
      </c>
      <c r="M1408" s="42" t="s">
        <v>2956</v>
      </c>
      <c r="P1408">
        <v>38</v>
      </c>
      <c r="Q1408" t="s">
        <v>394</v>
      </c>
    </row>
    <row r="1409" spans="1:17" ht="15" customHeight="1" x14ac:dyDescent="0.25">
      <c r="A1409" s="41" t="s">
        <v>1827</v>
      </c>
      <c r="B1409" s="3" t="s">
        <v>394</v>
      </c>
      <c r="C1409" s="41" t="s">
        <v>1383</v>
      </c>
      <c r="D1409">
        <v>4</v>
      </c>
      <c r="E1409" t="s">
        <v>1018</v>
      </c>
      <c r="F1409" t="s">
        <v>975</v>
      </c>
      <c r="G1409" t="s">
        <v>180</v>
      </c>
      <c r="H1409" s="1" t="s">
        <v>976</v>
      </c>
      <c r="I1409" s="1">
        <v>870</v>
      </c>
      <c r="J1409" s="20">
        <v>0</v>
      </c>
      <c r="K1409" s="1">
        <v>830</v>
      </c>
      <c r="L1409" s="1">
        <v>0</v>
      </c>
      <c r="M1409" s="42" t="s">
        <v>2956</v>
      </c>
      <c r="P1409">
        <v>38</v>
      </c>
      <c r="Q1409" t="s">
        <v>394</v>
      </c>
    </row>
    <row r="1410" spans="1:17" ht="15" customHeight="1" x14ac:dyDescent="0.25">
      <c r="A1410" s="3" t="s">
        <v>1828</v>
      </c>
      <c r="B1410" s="4" t="s">
        <v>395</v>
      </c>
      <c r="C1410" t="s">
        <v>1383</v>
      </c>
      <c r="D1410">
        <v>1</v>
      </c>
      <c r="E1410" t="s">
        <v>974</v>
      </c>
      <c r="F1410" t="s">
        <v>975</v>
      </c>
      <c r="G1410" t="s">
        <v>180</v>
      </c>
      <c r="H1410" s="1" t="s">
        <v>976</v>
      </c>
      <c r="I1410" s="1">
        <v>870</v>
      </c>
      <c r="J1410" s="20">
        <v>3</v>
      </c>
      <c r="K1410" s="1">
        <v>229</v>
      </c>
      <c r="L1410" s="1">
        <v>687</v>
      </c>
      <c r="M1410" s="42" t="s">
        <v>2956</v>
      </c>
      <c r="P1410">
        <v>39</v>
      </c>
      <c r="Q1410" t="s">
        <v>395</v>
      </c>
    </row>
    <row r="1411" spans="1:17" ht="15" customHeight="1" x14ac:dyDescent="0.25">
      <c r="A1411" s="3" t="s">
        <v>1829</v>
      </c>
      <c r="B1411" s="4" t="s">
        <v>396</v>
      </c>
      <c r="C1411" t="s">
        <v>1383</v>
      </c>
      <c r="D1411">
        <v>1</v>
      </c>
      <c r="E1411" t="s">
        <v>974</v>
      </c>
      <c r="F1411" t="s">
        <v>975</v>
      </c>
      <c r="G1411" t="s">
        <v>180</v>
      </c>
      <c r="H1411" s="1" t="s">
        <v>976</v>
      </c>
      <c r="I1411" s="1">
        <v>870</v>
      </c>
      <c r="J1411" s="20">
        <v>0</v>
      </c>
      <c r="K1411" s="1">
        <v>229</v>
      </c>
      <c r="L1411" s="1">
        <v>0</v>
      </c>
      <c r="M1411" s="42" t="s">
        <v>2956</v>
      </c>
      <c r="P1411">
        <v>40</v>
      </c>
      <c r="Q1411" t="s">
        <v>396</v>
      </c>
    </row>
    <row r="1412" spans="1:17" ht="15" customHeight="1" x14ac:dyDescent="0.25">
      <c r="A1412" s="3" t="s">
        <v>1830</v>
      </c>
      <c r="B1412" s="4" t="s">
        <v>397</v>
      </c>
      <c r="C1412" t="s">
        <v>1383</v>
      </c>
      <c r="D1412">
        <v>1</v>
      </c>
      <c r="E1412" t="s">
        <v>974</v>
      </c>
      <c r="F1412" t="s">
        <v>975</v>
      </c>
      <c r="G1412" t="s">
        <v>180</v>
      </c>
      <c r="H1412" s="1" t="s">
        <v>976</v>
      </c>
      <c r="I1412" s="1">
        <v>870</v>
      </c>
      <c r="J1412" s="20">
        <v>1</v>
      </c>
      <c r="K1412" s="1">
        <v>229</v>
      </c>
      <c r="L1412" s="1">
        <v>229</v>
      </c>
      <c r="M1412" s="42" t="s">
        <v>2956</v>
      </c>
      <c r="Q1412" t="s">
        <v>397</v>
      </c>
    </row>
    <row r="1413" spans="1:17" ht="15" customHeight="1" x14ac:dyDescent="0.25">
      <c r="A1413" s="3" t="s">
        <v>1831</v>
      </c>
      <c r="B1413" s="4" t="s">
        <v>398</v>
      </c>
      <c r="C1413" t="s">
        <v>1383</v>
      </c>
      <c r="D1413">
        <v>1</v>
      </c>
      <c r="E1413" t="s">
        <v>974</v>
      </c>
      <c r="F1413" t="s">
        <v>975</v>
      </c>
      <c r="G1413" t="s">
        <v>180</v>
      </c>
      <c r="H1413" s="1" t="s">
        <v>976</v>
      </c>
      <c r="I1413" s="1">
        <v>870</v>
      </c>
      <c r="J1413" s="20">
        <v>3</v>
      </c>
      <c r="K1413" s="1">
        <v>229</v>
      </c>
      <c r="L1413" s="1">
        <v>687</v>
      </c>
      <c r="M1413" s="42" t="s">
        <v>2956</v>
      </c>
      <c r="P1413">
        <v>42</v>
      </c>
      <c r="Q1413" t="s">
        <v>398</v>
      </c>
    </row>
    <row r="1414" spans="1:17" ht="15" customHeight="1" x14ac:dyDescent="0.25">
      <c r="A1414" s="3" t="s">
        <v>1832</v>
      </c>
      <c r="B1414" s="4" t="s">
        <v>399</v>
      </c>
      <c r="C1414" t="s">
        <v>1383</v>
      </c>
      <c r="D1414">
        <v>1</v>
      </c>
      <c r="E1414" t="s">
        <v>974</v>
      </c>
      <c r="F1414" t="s">
        <v>975</v>
      </c>
      <c r="G1414" t="s">
        <v>180</v>
      </c>
      <c r="H1414" s="1" t="s">
        <v>976</v>
      </c>
      <c r="I1414" s="1">
        <v>870</v>
      </c>
      <c r="J1414" s="20">
        <v>1</v>
      </c>
      <c r="K1414" s="1">
        <v>229</v>
      </c>
      <c r="L1414" s="1">
        <v>229</v>
      </c>
      <c r="M1414" s="42" t="s">
        <v>2956</v>
      </c>
      <c r="Q1414" t="s">
        <v>399</v>
      </c>
    </row>
    <row r="1415" spans="1:17" ht="15" customHeight="1" x14ac:dyDescent="0.25">
      <c r="A1415" s="3" t="s">
        <v>1833</v>
      </c>
      <c r="B1415" s="4" t="s">
        <v>400</v>
      </c>
      <c r="C1415" t="s">
        <v>1383</v>
      </c>
      <c r="D1415">
        <v>1</v>
      </c>
      <c r="E1415" t="s">
        <v>974</v>
      </c>
      <c r="F1415" t="s">
        <v>975</v>
      </c>
      <c r="G1415" t="s">
        <v>180</v>
      </c>
      <c r="H1415" s="1" t="s">
        <v>976</v>
      </c>
      <c r="I1415" s="1">
        <v>870</v>
      </c>
      <c r="J1415" s="20">
        <v>0</v>
      </c>
      <c r="K1415" s="1">
        <v>229</v>
      </c>
      <c r="L1415" s="1">
        <v>0</v>
      </c>
      <c r="M1415" s="42" t="s">
        <v>2956</v>
      </c>
      <c r="P1415">
        <v>44</v>
      </c>
      <c r="Q1415" t="s">
        <v>400</v>
      </c>
    </row>
    <row r="1416" spans="1:17" ht="15" customHeight="1" x14ac:dyDescent="0.25">
      <c r="A1416" s="3" t="s">
        <v>2429</v>
      </c>
      <c r="B1416" s="4" t="s">
        <v>602</v>
      </c>
      <c r="C1416" t="s">
        <v>1383</v>
      </c>
      <c r="D1416">
        <v>1</v>
      </c>
      <c r="E1416" t="s">
        <v>974</v>
      </c>
      <c r="F1416" t="s">
        <v>975</v>
      </c>
      <c r="G1416" t="s">
        <v>180</v>
      </c>
      <c r="H1416" s="1" t="s">
        <v>976</v>
      </c>
      <c r="I1416" s="1">
        <v>870</v>
      </c>
      <c r="J1416" s="20">
        <v>0</v>
      </c>
      <c r="K1416" s="1">
        <v>0</v>
      </c>
      <c r="L1416" s="1">
        <v>0</v>
      </c>
      <c r="M1416" s="42" t="s">
        <v>2956</v>
      </c>
      <c r="Q1416" t="s">
        <v>602</v>
      </c>
    </row>
    <row r="1417" spans="1:17" ht="15" customHeight="1" x14ac:dyDescent="0.25">
      <c r="A1417" s="41" t="s">
        <v>2429</v>
      </c>
      <c r="B1417" s="3" t="s">
        <v>602</v>
      </c>
      <c r="C1417" s="41" t="s">
        <v>1383</v>
      </c>
      <c r="D1417">
        <v>4</v>
      </c>
      <c r="E1417" t="s">
        <v>1018</v>
      </c>
      <c r="F1417" t="s">
        <v>975</v>
      </c>
      <c r="G1417" t="s">
        <v>180</v>
      </c>
      <c r="H1417" s="1" t="s">
        <v>976</v>
      </c>
      <c r="I1417" s="1">
        <v>870</v>
      </c>
      <c r="J1417" s="20">
        <v>0</v>
      </c>
      <c r="K1417" s="1">
        <v>0</v>
      </c>
      <c r="L1417" s="1">
        <v>0</v>
      </c>
      <c r="M1417" s="42" t="s">
        <v>2956</v>
      </c>
      <c r="Q1417" t="s">
        <v>602</v>
      </c>
    </row>
    <row r="1418" spans="1:17" ht="15" customHeight="1" x14ac:dyDescent="0.25">
      <c r="A1418" s="3" t="s">
        <v>1834</v>
      </c>
      <c r="B1418" s="4" t="s">
        <v>401</v>
      </c>
      <c r="C1418" t="s">
        <v>1315</v>
      </c>
      <c r="D1418">
        <v>1</v>
      </c>
      <c r="E1418" t="s">
        <v>974</v>
      </c>
      <c r="F1418" t="s">
        <v>975</v>
      </c>
      <c r="G1418" t="s">
        <v>976</v>
      </c>
      <c r="H1418" s="1" t="s">
        <v>976</v>
      </c>
      <c r="I1418" s="1">
        <v>1650</v>
      </c>
      <c r="J1418" s="20">
        <v>1</v>
      </c>
      <c r="K1418" s="1">
        <v>0</v>
      </c>
      <c r="L1418" s="1">
        <v>0</v>
      </c>
      <c r="M1418" s="42" t="s">
        <v>2957</v>
      </c>
      <c r="Q1418" t="s">
        <v>401</v>
      </c>
    </row>
    <row r="1419" spans="1:17" ht="15" customHeight="1" x14ac:dyDescent="0.25">
      <c r="A1419" s="3" t="s">
        <v>1835</v>
      </c>
      <c r="B1419" s="4" t="s">
        <v>2959</v>
      </c>
      <c r="C1419" t="s">
        <v>1836</v>
      </c>
      <c r="D1419">
        <v>1</v>
      </c>
      <c r="E1419" t="s">
        <v>974</v>
      </c>
      <c r="F1419" t="s">
        <v>975</v>
      </c>
      <c r="G1419" t="s">
        <v>976</v>
      </c>
      <c r="H1419" s="1" t="s">
        <v>976</v>
      </c>
      <c r="I1419" s="1">
        <v>570</v>
      </c>
      <c r="J1419" s="20">
        <v>2</v>
      </c>
      <c r="K1419" s="1">
        <v>85</v>
      </c>
      <c r="L1419" s="1">
        <v>170</v>
      </c>
      <c r="M1419" s="42" t="s">
        <v>2958</v>
      </c>
      <c r="O1419" s="2" t="s">
        <v>2443</v>
      </c>
      <c r="P1419" t="s">
        <v>24</v>
      </c>
      <c r="Q1419" t="s">
        <v>929</v>
      </c>
    </row>
    <row r="1420" spans="1:17" ht="15" customHeight="1" x14ac:dyDescent="0.25">
      <c r="A1420" s="3" t="s">
        <v>1837</v>
      </c>
      <c r="B1420" s="4" t="s">
        <v>2959</v>
      </c>
      <c r="C1420" t="s">
        <v>1836</v>
      </c>
      <c r="D1420">
        <v>1</v>
      </c>
      <c r="E1420" t="s">
        <v>974</v>
      </c>
      <c r="F1420" t="s">
        <v>975</v>
      </c>
      <c r="G1420" t="s">
        <v>976</v>
      </c>
      <c r="H1420" s="1" t="s">
        <v>976</v>
      </c>
      <c r="I1420" s="1">
        <v>570</v>
      </c>
      <c r="J1420" s="20">
        <v>1</v>
      </c>
      <c r="K1420" s="1">
        <v>85</v>
      </c>
      <c r="L1420" s="1">
        <v>85</v>
      </c>
      <c r="M1420" s="42" t="s">
        <v>2958</v>
      </c>
      <c r="O1420" s="2" t="s">
        <v>2443</v>
      </c>
      <c r="P1420" t="s">
        <v>23</v>
      </c>
      <c r="Q1420" t="s">
        <v>929</v>
      </c>
    </row>
    <row r="1421" spans="1:17" ht="15" customHeight="1" x14ac:dyDescent="0.25">
      <c r="A1421" s="3" t="s">
        <v>1838</v>
      </c>
      <c r="B1421" s="4" t="s">
        <v>2959</v>
      </c>
      <c r="C1421" t="s">
        <v>1836</v>
      </c>
      <c r="D1421">
        <v>1</v>
      </c>
      <c r="E1421" t="s">
        <v>974</v>
      </c>
      <c r="F1421" t="s">
        <v>975</v>
      </c>
      <c r="G1421" t="s">
        <v>976</v>
      </c>
      <c r="H1421" s="1" t="s">
        <v>976</v>
      </c>
      <c r="I1421" s="1">
        <v>570</v>
      </c>
      <c r="J1421" s="20">
        <v>0</v>
      </c>
      <c r="K1421" s="1">
        <v>85</v>
      </c>
      <c r="L1421" s="1">
        <v>0</v>
      </c>
      <c r="M1421" s="42" t="s">
        <v>2958</v>
      </c>
      <c r="O1421" s="2" t="s">
        <v>2443</v>
      </c>
      <c r="P1421" t="s">
        <v>22</v>
      </c>
      <c r="Q1421" t="s">
        <v>929</v>
      </c>
    </row>
    <row r="1422" spans="1:17" ht="15" customHeight="1" x14ac:dyDescent="0.25">
      <c r="A1422" s="3" t="s">
        <v>1839</v>
      </c>
      <c r="B1422" s="4" t="s">
        <v>2959</v>
      </c>
      <c r="C1422" t="s">
        <v>1836</v>
      </c>
      <c r="D1422">
        <v>1</v>
      </c>
      <c r="E1422" t="s">
        <v>974</v>
      </c>
      <c r="F1422" t="s">
        <v>975</v>
      </c>
      <c r="G1422" t="s">
        <v>976</v>
      </c>
      <c r="H1422" s="1" t="s">
        <v>976</v>
      </c>
      <c r="I1422" s="1">
        <v>570</v>
      </c>
      <c r="J1422" s="20">
        <v>0</v>
      </c>
      <c r="K1422" s="1">
        <v>85</v>
      </c>
      <c r="L1422" s="1">
        <v>0</v>
      </c>
      <c r="M1422" s="42" t="s">
        <v>2958</v>
      </c>
      <c r="O1422" s="2" t="s">
        <v>2443</v>
      </c>
      <c r="P1422" t="s">
        <v>21</v>
      </c>
      <c r="Q1422" t="s">
        <v>929</v>
      </c>
    </row>
    <row r="1423" spans="1:17" ht="15" customHeight="1" x14ac:dyDescent="0.25">
      <c r="A1423" s="3" t="s">
        <v>1840</v>
      </c>
      <c r="B1423" s="4" t="s">
        <v>402</v>
      </c>
      <c r="C1423" t="s">
        <v>1836</v>
      </c>
      <c r="D1423">
        <v>1</v>
      </c>
      <c r="E1423" t="s">
        <v>974</v>
      </c>
      <c r="F1423" t="s">
        <v>975</v>
      </c>
      <c r="G1423" t="s">
        <v>976</v>
      </c>
      <c r="H1423" s="1" t="s">
        <v>976</v>
      </c>
      <c r="I1423" s="1">
        <v>570</v>
      </c>
      <c r="J1423" s="20">
        <v>3</v>
      </c>
      <c r="K1423" s="1">
        <v>99.93</v>
      </c>
      <c r="L1423" s="1">
        <v>299.79000000000002</v>
      </c>
      <c r="M1423" s="42" t="s">
        <v>2958</v>
      </c>
      <c r="P1423" t="s">
        <v>24</v>
      </c>
      <c r="Q1423" t="s">
        <v>402</v>
      </c>
    </row>
    <row r="1424" spans="1:17" ht="15" customHeight="1" x14ac:dyDescent="0.25">
      <c r="A1424" s="3" t="s">
        <v>1841</v>
      </c>
      <c r="B1424" s="4" t="s">
        <v>403</v>
      </c>
      <c r="C1424" t="s">
        <v>1836</v>
      </c>
      <c r="D1424">
        <v>1</v>
      </c>
      <c r="E1424" t="s">
        <v>974</v>
      </c>
      <c r="F1424" t="s">
        <v>975</v>
      </c>
      <c r="G1424" t="s">
        <v>976</v>
      </c>
      <c r="H1424" s="1" t="s">
        <v>976</v>
      </c>
      <c r="I1424" s="1">
        <v>570</v>
      </c>
      <c r="J1424" s="20">
        <v>0</v>
      </c>
      <c r="K1424" s="1">
        <v>99.93</v>
      </c>
      <c r="L1424" s="1">
        <v>0</v>
      </c>
      <c r="M1424" s="42" t="s">
        <v>2958</v>
      </c>
      <c r="P1424" t="s">
        <v>23</v>
      </c>
      <c r="Q1424" t="s">
        <v>403</v>
      </c>
    </row>
    <row r="1425" spans="1:17" ht="15" customHeight="1" x14ac:dyDescent="0.25">
      <c r="A1425" s="3" t="s">
        <v>1842</v>
      </c>
      <c r="B1425" s="4" t="s">
        <v>404</v>
      </c>
      <c r="C1425" t="s">
        <v>1836</v>
      </c>
      <c r="D1425">
        <v>1</v>
      </c>
      <c r="E1425" t="s">
        <v>974</v>
      </c>
      <c r="F1425" t="s">
        <v>975</v>
      </c>
      <c r="G1425" t="s">
        <v>976</v>
      </c>
      <c r="H1425" s="1" t="s">
        <v>976</v>
      </c>
      <c r="I1425" s="1">
        <v>570</v>
      </c>
      <c r="J1425" s="20">
        <v>3</v>
      </c>
      <c r="K1425" s="1">
        <v>99.93</v>
      </c>
      <c r="L1425" s="1">
        <v>299.79000000000002</v>
      </c>
      <c r="M1425" s="42" t="s">
        <v>2958</v>
      </c>
      <c r="P1425" t="s">
        <v>22</v>
      </c>
      <c r="Q1425" t="s">
        <v>404</v>
      </c>
    </row>
    <row r="1426" spans="1:17" ht="15" customHeight="1" x14ac:dyDescent="0.25">
      <c r="A1426" s="3" t="s">
        <v>1843</v>
      </c>
      <c r="B1426" s="4" t="s">
        <v>405</v>
      </c>
      <c r="C1426" t="s">
        <v>1836</v>
      </c>
      <c r="D1426">
        <v>1</v>
      </c>
      <c r="E1426" t="s">
        <v>974</v>
      </c>
      <c r="F1426" t="s">
        <v>975</v>
      </c>
      <c r="G1426" t="s">
        <v>976</v>
      </c>
      <c r="H1426" s="1" t="s">
        <v>976</v>
      </c>
      <c r="I1426" s="1">
        <v>570</v>
      </c>
      <c r="J1426" s="20">
        <v>0</v>
      </c>
      <c r="K1426" s="1">
        <v>99.93</v>
      </c>
      <c r="L1426" s="1">
        <v>0</v>
      </c>
      <c r="M1426" s="42" t="s">
        <v>2958</v>
      </c>
      <c r="P1426" t="s">
        <v>21</v>
      </c>
      <c r="Q1426" t="s">
        <v>405</v>
      </c>
    </row>
    <row r="1427" spans="1:17" ht="15" customHeight="1" x14ac:dyDescent="0.25">
      <c r="A1427" s="3" t="s">
        <v>1844</v>
      </c>
      <c r="B1427" s="4" t="s">
        <v>930</v>
      </c>
      <c r="C1427" t="s">
        <v>1836</v>
      </c>
      <c r="D1427">
        <v>4</v>
      </c>
      <c r="E1427" t="s">
        <v>1018</v>
      </c>
      <c r="F1427" t="s">
        <v>975</v>
      </c>
      <c r="G1427" t="s">
        <v>976</v>
      </c>
      <c r="H1427" s="1" t="s">
        <v>976</v>
      </c>
      <c r="I1427" s="1">
        <v>1400</v>
      </c>
      <c r="J1427" s="20">
        <v>0</v>
      </c>
      <c r="K1427" s="1">
        <v>0</v>
      </c>
      <c r="L1427" s="1">
        <v>0</v>
      </c>
      <c r="M1427" s="42" t="s">
        <v>2958</v>
      </c>
      <c r="N1427" s="1" t="s">
        <v>2616</v>
      </c>
      <c r="Q1427" t="s">
        <v>930</v>
      </c>
    </row>
    <row r="1428" spans="1:17" ht="15" customHeight="1" x14ac:dyDescent="0.25">
      <c r="A1428" s="3" t="s">
        <v>1845</v>
      </c>
      <c r="B1428" s="4" t="s">
        <v>406</v>
      </c>
      <c r="C1428" t="s">
        <v>1836</v>
      </c>
      <c r="D1428">
        <v>1</v>
      </c>
      <c r="E1428" t="s">
        <v>974</v>
      </c>
      <c r="F1428" t="s">
        <v>975</v>
      </c>
      <c r="G1428" t="s">
        <v>976</v>
      </c>
      <c r="H1428" s="1" t="s">
        <v>976</v>
      </c>
      <c r="I1428" s="1">
        <v>1400</v>
      </c>
      <c r="J1428" s="20">
        <v>1</v>
      </c>
      <c r="K1428" s="1">
        <v>0</v>
      </c>
      <c r="L1428" s="1">
        <v>0</v>
      </c>
      <c r="M1428" s="42" t="s">
        <v>2958</v>
      </c>
      <c r="P1428" t="s">
        <v>24</v>
      </c>
      <c r="Q1428" t="s">
        <v>406</v>
      </c>
    </row>
    <row r="1429" spans="1:17" ht="15" customHeight="1" x14ac:dyDescent="0.25">
      <c r="A1429" s="3" t="s">
        <v>1846</v>
      </c>
      <c r="B1429" s="4" t="s">
        <v>407</v>
      </c>
      <c r="C1429" t="s">
        <v>1836</v>
      </c>
      <c r="D1429">
        <v>1</v>
      </c>
      <c r="E1429" t="s">
        <v>974</v>
      </c>
      <c r="F1429" t="s">
        <v>975</v>
      </c>
      <c r="G1429" t="s">
        <v>976</v>
      </c>
      <c r="H1429" s="1" t="s">
        <v>976</v>
      </c>
      <c r="I1429" s="1">
        <v>1400</v>
      </c>
      <c r="J1429" s="20">
        <v>5</v>
      </c>
      <c r="K1429" s="1">
        <v>249</v>
      </c>
      <c r="L1429" s="1">
        <v>1245</v>
      </c>
      <c r="M1429" s="42" t="s">
        <v>2958</v>
      </c>
      <c r="P1429" t="s">
        <v>23</v>
      </c>
      <c r="Q1429" t="s">
        <v>407</v>
      </c>
    </row>
    <row r="1430" spans="1:17" ht="15" customHeight="1" x14ac:dyDescent="0.25">
      <c r="A1430" s="3" t="s">
        <v>1847</v>
      </c>
      <c r="B1430" s="4" t="s">
        <v>408</v>
      </c>
      <c r="C1430" t="s">
        <v>1836</v>
      </c>
      <c r="D1430">
        <v>1</v>
      </c>
      <c r="E1430" t="s">
        <v>974</v>
      </c>
      <c r="F1430" t="s">
        <v>975</v>
      </c>
      <c r="G1430" t="s">
        <v>976</v>
      </c>
      <c r="H1430" s="1" t="s">
        <v>976</v>
      </c>
      <c r="I1430" s="1">
        <v>1400</v>
      </c>
      <c r="J1430" s="20">
        <v>8</v>
      </c>
      <c r="K1430" s="1">
        <v>249</v>
      </c>
      <c r="L1430" s="1">
        <v>1992</v>
      </c>
      <c r="M1430" s="42" t="s">
        <v>2958</v>
      </c>
      <c r="P1430" t="s">
        <v>22</v>
      </c>
      <c r="Q1430" t="s">
        <v>408</v>
      </c>
    </row>
    <row r="1431" spans="1:17" ht="15" customHeight="1" x14ac:dyDescent="0.25">
      <c r="A1431" s="3" t="s">
        <v>1848</v>
      </c>
      <c r="B1431" s="4" t="s">
        <v>409</v>
      </c>
      <c r="C1431" t="s">
        <v>1836</v>
      </c>
      <c r="D1431">
        <v>1</v>
      </c>
      <c r="E1431" t="s">
        <v>974</v>
      </c>
      <c r="F1431" t="s">
        <v>975</v>
      </c>
      <c r="G1431" t="s">
        <v>976</v>
      </c>
      <c r="H1431" s="1" t="s">
        <v>976</v>
      </c>
      <c r="I1431" s="1">
        <v>1400</v>
      </c>
      <c r="J1431" s="20">
        <v>3</v>
      </c>
      <c r="K1431" s="1">
        <v>249</v>
      </c>
      <c r="L1431" s="1">
        <v>747</v>
      </c>
      <c r="M1431" s="42" t="s">
        <v>2958</v>
      </c>
      <c r="P1431" t="s">
        <v>21</v>
      </c>
      <c r="Q1431" t="s">
        <v>409</v>
      </c>
    </row>
    <row r="1432" spans="1:17" ht="15" customHeight="1" x14ac:dyDescent="0.25">
      <c r="A1432" s="3" t="s">
        <v>1849</v>
      </c>
      <c r="B1432" s="4" t="s">
        <v>2960</v>
      </c>
      <c r="C1432" t="s">
        <v>1836</v>
      </c>
      <c r="D1432">
        <v>1</v>
      </c>
      <c r="E1432" t="s">
        <v>974</v>
      </c>
      <c r="F1432" t="s">
        <v>975</v>
      </c>
      <c r="G1432" t="s">
        <v>976</v>
      </c>
      <c r="H1432" s="1" t="s">
        <v>976</v>
      </c>
      <c r="I1432" s="1">
        <v>1400</v>
      </c>
      <c r="J1432" s="20">
        <v>0</v>
      </c>
      <c r="K1432" s="1">
        <v>0</v>
      </c>
      <c r="L1432" s="1">
        <v>0</v>
      </c>
      <c r="M1432" s="42" t="s">
        <v>2958</v>
      </c>
      <c r="O1432" s="2" t="s">
        <v>2472</v>
      </c>
      <c r="P1432" t="s">
        <v>24</v>
      </c>
      <c r="Q1432" t="s">
        <v>931</v>
      </c>
    </row>
    <row r="1433" spans="1:17" ht="15" customHeight="1" x14ac:dyDescent="0.25">
      <c r="A1433" s="3" t="s">
        <v>1850</v>
      </c>
      <c r="B1433" s="4" t="s">
        <v>2960</v>
      </c>
      <c r="C1433" t="s">
        <v>1836</v>
      </c>
      <c r="D1433">
        <v>1</v>
      </c>
      <c r="E1433" t="s">
        <v>974</v>
      </c>
      <c r="F1433" t="s">
        <v>975</v>
      </c>
      <c r="G1433" t="s">
        <v>976</v>
      </c>
      <c r="H1433" s="1" t="s">
        <v>976</v>
      </c>
      <c r="I1433" s="1">
        <v>1400</v>
      </c>
      <c r="J1433" s="20">
        <v>4</v>
      </c>
      <c r="K1433" s="1">
        <v>251</v>
      </c>
      <c r="L1433" s="1">
        <v>1004</v>
      </c>
      <c r="M1433" s="42" t="s">
        <v>2958</v>
      </c>
      <c r="O1433" s="2" t="s">
        <v>2472</v>
      </c>
      <c r="P1433" t="s">
        <v>23</v>
      </c>
      <c r="Q1433" t="s">
        <v>931</v>
      </c>
    </row>
    <row r="1434" spans="1:17" ht="15" customHeight="1" x14ac:dyDescent="0.25">
      <c r="A1434" s="41" t="s">
        <v>1850</v>
      </c>
      <c r="B1434" s="3" t="s">
        <v>2960</v>
      </c>
      <c r="C1434" s="41" t="s">
        <v>1836</v>
      </c>
      <c r="D1434">
        <v>2</v>
      </c>
      <c r="E1434" t="s">
        <v>1017</v>
      </c>
      <c r="F1434" t="s">
        <v>975</v>
      </c>
      <c r="G1434" t="s">
        <v>976</v>
      </c>
      <c r="H1434" s="1" t="s">
        <v>976</v>
      </c>
      <c r="I1434" s="1">
        <v>1400</v>
      </c>
      <c r="J1434" s="20">
        <v>0</v>
      </c>
      <c r="K1434" s="1">
        <v>0</v>
      </c>
      <c r="L1434" s="1">
        <v>0</v>
      </c>
      <c r="M1434" s="42" t="s">
        <v>2958</v>
      </c>
      <c r="O1434" s="2" t="s">
        <v>2472</v>
      </c>
      <c r="P1434" t="s">
        <v>23</v>
      </c>
      <c r="Q1434" t="s">
        <v>931</v>
      </c>
    </row>
    <row r="1435" spans="1:17" ht="15" customHeight="1" x14ac:dyDescent="0.25">
      <c r="A1435" s="3" t="s">
        <v>1851</v>
      </c>
      <c r="B1435" s="4" t="s">
        <v>2960</v>
      </c>
      <c r="C1435" t="s">
        <v>1836</v>
      </c>
      <c r="D1435">
        <v>1</v>
      </c>
      <c r="E1435" t="s">
        <v>974</v>
      </c>
      <c r="F1435" t="s">
        <v>975</v>
      </c>
      <c r="G1435" t="s">
        <v>976</v>
      </c>
      <c r="H1435" s="1" t="s">
        <v>976</v>
      </c>
      <c r="I1435" s="1">
        <v>1400</v>
      </c>
      <c r="J1435" s="20">
        <v>6</v>
      </c>
      <c r="K1435" s="1">
        <v>251</v>
      </c>
      <c r="L1435" s="1">
        <v>1506</v>
      </c>
      <c r="M1435" s="42" t="s">
        <v>2958</v>
      </c>
      <c r="O1435" s="2" t="s">
        <v>2472</v>
      </c>
      <c r="P1435" t="s">
        <v>22</v>
      </c>
      <c r="Q1435" t="s">
        <v>931</v>
      </c>
    </row>
    <row r="1436" spans="1:17" ht="15" customHeight="1" x14ac:dyDescent="0.25">
      <c r="A1436" s="3" t="s">
        <v>1852</v>
      </c>
      <c r="B1436" s="4" t="s">
        <v>2960</v>
      </c>
      <c r="C1436" t="s">
        <v>1836</v>
      </c>
      <c r="D1436">
        <v>1</v>
      </c>
      <c r="E1436" t="s">
        <v>974</v>
      </c>
      <c r="F1436" t="s">
        <v>975</v>
      </c>
      <c r="G1436" t="s">
        <v>976</v>
      </c>
      <c r="H1436" s="1" t="s">
        <v>976</v>
      </c>
      <c r="I1436" s="1">
        <v>1400</v>
      </c>
      <c r="J1436" s="20">
        <v>2</v>
      </c>
      <c r="K1436" s="1">
        <v>251</v>
      </c>
      <c r="L1436" s="1">
        <v>502</v>
      </c>
      <c r="M1436" s="42" t="s">
        <v>2958</v>
      </c>
      <c r="O1436" s="2" t="s">
        <v>2472</v>
      </c>
      <c r="P1436" t="s">
        <v>21</v>
      </c>
      <c r="Q1436" t="s">
        <v>931</v>
      </c>
    </row>
    <row r="1437" spans="1:17" ht="15" customHeight="1" x14ac:dyDescent="0.25">
      <c r="A1437" s="3" t="s">
        <v>1853</v>
      </c>
      <c r="B1437" s="4" t="s">
        <v>932</v>
      </c>
      <c r="C1437" t="s">
        <v>1241</v>
      </c>
      <c r="D1437">
        <v>1</v>
      </c>
      <c r="E1437" t="s">
        <v>974</v>
      </c>
      <c r="F1437" t="s">
        <v>975</v>
      </c>
      <c r="G1437" t="s">
        <v>976</v>
      </c>
      <c r="H1437" s="1" t="s">
        <v>976</v>
      </c>
      <c r="I1437" s="1">
        <v>1400</v>
      </c>
      <c r="J1437" s="20">
        <v>0</v>
      </c>
      <c r="K1437" s="1">
        <v>0</v>
      </c>
      <c r="L1437" s="1">
        <v>0</v>
      </c>
      <c r="M1437" s="42" t="s">
        <v>2958</v>
      </c>
      <c r="N1437" s="1" t="s">
        <v>2616</v>
      </c>
      <c r="Q1437" t="s">
        <v>932</v>
      </c>
    </row>
    <row r="1438" spans="1:17" ht="15" customHeight="1" x14ac:dyDescent="0.25">
      <c r="A1438" s="3" t="s">
        <v>1854</v>
      </c>
      <c r="B1438" s="4" t="s">
        <v>1836</v>
      </c>
      <c r="C1438" t="s">
        <v>1855</v>
      </c>
      <c r="D1438">
        <v>4</v>
      </c>
      <c r="E1438" t="s">
        <v>1018</v>
      </c>
      <c r="F1438" t="s">
        <v>975</v>
      </c>
      <c r="G1438" t="s">
        <v>180</v>
      </c>
      <c r="H1438" s="1" t="s">
        <v>976</v>
      </c>
      <c r="I1438" s="1">
        <v>750</v>
      </c>
      <c r="J1438" s="20">
        <v>1</v>
      </c>
      <c r="K1438" s="1">
        <v>100</v>
      </c>
      <c r="L1438" s="1">
        <v>100</v>
      </c>
      <c r="M1438" s="42" t="s">
        <v>2958</v>
      </c>
      <c r="O1438" s="2" t="s">
        <v>2463</v>
      </c>
      <c r="Q1438" t="s">
        <v>933</v>
      </c>
    </row>
    <row r="1439" spans="1:17" ht="15" customHeight="1" x14ac:dyDescent="0.25">
      <c r="A1439" s="3" t="s">
        <v>1856</v>
      </c>
      <c r="B1439" s="4" t="s">
        <v>410</v>
      </c>
      <c r="C1439" t="s">
        <v>1383</v>
      </c>
      <c r="D1439">
        <v>1</v>
      </c>
      <c r="E1439" t="s">
        <v>974</v>
      </c>
      <c r="F1439" t="s">
        <v>975</v>
      </c>
      <c r="G1439" t="s">
        <v>976</v>
      </c>
      <c r="H1439" s="1" t="s">
        <v>976</v>
      </c>
      <c r="I1439" s="1">
        <v>870</v>
      </c>
      <c r="J1439" s="20">
        <v>1</v>
      </c>
      <c r="K1439" s="1">
        <v>239</v>
      </c>
      <c r="L1439" s="1">
        <v>239</v>
      </c>
      <c r="M1439" s="42" t="s">
        <v>2961</v>
      </c>
      <c r="P1439">
        <v>34</v>
      </c>
      <c r="Q1439" t="s">
        <v>410</v>
      </c>
    </row>
    <row r="1440" spans="1:17" ht="15" customHeight="1" x14ac:dyDescent="0.25">
      <c r="A1440" s="3" t="s">
        <v>1857</v>
      </c>
      <c r="B1440" s="4" t="s">
        <v>411</v>
      </c>
      <c r="C1440" t="s">
        <v>1383</v>
      </c>
      <c r="D1440">
        <v>1</v>
      </c>
      <c r="E1440" t="s">
        <v>974</v>
      </c>
      <c r="F1440" t="s">
        <v>975</v>
      </c>
      <c r="G1440" t="s">
        <v>976</v>
      </c>
      <c r="H1440" s="1" t="s">
        <v>976</v>
      </c>
      <c r="I1440" s="1">
        <v>870</v>
      </c>
      <c r="J1440" s="20">
        <v>0</v>
      </c>
      <c r="K1440" s="1">
        <v>239</v>
      </c>
      <c r="L1440" s="1">
        <v>0</v>
      </c>
      <c r="M1440" s="42" t="s">
        <v>2961</v>
      </c>
      <c r="P1440">
        <v>35</v>
      </c>
      <c r="Q1440" t="s">
        <v>411</v>
      </c>
    </row>
    <row r="1441" spans="1:17" ht="15" customHeight="1" x14ac:dyDescent="0.25">
      <c r="A1441" s="3" t="s">
        <v>1858</v>
      </c>
      <c r="B1441" s="4" t="s">
        <v>412</v>
      </c>
      <c r="C1441" t="s">
        <v>1383</v>
      </c>
      <c r="D1441">
        <v>1</v>
      </c>
      <c r="E1441" t="s">
        <v>974</v>
      </c>
      <c r="F1441" t="s">
        <v>975</v>
      </c>
      <c r="G1441" t="s">
        <v>976</v>
      </c>
      <c r="H1441" s="1" t="s">
        <v>976</v>
      </c>
      <c r="I1441" s="1">
        <v>870</v>
      </c>
      <c r="J1441" s="20">
        <v>1</v>
      </c>
      <c r="K1441" s="1">
        <v>239</v>
      </c>
      <c r="L1441" s="1">
        <v>239</v>
      </c>
      <c r="M1441" s="42" t="s">
        <v>2961</v>
      </c>
      <c r="P1441">
        <v>36</v>
      </c>
      <c r="Q1441" t="s">
        <v>412</v>
      </c>
    </row>
    <row r="1442" spans="1:17" ht="15" customHeight="1" x14ac:dyDescent="0.25">
      <c r="A1442" s="3" t="s">
        <v>1859</v>
      </c>
      <c r="B1442" s="4" t="s">
        <v>413</v>
      </c>
      <c r="C1442" t="s">
        <v>1383</v>
      </c>
      <c r="D1442">
        <v>1</v>
      </c>
      <c r="E1442" t="s">
        <v>974</v>
      </c>
      <c r="F1442" t="s">
        <v>975</v>
      </c>
      <c r="G1442" t="s">
        <v>976</v>
      </c>
      <c r="H1442" s="1" t="s">
        <v>976</v>
      </c>
      <c r="I1442" s="1">
        <v>870</v>
      </c>
      <c r="J1442" s="20">
        <v>3</v>
      </c>
      <c r="K1442" s="1">
        <v>239</v>
      </c>
      <c r="L1442" s="1">
        <v>717</v>
      </c>
      <c r="M1442" s="42" t="s">
        <v>2961</v>
      </c>
      <c r="P1442">
        <v>37</v>
      </c>
      <c r="Q1442" t="s">
        <v>413</v>
      </c>
    </row>
    <row r="1443" spans="1:17" ht="15" customHeight="1" x14ac:dyDescent="0.25">
      <c r="A1443" s="41" t="s">
        <v>1859</v>
      </c>
      <c r="B1443" s="3" t="s">
        <v>413</v>
      </c>
      <c r="C1443" s="41" t="s">
        <v>1383</v>
      </c>
      <c r="D1443">
        <v>4</v>
      </c>
      <c r="E1443" t="s">
        <v>1018</v>
      </c>
      <c r="F1443" t="s">
        <v>975</v>
      </c>
      <c r="G1443" t="s">
        <v>976</v>
      </c>
      <c r="H1443" s="1" t="s">
        <v>976</v>
      </c>
      <c r="I1443" s="1">
        <v>870</v>
      </c>
      <c r="J1443" s="20">
        <v>0</v>
      </c>
      <c r="K1443" s="1">
        <v>0</v>
      </c>
      <c r="L1443" s="1">
        <v>0</v>
      </c>
      <c r="M1443" s="42" t="s">
        <v>2961</v>
      </c>
      <c r="P1443">
        <v>37</v>
      </c>
      <c r="Q1443" t="s">
        <v>413</v>
      </c>
    </row>
    <row r="1444" spans="1:17" ht="15" customHeight="1" x14ac:dyDescent="0.25">
      <c r="A1444" s="3" t="s">
        <v>1860</v>
      </c>
      <c r="B1444" s="4" t="s">
        <v>414</v>
      </c>
      <c r="C1444" t="s">
        <v>1383</v>
      </c>
      <c r="D1444">
        <v>1</v>
      </c>
      <c r="E1444" t="s">
        <v>974</v>
      </c>
      <c r="F1444" t="s">
        <v>975</v>
      </c>
      <c r="G1444" t="s">
        <v>976</v>
      </c>
      <c r="H1444" s="1" t="s">
        <v>976</v>
      </c>
      <c r="I1444" s="1">
        <v>870</v>
      </c>
      <c r="J1444" s="20">
        <v>2</v>
      </c>
      <c r="K1444" s="1">
        <v>239</v>
      </c>
      <c r="L1444" s="1">
        <v>478</v>
      </c>
      <c r="M1444" s="42" t="s">
        <v>2961</v>
      </c>
      <c r="P1444">
        <v>38</v>
      </c>
      <c r="Q1444" t="s">
        <v>414</v>
      </c>
    </row>
    <row r="1445" spans="1:17" ht="15" customHeight="1" x14ac:dyDescent="0.25">
      <c r="A1445" s="3" t="s">
        <v>1861</v>
      </c>
      <c r="B1445" s="4" t="s">
        <v>415</v>
      </c>
      <c r="C1445" t="s">
        <v>1383</v>
      </c>
      <c r="D1445">
        <v>1</v>
      </c>
      <c r="E1445" t="s">
        <v>974</v>
      </c>
      <c r="F1445" t="s">
        <v>975</v>
      </c>
      <c r="G1445" t="s">
        <v>976</v>
      </c>
      <c r="H1445" s="1" t="s">
        <v>976</v>
      </c>
      <c r="I1445" s="1">
        <v>870</v>
      </c>
      <c r="J1445" s="20">
        <v>0</v>
      </c>
      <c r="K1445" s="1">
        <v>239</v>
      </c>
      <c r="L1445" s="1">
        <v>0</v>
      </c>
      <c r="M1445" s="42" t="s">
        <v>2961</v>
      </c>
      <c r="P1445">
        <v>39</v>
      </c>
      <c r="Q1445" t="s">
        <v>415</v>
      </c>
    </row>
    <row r="1446" spans="1:17" ht="15" customHeight="1" x14ac:dyDescent="0.25">
      <c r="A1446" s="3" t="s">
        <v>1862</v>
      </c>
      <c r="B1446" s="4" t="s">
        <v>416</v>
      </c>
      <c r="C1446" t="s">
        <v>1383</v>
      </c>
      <c r="D1446">
        <v>1</v>
      </c>
      <c r="E1446" t="s">
        <v>974</v>
      </c>
      <c r="F1446" t="s">
        <v>975</v>
      </c>
      <c r="G1446" t="s">
        <v>976</v>
      </c>
      <c r="H1446" s="1" t="s">
        <v>976</v>
      </c>
      <c r="I1446" s="1">
        <v>870</v>
      </c>
      <c r="J1446" s="20">
        <v>6</v>
      </c>
      <c r="K1446" s="1">
        <v>239</v>
      </c>
      <c r="L1446" s="1">
        <v>1434</v>
      </c>
      <c r="M1446" s="42" t="s">
        <v>2961</v>
      </c>
      <c r="P1446">
        <v>40</v>
      </c>
      <c r="Q1446" t="s">
        <v>416</v>
      </c>
    </row>
    <row r="1447" spans="1:17" ht="15" customHeight="1" x14ac:dyDescent="0.25">
      <c r="A1447" s="3" t="s">
        <v>1863</v>
      </c>
      <c r="B1447" s="4" t="s">
        <v>417</v>
      </c>
      <c r="C1447" t="s">
        <v>1383</v>
      </c>
      <c r="D1447">
        <v>1</v>
      </c>
      <c r="E1447" t="s">
        <v>974</v>
      </c>
      <c r="F1447" t="s">
        <v>975</v>
      </c>
      <c r="G1447" t="s">
        <v>976</v>
      </c>
      <c r="H1447" s="1" t="s">
        <v>976</v>
      </c>
      <c r="I1447" s="1">
        <v>870</v>
      </c>
      <c r="J1447" s="20">
        <v>1</v>
      </c>
      <c r="K1447" s="1">
        <v>239</v>
      </c>
      <c r="L1447" s="1">
        <v>239</v>
      </c>
      <c r="M1447" s="42" t="s">
        <v>2961</v>
      </c>
      <c r="Q1447" t="s">
        <v>417</v>
      </c>
    </row>
    <row r="1448" spans="1:17" ht="15" customHeight="1" x14ac:dyDescent="0.25">
      <c r="A1448" s="3" t="s">
        <v>1864</v>
      </c>
      <c r="B1448" s="4" t="s">
        <v>418</v>
      </c>
      <c r="C1448" t="s">
        <v>1383</v>
      </c>
      <c r="D1448">
        <v>1</v>
      </c>
      <c r="E1448" t="s">
        <v>974</v>
      </c>
      <c r="F1448" t="s">
        <v>975</v>
      </c>
      <c r="G1448" t="s">
        <v>976</v>
      </c>
      <c r="H1448" s="1" t="s">
        <v>976</v>
      </c>
      <c r="I1448" s="1">
        <v>870</v>
      </c>
      <c r="J1448" s="20">
        <v>2</v>
      </c>
      <c r="K1448" s="1">
        <v>239</v>
      </c>
      <c r="L1448" s="1">
        <v>478</v>
      </c>
      <c r="M1448" s="42" t="s">
        <v>2961</v>
      </c>
      <c r="P1448">
        <v>42</v>
      </c>
      <c r="Q1448" t="s">
        <v>418</v>
      </c>
    </row>
    <row r="1449" spans="1:17" ht="15" customHeight="1" x14ac:dyDescent="0.25">
      <c r="A1449" s="3" t="s">
        <v>1865</v>
      </c>
      <c r="B1449" s="4" t="s">
        <v>419</v>
      </c>
      <c r="C1449" t="s">
        <v>1383</v>
      </c>
      <c r="D1449">
        <v>1</v>
      </c>
      <c r="E1449" t="s">
        <v>974</v>
      </c>
      <c r="F1449" t="s">
        <v>975</v>
      </c>
      <c r="G1449" t="s">
        <v>976</v>
      </c>
      <c r="H1449" s="1" t="s">
        <v>976</v>
      </c>
      <c r="I1449" s="1">
        <v>870</v>
      </c>
      <c r="J1449" s="20">
        <v>0</v>
      </c>
      <c r="K1449" s="1">
        <v>239</v>
      </c>
      <c r="L1449" s="1">
        <v>0</v>
      </c>
      <c r="M1449" s="42" t="s">
        <v>2961</v>
      </c>
      <c r="Q1449" t="s">
        <v>419</v>
      </c>
    </row>
    <row r="1450" spans="1:17" ht="15" customHeight="1" x14ac:dyDescent="0.25">
      <c r="A1450" s="3" t="s">
        <v>1866</v>
      </c>
      <c r="B1450" s="4" t="s">
        <v>420</v>
      </c>
      <c r="C1450" t="s">
        <v>1383</v>
      </c>
      <c r="D1450">
        <v>1</v>
      </c>
      <c r="E1450" t="s">
        <v>974</v>
      </c>
      <c r="F1450" t="s">
        <v>975</v>
      </c>
      <c r="G1450" t="s">
        <v>976</v>
      </c>
      <c r="H1450" s="1" t="s">
        <v>976</v>
      </c>
      <c r="I1450" s="1">
        <v>870</v>
      </c>
      <c r="J1450" s="20">
        <v>0</v>
      </c>
      <c r="K1450" s="1">
        <v>239</v>
      </c>
      <c r="L1450" s="1">
        <v>0</v>
      </c>
      <c r="M1450" s="42" t="s">
        <v>2961</v>
      </c>
      <c r="P1450">
        <v>44</v>
      </c>
      <c r="Q1450" t="s">
        <v>420</v>
      </c>
    </row>
    <row r="1451" spans="1:17" ht="15" customHeight="1" x14ac:dyDescent="0.25">
      <c r="A1451" s="3" t="s">
        <v>1867</v>
      </c>
      <c r="B1451" s="4" t="s">
        <v>421</v>
      </c>
      <c r="C1451" t="s">
        <v>1383</v>
      </c>
      <c r="D1451">
        <v>1</v>
      </c>
      <c r="E1451" t="s">
        <v>974</v>
      </c>
      <c r="F1451" t="s">
        <v>975</v>
      </c>
      <c r="G1451" t="s">
        <v>976</v>
      </c>
      <c r="H1451" s="1" t="s">
        <v>976</v>
      </c>
      <c r="I1451" s="1">
        <v>0.1</v>
      </c>
      <c r="J1451" s="20">
        <v>0</v>
      </c>
      <c r="K1451" s="1">
        <v>0</v>
      </c>
      <c r="L1451" s="1">
        <v>0</v>
      </c>
      <c r="M1451" s="42" t="s">
        <v>2961</v>
      </c>
      <c r="Q1451" t="s">
        <v>421</v>
      </c>
    </row>
    <row r="1452" spans="1:17" ht="15" customHeight="1" x14ac:dyDescent="0.25">
      <c r="A1452" s="3" t="s">
        <v>1868</v>
      </c>
      <c r="B1452" s="4" t="s">
        <v>422</v>
      </c>
      <c r="C1452" t="s">
        <v>1383</v>
      </c>
      <c r="D1452">
        <v>1</v>
      </c>
      <c r="E1452" t="s">
        <v>974</v>
      </c>
      <c r="F1452" t="s">
        <v>975</v>
      </c>
      <c r="G1452" t="s">
        <v>976</v>
      </c>
      <c r="H1452" s="1" t="s">
        <v>976</v>
      </c>
      <c r="I1452" s="1">
        <v>0</v>
      </c>
      <c r="J1452" s="20">
        <v>0</v>
      </c>
      <c r="K1452" s="1">
        <v>0</v>
      </c>
      <c r="L1452" s="1">
        <v>0</v>
      </c>
      <c r="M1452" s="42" t="s">
        <v>2961</v>
      </c>
      <c r="Q1452" t="s">
        <v>422</v>
      </c>
    </row>
    <row r="1453" spans="1:17" ht="15" customHeight="1" x14ac:dyDescent="0.25">
      <c r="A1453" s="3" t="s">
        <v>1869</v>
      </c>
      <c r="B1453" s="4" t="s">
        <v>423</v>
      </c>
      <c r="C1453" t="s">
        <v>1383</v>
      </c>
      <c r="D1453">
        <v>1</v>
      </c>
      <c r="E1453" t="s">
        <v>974</v>
      </c>
      <c r="F1453" t="s">
        <v>975</v>
      </c>
      <c r="G1453" t="s">
        <v>180</v>
      </c>
      <c r="H1453" s="1" t="s">
        <v>976</v>
      </c>
      <c r="I1453" s="1">
        <v>990</v>
      </c>
      <c r="J1453" s="20">
        <v>2</v>
      </c>
      <c r="K1453" s="1">
        <v>229</v>
      </c>
      <c r="L1453" s="1">
        <v>458</v>
      </c>
      <c r="M1453" s="42" t="s">
        <v>2962</v>
      </c>
      <c r="P1453">
        <v>35</v>
      </c>
      <c r="Q1453" t="s">
        <v>423</v>
      </c>
    </row>
    <row r="1454" spans="1:17" ht="15" customHeight="1" x14ac:dyDescent="0.25">
      <c r="A1454" s="3" t="s">
        <v>1870</v>
      </c>
      <c r="B1454" s="4" t="s">
        <v>424</v>
      </c>
      <c r="C1454" t="s">
        <v>1383</v>
      </c>
      <c r="D1454">
        <v>1</v>
      </c>
      <c r="E1454" t="s">
        <v>974</v>
      </c>
      <c r="F1454" t="s">
        <v>975</v>
      </c>
      <c r="G1454" t="s">
        <v>180</v>
      </c>
      <c r="H1454" s="1" t="s">
        <v>976</v>
      </c>
      <c r="I1454" s="1">
        <v>990</v>
      </c>
      <c r="J1454" s="20">
        <v>3</v>
      </c>
      <c r="K1454" s="1">
        <v>229</v>
      </c>
      <c r="L1454" s="1">
        <v>687</v>
      </c>
      <c r="M1454" s="42" t="s">
        <v>2962</v>
      </c>
      <c r="P1454">
        <v>36</v>
      </c>
      <c r="Q1454" t="s">
        <v>424</v>
      </c>
    </row>
    <row r="1455" spans="1:17" ht="15" customHeight="1" x14ac:dyDescent="0.25">
      <c r="A1455" s="3" t="s">
        <v>1871</v>
      </c>
      <c r="B1455" s="4" t="s">
        <v>425</v>
      </c>
      <c r="C1455" t="s">
        <v>1383</v>
      </c>
      <c r="D1455">
        <v>1</v>
      </c>
      <c r="E1455" t="s">
        <v>974</v>
      </c>
      <c r="F1455" t="s">
        <v>975</v>
      </c>
      <c r="G1455" t="s">
        <v>180</v>
      </c>
      <c r="H1455" s="1" t="s">
        <v>976</v>
      </c>
      <c r="I1455" s="1">
        <v>990</v>
      </c>
      <c r="J1455" s="20">
        <v>6</v>
      </c>
      <c r="K1455" s="1">
        <v>229</v>
      </c>
      <c r="L1455" s="1">
        <v>1374</v>
      </c>
      <c r="M1455" s="42" t="s">
        <v>2962</v>
      </c>
      <c r="P1455">
        <v>37</v>
      </c>
      <c r="Q1455" t="s">
        <v>425</v>
      </c>
    </row>
    <row r="1456" spans="1:17" ht="15" customHeight="1" x14ac:dyDescent="0.25">
      <c r="A1456" s="41" t="s">
        <v>1871</v>
      </c>
      <c r="B1456" s="3" t="s">
        <v>425</v>
      </c>
      <c r="C1456" s="41" t="s">
        <v>1383</v>
      </c>
      <c r="D1456">
        <v>3</v>
      </c>
      <c r="E1456" t="s">
        <v>1179</v>
      </c>
      <c r="F1456" t="s">
        <v>1180</v>
      </c>
      <c r="G1456" t="s">
        <v>180</v>
      </c>
      <c r="H1456" s="1" t="s">
        <v>976</v>
      </c>
      <c r="I1456" s="1">
        <v>990</v>
      </c>
      <c r="J1456" s="20">
        <v>0</v>
      </c>
      <c r="K1456" s="1">
        <v>229</v>
      </c>
      <c r="L1456" s="1">
        <v>0</v>
      </c>
      <c r="M1456" s="42" t="s">
        <v>2962</v>
      </c>
      <c r="P1456">
        <v>37</v>
      </c>
      <c r="Q1456" t="s">
        <v>425</v>
      </c>
    </row>
    <row r="1457" spans="1:17" ht="15" customHeight="1" x14ac:dyDescent="0.25">
      <c r="A1457" s="3" t="s">
        <v>1872</v>
      </c>
      <c r="B1457" s="4" t="s">
        <v>426</v>
      </c>
      <c r="C1457" t="s">
        <v>1383</v>
      </c>
      <c r="D1457">
        <v>1</v>
      </c>
      <c r="E1457" t="s">
        <v>974</v>
      </c>
      <c r="F1457" t="s">
        <v>975</v>
      </c>
      <c r="G1457" t="s">
        <v>180</v>
      </c>
      <c r="H1457" s="1" t="s">
        <v>976</v>
      </c>
      <c r="I1457" s="1">
        <v>990</v>
      </c>
      <c r="J1457" s="20">
        <v>3</v>
      </c>
      <c r="K1457" s="1">
        <v>229</v>
      </c>
      <c r="L1457" s="1">
        <v>687</v>
      </c>
      <c r="M1457" s="42" t="s">
        <v>2962</v>
      </c>
      <c r="P1457">
        <v>38</v>
      </c>
      <c r="Q1457" t="s">
        <v>426</v>
      </c>
    </row>
    <row r="1458" spans="1:17" ht="15" customHeight="1" x14ac:dyDescent="0.25">
      <c r="A1458" s="41" t="s">
        <v>1872</v>
      </c>
      <c r="B1458" s="3" t="s">
        <v>426</v>
      </c>
      <c r="C1458" s="41" t="s">
        <v>1383</v>
      </c>
      <c r="D1458">
        <v>3</v>
      </c>
      <c r="E1458" t="s">
        <v>1179</v>
      </c>
      <c r="F1458" t="s">
        <v>1180</v>
      </c>
      <c r="G1458" t="s">
        <v>180</v>
      </c>
      <c r="H1458" s="1" t="s">
        <v>976</v>
      </c>
      <c r="I1458" s="1">
        <v>990</v>
      </c>
      <c r="J1458" s="20">
        <v>0</v>
      </c>
      <c r="K1458" s="1">
        <v>229</v>
      </c>
      <c r="L1458" s="1">
        <v>0</v>
      </c>
      <c r="M1458" s="42" t="s">
        <v>2962</v>
      </c>
      <c r="P1458">
        <v>38</v>
      </c>
      <c r="Q1458" t="s">
        <v>426</v>
      </c>
    </row>
    <row r="1459" spans="1:17" ht="15" customHeight="1" x14ac:dyDescent="0.25">
      <c r="A1459" s="3" t="s">
        <v>1873</v>
      </c>
      <c r="B1459" s="4" t="s">
        <v>427</v>
      </c>
      <c r="C1459" t="s">
        <v>1383</v>
      </c>
      <c r="D1459">
        <v>1</v>
      </c>
      <c r="E1459" t="s">
        <v>974</v>
      </c>
      <c r="F1459" t="s">
        <v>975</v>
      </c>
      <c r="G1459" t="s">
        <v>180</v>
      </c>
      <c r="H1459" s="1" t="s">
        <v>976</v>
      </c>
      <c r="I1459" s="1">
        <v>990</v>
      </c>
      <c r="J1459" s="20">
        <v>1</v>
      </c>
      <c r="K1459" s="1">
        <v>229</v>
      </c>
      <c r="L1459" s="1">
        <v>229</v>
      </c>
      <c r="M1459" s="42" t="s">
        <v>2962</v>
      </c>
      <c r="P1459">
        <v>39</v>
      </c>
      <c r="Q1459" t="s">
        <v>427</v>
      </c>
    </row>
    <row r="1460" spans="1:17" ht="15" customHeight="1" x14ac:dyDescent="0.25">
      <c r="A1460" s="3" t="s">
        <v>1874</v>
      </c>
      <c r="B1460" s="4" t="s">
        <v>428</v>
      </c>
      <c r="C1460" t="s">
        <v>1383</v>
      </c>
      <c r="D1460">
        <v>1</v>
      </c>
      <c r="E1460" t="s">
        <v>974</v>
      </c>
      <c r="F1460" t="s">
        <v>975</v>
      </c>
      <c r="G1460" t="s">
        <v>180</v>
      </c>
      <c r="H1460" s="1" t="s">
        <v>976</v>
      </c>
      <c r="I1460" s="1">
        <v>990</v>
      </c>
      <c r="J1460" s="20">
        <v>0</v>
      </c>
      <c r="K1460" s="1">
        <v>229</v>
      </c>
      <c r="L1460" s="1">
        <v>0</v>
      </c>
      <c r="M1460" s="42" t="s">
        <v>2962</v>
      </c>
      <c r="P1460">
        <v>40</v>
      </c>
      <c r="Q1460" t="s">
        <v>428</v>
      </c>
    </row>
    <row r="1461" spans="1:17" ht="15" customHeight="1" x14ac:dyDescent="0.25">
      <c r="A1461" s="41" t="s">
        <v>1874</v>
      </c>
      <c r="B1461" s="3" t="s">
        <v>428</v>
      </c>
      <c r="C1461" s="41" t="s">
        <v>1383</v>
      </c>
      <c r="D1461">
        <v>3</v>
      </c>
      <c r="E1461" t="s">
        <v>1179</v>
      </c>
      <c r="F1461" t="s">
        <v>1180</v>
      </c>
      <c r="G1461" t="s">
        <v>180</v>
      </c>
      <c r="H1461" s="1" t="s">
        <v>976</v>
      </c>
      <c r="I1461" s="1">
        <v>990</v>
      </c>
      <c r="J1461" s="20">
        <v>0</v>
      </c>
      <c r="K1461" s="1">
        <v>229</v>
      </c>
      <c r="L1461" s="1">
        <v>0</v>
      </c>
      <c r="M1461" s="42" t="s">
        <v>2962</v>
      </c>
      <c r="P1461">
        <v>40</v>
      </c>
      <c r="Q1461" t="s">
        <v>428</v>
      </c>
    </row>
    <row r="1462" spans="1:17" ht="15" customHeight="1" x14ac:dyDescent="0.25">
      <c r="A1462" s="3" t="s">
        <v>1875</v>
      </c>
      <c r="B1462" s="4" t="s">
        <v>429</v>
      </c>
      <c r="C1462" t="s">
        <v>1383</v>
      </c>
      <c r="D1462">
        <v>1</v>
      </c>
      <c r="E1462" t="s">
        <v>974</v>
      </c>
      <c r="F1462" t="s">
        <v>975</v>
      </c>
      <c r="G1462" t="s">
        <v>180</v>
      </c>
      <c r="H1462" s="1" t="s">
        <v>976</v>
      </c>
      <c r="I1462" s="1">
        <v>990</v>
      </c>
      <c r="J1462" s="20">
        <v>0</v>
      </c>
      <c r="K1462" s="1">
        <v>0</v>
      </c>
      <c r="L1462" s="1">
        <v>0</v>
      </c>
      <c r="M1462" s="42" t="s">
        <v>2962</v>
      </c>
      <c r="Q1462" t="s">
        <v>429</v>
      </c>
    </row>
    <row r="1463" spans="1:17" ht="15" customHeight="1" x14ac:dyDescent="0.25">
      <c r="A1463" s="3" t="s">
        <v>1876</v>
      </c>
      <c r="B1463" s="4" t="s">
        <v>430</v>
      </c>
      <c r="C1463" t="s">
        <v>1383</v>
      </c>
      <c r="D1463">
        <v>1</v>
      </c>
      <c r="E1463" t="s">
        <v>974</v>
      </c>
      <c r="F1463" t="s">
        <v>975</v>
      </c>
      <c r="G1463" t="s">
        <v>180</v>
      </c>
      <c r="H1463" s="1" t="s">
        <v>976</v>
      </c>
      <c r="I1463" s="1">
        <v>990</v>
      </c>
      <c r="J1463" s="20">
        <v>0</v>
      </c>
      <c r="K1463" s="1">
        <v>234</v>
      </c>
      <c r="L1463" s="1">
        <v>0</v>
      </c>
      <c r="M1463" s="42" t="s">
        <v>2962</v>
      </c>
      <c r="P1463">
        <v>42</v>
      </c>
      <c r="Q1463" t="s">
        <v>430</v>
      </c>
    </row>
    <row r="1464" spans="1:17" ht="15" customHeight="1" x14ac:dyDescent="0.25">
      <c r="A1464" s="41" t="s">
        <v>1876</v>
      </c>
      <c r="B1464" s="3" t="s">
        <v>430</v>
      </c>
      <c r="C1464" s="41" t="s">
        <v>1383</v>
      </c>
      <c r="D1464">
        <v>4</v>
      </c>
      <c r="E1464" t="s">
        <v>1018</v>
      </c>
      <c r="F1464" t="s">
        <v>975</v>
      </c>
      <c r="G1464" t="s">
        <v>180</v>
      </c>
      <c r="H1464" s="1" t="s">
        <v>976</v>
      </c>
      <c r="I1464" s="1">
        <v>990</v>
      </c>
      <c r="J1464" s="20">
        <v>1</v>
      </c>
      <c r="K1464" s="1">
        <v>234</v>
      </c>
      <c r="L1464" s="1">
        <v>234</v>
      </c>
      <c r="M1464" s="42" t="s">
        <v>2962</v>
      </c>
      <c r="P1464">
        <v>42</v>
      </c>
      <c r="Q1464" t="s">
        <v>430</v>
      </c>
    </row>
    <row r="1465" spans="1:17" ht="15" customHeight="1" x14ac:dyDescent="0.25">
      <c r="A1465" s="3" t="s">
        <v>1877</v>
      </c>
      <c r="B1465" s="4" t="s">
        <v>431</v>
      </c>
      <c r="C1465" t="s">
        <v>1383</v>
      </c>
      <c r="D1465">
        <v>1</v>
      </c>
      <c r="E1465" t="s">
        <v>974</v>
      </c>
      <c r="F1465" t="s">
        <v>975</v>
      </c>
      <c r="G1465" t="s">
        <v>180</v>
      </c>
      <c r="H1465" s="1" t="s">
        <v>976</v>
      </c>
      <c r="I1465" s="1">
        <v>990</v>
      </c>
      <c r="J1465" s="20">
        <v>0</v>
      </c>
      <c r="K1465" s="1">
        <v>234</v>
      </c>
      <c r="L1465" s="1">
        <v>0</v>
      </c>
      <c r="M1465" s="42" t="s">
        <v>2962</v>
      </c>
      <c r="Q1465" t="s">
        <v>431</v>
      </c>
    </row>
    <row r="1466" spans="1:17" ht="15" customHeight="1" x14ac:dyDescent="0.25">
      <c r="A1466" s="41" t="s">
        <v>1877</v>
      </c>
      <c r="B1466" s="3" t="s">
        <v>431</v>
      </c>
      <c r="C1466" s="41" t="s">
        <v>1383</v>
      </c>
      <c r="D1466">
        <v>4</v>
      </c>
      <c r="E1466" t="s">
        <v>1018</v>
      </c>
      <c r="F1466" t="s">
        <v>975</v>
      </c>
      <c r="G1466" t="s">
        <v>180</v>
      </c>
      <c r="H1466" s="1" t="s">
        <v>976</v>
      </c>
      <c r="I1466" s="1">
        <v>990</v>
      </c>
      <c r="J1466" s="20">
        <v>2</v>
      </c>
      <c r="K1466" s="1">
        <v>234</v>
      </c>
      <c r="L1466" s="1">
        <v>468</v>
      </c>
      <c r="M1466" s="42" t="s">
        <v>2962</v>
      </c>
      <c r="Q1466" t="s">
        <v>431</v>
      </c>
    </row>
    <row r="1467" spans="1:17" ht="15" customHeight="1" x14ac:dyDescent="0.25">
      <c r="A1467" s="3" t="s">
        <v>1878</v>
      </c>
      <c r="B1467" s="4" t="s">
        <v>432</v>
      </c>
      <c r="C1467" t="s">
        <v>1383</v>
      </c>
      <c r="D1467">
        <v>1</v>
      </c>
      <c r="E1467" t="s">
        <v>974</v>
      </c>
      <c r="F1467" t="s">
        <v>975</v>
      </c>
      <c r="G1467" t="s">
        <v>180</v>
      </c>
      <c r="H1467" s="1" t="s">
        <v>976</v>
      </c>
      <c r="I1467" s="1">
        <v>990</v>
      </c>
      <c r="J1467" s="20">
        <v>0</v>
      </c>
      <c r="K1467" s="1">
        <v>243</v>
      </c>
      <c r="L1467" s="1">
        <v>0</v>
      </c>
      <c r="M1467" s="42" t="s">
        <v>2962</v>
      </c>
      <c r="P1467">
        <v>44</v>
      </c>
      <c r="Q1467" t="s">
        <v>432</v>
      </c>
    </row>
    <row r="1468" spans="1:17" ht="15" customHeight="1" x14ac:dyDescent="0.25">
      <c r="A1468" s="3" t="s">
        <v>2430</v>
      </c>
      <c r="B1468" s="4" t="s">
        <v>603</v>
      </c>
      <c r="C1468" t="s">
        <v>1383</v>
      </c>
      <c r="D1468">
        <v>1</v>
      </c>
      <c r="E1468" t="s">
        <v>974</v>
      </c>
      <c r="F1468" t="s">
        <v>975</v>
      </c>
      <c r="G1468" t="s">
        <v>180</v>
      </c>
      <c r="H1468" s="1" t="s">
        <v>976</v>
      </c>
      <c r="I1468" s="1">
        <v>990</v>
      </c>
      <c r="J1468" s="20">
        <v>0</v>
      </c>
      <c r="K1468" s="1">
        <v>0</v>
      </c>
      <c r="L1468" s="1">
        <v>0</v>
      </c>
      <c r="M1468" s="42" t="s">
        <v>2962</v>
      </c>
      <c r="Q1468" t="s">
        <v>603</v>
      </c>
    </row>
    <row r="1469" spans="1:17" ht="15" customHeight="1" x14ac:dyDescent="0.25">
      <c r="A1469" s="3" t="s">
        <v>1879</v>
      </c>
      <c r="B1469" s="4" t="s">
        <v>2963</v>
      </c>
      <c r="C1469" t="s">
        <v>1383</v>
      </c>
      <c r="D1469">
        <v>1</v>
      </c>
      <c r="E1469" t="s">
        <v>974</v>
      </c>
      <c r="F1469" t="s">
        <v>975</v>
      </c>
      <c r="G1469" t="s">
        <v>180</v>
      </c>
      <c r="H1469" s="1" t="s">
        <v>976</v>
      </c>
      <c r="I1469" s="1">
        <v>770</v>
      </c>
      <c r="J1469" s="20">
        <v>4</v>
      </c>
      <c r="K1469" s="1">
        <v>169</v>
      </c>
      <c r="L1469" s="1">
        <v>676</v>
      </c>
      <c r="M1469" s="42" t="s">
        <v>2962</v>
      </c>
      <c r="O1469" s="2" t="s">
        <v>2443</v>
      </c>
      <c r="P1469">
        <v>35</v>
      </c>
      <c r="Q1469" t="s">
        <v>934</v>
      </c>
    </row>
    <row r="1470" spans="1:17" ht="15" customHeight="1" x14ac:dyDescent="0.25">
      <c r="A1470" s="3" t="s">
        <v>1880</v>
      </c>
      <c r="B1470" s="4" t="s">
        <v>2963</v>
      </c>
      <c r="C1470" t="s">
        <v>1383</v>
      </c>
      <c r="D1470">
        <v>1</v>
      </c>
      <c r="E1470" t="s">
        <v>974</v>
      </c>
      <c r="F1470" t="s">
        <v>975</v>
      </c>
      <c r="G1470" t="s">
        <v>180</v>
      </c>
      <c r="H1470" s="1" t="s">
        <v>976</v>
      </c>
      <c r="I1470" s="1">
        <v>770</v>
      </c>
      <c r="J1470" s="20">
        <v>1</v>
      </c>
      <c r="K1470" s="1">
        <v>154</v>
      </c>
      <c r="L1470" s="1">
        <v>154</v>
      </c>
      <c r="M1470" s="42" t="s">
        <v>2962</v>
      </c>
      <c r="O1470" s="2" t="s">
        <v>2443</v>
      </c>
      <c r="P1470">
        <v>36</v>
      </c>
      <c r="Q1470" t="s">
        <v>934</v>
      </c>
    </row>
    <row r="1471" spans="1:17" ht="15" customHeight="1" x14ac:dyDescent="0.25">
      <c r="A1471" s="3" t="s">
        <v>1881</v>
      </c>
      <c r="B1471" s="4" t="s">
        <v>2963</v>
      </c>
      <c r="C1471" t="s">
        <v>1383</v>
      </c>
      <c r="D1471">
        <v>1</v>
      </c>
      <c r="E1471" t="s">
        <v>974</v>
      </c>
      <c r="F1471" t="s">
        <v>975</v>
      </c>
      <c r="G1471" t="s">
        <v>180</v>
      </c>
      <c r="H1471" s="1" t="s">
        <v>976</v>
      </c>
      <c r="I1471" s="1">
        <v>770</v>
      </c>
      <c r="J1471" s="20">
        <v>0</v>
      </c>
      <c r="K1471" s="1">
        <v>160</v>
      </c>
      <c r="L1471" s="1">
        <v>0</v>
      </c>
      <c r="M1471" s="42" t="s">
        <v>2962</v>
      </c>
      <c r="O1471" s="2" t="s">
        <v>2443</v>
      </c>
      <c r="P1471">
        <v>37</v>
      </c>
      <c r="Q1471" t="s">
        <v>934</v>
      </c>
    </row>
    <row r="1472" spans="1:17" ht="15" customHeight="1" x14ac:dyDescent="0.25">
      <c r="A1472" s="41" t="s">
        <v>1881</v>
      </c>
      <c r="B1472" s="3" t="s">
        <v>2963</v>
      </c>
      <c r="C1472" s="41" t="s">
        <v>1383</v>
      </c>
      <c r="D1472">
        <v>3</v>
      </c>
      <c r="E1472" t="s">
        <v>1179</v>
      </c>
      <c r="F1472" t="s">
        <v>1180</v>
      </c>
      <c r="G1472" t="s">
        <v>180</v>
      </c>
      <c r="H1472" s="1" t="s">
        <v>976</v>
      </c>
      <c r="I1472" s="1">
        <v>770</v>
      </c>
      <c r="J1472" s="20">
        <v>0</v>
      </c>
      <c r="K1472" s="1">
        <v>160</v>
      </c>
      <c r="L1472" s="1">
        <v>0</v>
      </c>
      <c r="M1472" s="42" t="s">
        <v>2962</v>
      </c>
      <c r="O1472" s="2" t="s">
        <v>2443</v>
      </c>
      <c r="P1472">
        <v>37</v>
      </c>
      <c r="Q1472" t="s">
        <v>934</v>
      </c>
    </row>
    <row r="1473" spans="1:17" ht="15" customHeight="1" x14ac:dyDescent="0.25">
      <c r="A1473" s="41" t="s">
        <v>1881</v>
      </c>
      <c r="B1473" s="3" t="s">
        <v>2963</v>
      </c>
      <c r="C1473" s="41" t="s">
        <v>1383</v>
      </c>
      <c r="D1473">
        <v>4</v>
      </c>
      <c r="E1473" t="s">
        <v>1018</v>
      </c>
      <c r="F1473" t="s">
        <v>975</v>
      </c>
      <c r="G1473" t="s">
        <v>180</v>
      </c>
      <c r="H1473" s="1" t="s">
        <v>976</v>
      </c>
      <c r="I1473" s="1">
        <v>770</v>
      </c>
      <c r="J1473" s="20">
        <v>1</v>
      </c>
      <c r="K1473" s="1">
        <v>160</v>
      </c>
      <c r="L1473" s="1">
        <v>160</v>
      </c>
      <c r="M1473" s="42" t="s">
        <v>2962</v>
      </c>
      <c r="O1473" s="2" t="s">
        <v>2443</v>
      </c>
      <c r="P1473">
        <v>37</v>
      </c>
      <c r="Q1473" t="s">
        <v>934</v>
      </c>
    </row>
    <row r="1474" spans="1:17" ht="15" customHeight="1" x14ac:dyDescent="0.25">
      <c r="A1474" s="3" t="s">
        <v>1882</v>
      </c>
      <c r="B1474" s="4" t="s">
        <v>2963</v>
      </c>
      <c r="C1474" t="s">
        <v>1383</v>
      </c>
      <c r="D1474">
        <v>1</v>
      </c>
      <c r="E1474" t="s">
        <v>974</v>
      </c>
      <c r="F1474" t="s">
        <v>975</v>
      </c>
      <c r="G1474" t="s">
        <v>180</v>
      </c>
      <c r="H1474" s="1" t="s">
        <v>976</v>
      </c>
      <c r="I1474" s="1">
        <v>770</v>
      </c>
      <c r="J1474" s="20">
        <v>1</v>
      </c>
      <c r="K1474" s="1">
        <v>169</v>
      </c>
      <c r="L1474" s="1">
        <v>169</v>
      </c>
      <c r="M1474" s="42" t="s">
        <v>2962</v>
      </c>
      <c r="O1474" s="2" t="s">
        <v>2443</v>
      </c>
      <c r="P1474">
        <v>38</v>
      </c>
      <c r="Q1474" t="s">
        <v>934</v>
      </c>
    </row>
    <row r="1475" spans="1:17" ht="15" customHeight="1" x14ac:dyDescent="0.25">
      <c r="A1475" s="3" t="s">
        <v>1883</v>
      </c>
      <c r="B1475" s="4" t="s">
        <v>2963</v>
      </c>
      <c r="C1475" t="s">
        <v>1383</v>
      </c>
      <c r="D1475">
        <v>1</v>
      </c>
      <c r="E1475" t="s">
        <v>974</v>
      </c>
      <c r="F1475" t="s">
        <v>975</v>
      </c>
      <c r="G1475" t="s">
        <v>180</v>
      </c>
      <c r="H1475" s="1" t="s">
        <v>976</v>
      </c>
      <c r="I1475" s="1">
        <v>770</v>
      </c>
      <c r="J1475" s="20">
        <v>2</v>
      </c>
      <c r="K1475" s="1">
        <v>169</v>
      </c>
      <c r="L1475" s="1">
        <v>338</v>
      </c>
      <c r="M1475" s="42" t="s">
        <v>2962</v>
      </c>
      <c r="O1475" s="2" t="s">
        <v>2443</v>
      </c>
      <c r="P1475">
        <v>39</v>
      </c>
      <c r="Q1475" t="s">
        <v>934</v>
      </c>
    </row>
    <row r="1476" spans="1:17" ht="15" customHeight="1" x14ac:dyDescent="0.25">
      <c r="A1476" s="3" t="s">
        <v>1884</v>
      </c>
      <c r="B1476" s="4" t="s">
        <v>2963</v>
      </c>
      <c r="C1476" t="s">
        <v>1383</v>
      </c>
      <c r="D1476">
        <v>1</v>
      </c>
      <c r="E1476" t="s">
        <v>974</v>
      </c>
      <c r="F1476" t="s">
        <v>975</v>
      </c>
      <c r="G1476" t="s">
        <v>180</v>
      </c>
      <c r="H1476" s="1" t="s">
        <v>976</v>
      </c>
      <c r="I1476" s="1">
        <v>770</v>
      </c>
      <c r="J1476" s="20">
        <v>3</v>
      </c>
      <c r="K1476" s="1">
        <v>154</v>
      </c>
      <c r="L1476" s="1">
        <v>462</v>
      </c>
      <c r="M1476" s="42" t="s">
        <v>2962</v>
      </c>
      <c r="O1476" s="2" t="s">
        <v>2443</v>
      </c>
      <c r="P1476">
        <v>40</v>
      </c>
      <c r="Q1476" t="s">
        <v>934</v>
      </c>
    </row>
    <row r="1477" spans="1:17" ht="15" customHeight="1" x14ac:dyDescent="0.25">
      <c r="A1477" s="3" t="s">
        <v>1885</v>
      </c>
      <c r="B1477" s="4" t="s">
        <v>2963</v>
      </c>
      <c r="C1477" t="s">
        <v>1383</v>
      </c>
      <c r="D1477">
        <v>1</v>
      </c>
      <c r="E1477" t="s">
        <v>974</v>
      </c>
      <c r="F1477" t="s">
        <v>975</v>
      </c>
      <c r="G1477" t="s">
        <v>180</v>
      </c>
      <c r="H1477" s="1" t="s">
        <v>976</v>
      </c>
      <c r="I1477" s="1">
        <v>770</v>
      </c>
      <c r="J1477" s="20">
        <v>0</v>
      </c>
      <c r="K1477" s="1">
        <v>169</v>
      </c>
      <c r="L1477" s="1">
        <v>0</v>
      </c>
      <c r="M1477" s="42" t="s">
        <v>2962</v>
      </c>
      <c r="O1477" s="2" t="s">
        <v>2443</v>
      </c>
      <c r="Q1477" t="s">
        <v>934</v>
      </c>
    </row>
    <row r="1478" spans="1:17" ht="15" customHeight="1" x14ac:dyDescent="0.25">
      <c r="A1478" s="41" t="s">
        <v>1885</v>
      </c>
      <c r="B1478" s="3" t="s">
        <v>2963</v>
      </c>
      <c r="C1478" s="41" t="s">
        <v>1383</v>
      </c>
      <c r="D1478">
        <v>3</v>
      </c>
      <c r="E1478" t="s">
        <v>1179</v>
      </c>
      <c r="F1478" t="s">
        <v>1180</v>
      </c>
      <c r="G1478" t="s">
        <v>180</v>
      </c>
      <c r="H1478" s="1" t="s">
        <v>976</v>
      </c>
      <c r="I1478" s="1">
        <v>770</v>
      </c>
      <c r="J1478" s="20">
        <v>0</v>
      </c>
      <c r="K1478" s="1">
        <v>0</v>
      </c>
      <c r="L1478" s="1">
        <v>0</v>
      </c>
      <c r="M1478" s="42" t="s">
        <v>2962</v>
      </c>
      <c r="O1478" s="2" t="s">
        <v>2443</v>
      </c>
      <c r="Q1478" t="s">
        <v>934</v>
      </c>
    </row>
    <row r="1479" spans="1:17" ht="15" customHeight="1" x14ac:dyDescent="0.25">
      <c r="A1479" s="3" t="s">
        <v>1886</v>
      </c>
      <c r="B1479" s="4" t="s">
        <v>2963</v>
      </c>
      <c r="C1479" t="s">
        <v>1383</v>
      </c>
      <c r="D1479">
        <v>1</v>
      </c>
      <c r="E1479" t="s">
        <v>974</v>
      </c>
      <c r="F1479" t="s">
        <v>975</v>
      </c>
      <c r="G1479" t="s">
        <v>180</v>
      </c>
      <c r="H1479" s="1" t="s">
        <v>976</v>
      </c>
      <c r="I1479" s="1">
        <v>770</v>
      </c>
      <c r="J1479" s="20">
        <v>1</v>
      </c>
      <c r="K1479" s="1">
        <v>161.5</v>
      </c>
      <c r="L1479" s="1">
        <v>161.5</v>
      </c>
      <c r="M1479" s="42" t="s">
        <v>2962</v>
      </c>
      <c r="O1479" s="2" t="s">
        <v>2443</v>
      </c>
      <c r="P1479">
        <v>42</v>
      </c>
      <c r="Q1479" t="s">
        <v>934</v>
      </c>
    </row>
    <row r="1480" spans="1:17" ht="15" customHeight="1" x14ac:dyDescent="0.25">
      <c r="A1480" s="41" t="s">
        <v>1886</v>
      </c>
      <c r="B1480" s="3" t="s">
        <v>2963</v>
      </c>
      <c r="C1480" s="41" t="s">
        <v>1383</v>
      </c>
      <c r="D1480">
        <v>4</v>
      </c>
      <c r="E1480" t="s">
        <v>1018</v>
      </c>
      <c r="F1480" t="s">
        <v>975</v>
      </c>
      <c r="G1480" t="s">
        <v>180</v>
      </c>
      <c r="H1480" s="1" t="s">
        <v>976</v>
      </c>
      <c r="I1480" s="1">
        <v>770</v>
      </c>
      <c r="J1480" s="20">
        <v>0</v>
      </c>
      <c r="K1480" s="1">
        <v>0</v>
      </c>
      <c r="L1480" s="1">
        <v>0</v>
      </c>
      <c r="M1480" s="42" t="s">
        <v>2962</v>
      </c>
      <c r="O1480" s="2" t="s">
        <v>2443</v>
      </c>
      <c r="P1480">
        <v>42</v>
      </c>
      <c r="Q1480" t="s">
        <v>934</v>
      </c>
    </row>
    <row r="1481" spans="1:17" ht="15" customHeight="1" x14ac:dyDescent="0.25">
      <c r="A1481" s="3" t="s">
        <v>1887</v>
      </c>
      <c r="B1481" s="4" t="s">
        <v>2963</v>
      </c>
      <c r="C1481" t="s">
        <v>1383</v>
      </c>
      <c r="D1481">
        <v>1</v>
      </c>
      <c r="E1481" t="s">
        <v>974</v>
      </c>
      <c r="F1481" t="s">
        <v>975</v>
      </c>
      <c r="G1481" t="s">
        <v>180</v>
      </c>
      <c r="H1481" s="1" t="s">
        <v>976</v>
      </c>
      <c r="I1481" s="1">
        <v>770</v>
      </c>
      <c r="J1481" s="20">
        <v>3</v>
      </c>
      <c r="K1481" s="1">
        <v>169</v>
      </c>
      <c r="L1481" s="1">
        <v>507</v>
      </c>
      <c r="M1481" s="42" t="s">
        <v>2962</v>
      </c>
      <c r="O1481" s="2" t="s">
        <v>2443</v>
      </c>
      <c r="Q1481" t="s">
        <v>934</v>
      </c>
    </row>
    <row r="1482" spans="1:17" ht="15" customHeight="1" x14ac:dyDescent="0.25">
      <c r="A1482" s="3" t="s">
        <v>1888</v>
      </c>
      <c r="B1482" s="4" t="s">
        <v>2963</v>
      </c>
      <c r="C1482" t="s">
        <v>1383</v>
      </c>
      <c r="D1482">
        <v>1</v>
      </c>
      <c r="E1482" t="s">
        <v>974</v>
      </c>
      <c r="F1482" t="s">
        <v>975</v>
      </c>
      <c r="G1482" t="s">
        <v>180</v>
      </c>
      <c r="H1482" s="1" t="s">
        <v>976</v>
      </c>
      <c r="I1482" s="1">
        <v>770</v>
      </c>
      <c r="J1482" s="20">
        <v>2</v>
      </c>
      <c r="K1482" s="1">
        <v>169</v>
      </c>
      <c r="L1482" s="1">
        <v>338</v>
      </c>
      <c r="M1482" s="42" t="s">
        <v>2962</v>
      </c>
      <c r="O1482" s="2" t="s">
        <v>2443</v>
      </c>
      <c r="P1482">
        <v>44</v>
      </c>
      <c r="Q1482" t="s">
        <v>934</v>
      </c>
    </row>
    <row r="1483" spans="1:17" ht="15" customHeight="1" x14ac:dyDescent="0.25">
      <c r="A1483" s="3" t="s">
        <v>1889</v>
      </c>
      <c r="B1483" s="4" t="s">
        <v>2963</v>
      </c>
      <c r="C1483" t="s">
        <v>1383</v>
      </c>
      <c r="D1483">
        <v>1</v>
      </c>
      <c r="E1483" t="s">
        <v>974</v>
      </c>
      <c r="F1483" t="s">
        <v>975</v>
      </c>
      <c r="G1483" t="s">
        <v>180</v>
      </c>
      <c r="H1483" s="1" t="s">
        <v>976</v>
      </c>
      <c r="I1483" s="1">
        <v>770</v>
      </c>
      <c r="J1483" s="20">
        <v>0</v>
      </c>
      <c r="K1483" s="1">
        <v>0</v>
      </c>
      <c r="L1483" s="1">
        <v>0</v>
      </c>
      <c r="M1483" s="42" t="s">
        <v>2962</v>
      </c>
      <c r="O1483" s="2" t="s">
        <v>2443</v>
      </c>
      <c r="Q1483" t="s">
        <v>934</v>
      </c>
    </row>
    <row r="1484" spans="1:17" ht="15" customHeight="1" x14ac:dyDescent="0.25">
      <c r="A1484" s="3" t="s">
        <v>1890</v>
      </c>
      <c r="B1484" s="4" t="s">
        <v>2963</v>
      </c>
      <c r="C1484" t="s">
        <v>1383</v>
      </c>
      <c r="D1484">
        <v>1</v>
      </c>
      <c r="E1484" t="s">
        <v>974</v>
      </c>
      <c r="F1484" t="s">
        <v>975</v>
      </c>
      <c r="G1484" t="s">
        <v>180</v>
      </c>
      <c r="H1484" s="1" t="s">
        <v>976</v>
      </c>
      <c r="I1484" s="1">
        <v>770</v>
      </c>
      <c r="J1484" s="20">
        <v>0</v>
      </c>
      <c r="K1484" s="1">
        <v>169</v>
      </c>
      <c r="L1484" s="1">
        <v>0</v>
      </c>
      <c r="M1484" s="42" t="s">
        <v>2962</v>
      </c>
      <c r="O1484" s="2" t="s">
        <v>2433</v>
      </c>
      <c r="P1484">
        <v>34</v>
      </c>
      <c r="Q1484" t="s">
        <v>935</v>
      </c>
    </row>
    <row r="1485" spans="1:17" ht="15" customHeight="1" x14ac:dyDescent="0.25">
      <c r="A1485" s="3" t="s">
        <v>1891</v>
      </c>
      <c r="B1485" s="4" t="s">
        <v>2963</v>
      </c>
      <c r="C1485" t="s">
        <v>1383</v>
      </c>
      <c r="D1485">
        <v>1</v>
      </c>
      <c r="E1485" t="s">
        <v>974</v>
      </c>
      <c r="F1485" t="s">
        <v>975</v>
      </c>
      <c r="G1485" t="s">
        <v>180</v>
      </c>
      <c r="H1485" s="1" t="s">
        <v>976</v>
      </c>
      <c r="I1485" s="1">
        <v>770</v>
      </c>
      <c r="J1485" s="20">
        <v>2</v>
      </c>
      <c r="K1485" s="1">
        <v>154</v>
      </c>
      <c r="L1485" s="1">
        <v>308</v>
      </c>
      <c r="M1485" s="42" t="s">
        <v>2962</v>
      </c>
      <c r="O1485" s="2" t="s">
        <v>2433</v>
      </c>
      <c r="P1485">
        <v>35</v>
      </c>
      <c r="Q1485" t="s">
        <v>935</v>
      </c>
    </row>
    <row r="1486" spans="1:17" ht="15" customHeight="1" x14ac:dyDescent="0.25">
      <c r="A1486" s="3" t="s">
        <v>1892</v>
      </c>
      <c r="B1486" s="4" t="s">
        <v>2963</v>
      </c>
      <c r="C1486" t="s">
        <v>1383</v>
      </c>
      <c r="D1486">
        <v>1</v>
      </c>
      <c r="E1486" t="s">
        <v>974</v>
      </c>
      <c r="F1486" t="s">
        <v>975</v>
      </c>
      <c r="G1486" t="s">
        <v>180</v>
      </c>
      <c r="H1486" s="1" t="s">
        <v>976</v>
      </c>
      <c r="I1486" s="1">
        <v>770</v>
      </c>
      <c r="J1486" s="20">
        <v>2</v>
      </c>
      <c r="K1486" s="1">
        <v>154</v>
      </c>
      <c r="L1486" s="1">
        <v>308</v>
      </c>
      <c r="M1486" s="42" t="s">
        <v>2962</v>
      </c>
      <c r="O1486" s="2" t="s">
        <v>2433</v>
      </c>
      <c r="P1486">
        <v>36</v>
      </c>
      <c r="Q1486" t="s">
        <v>935</v>
      </c>
    </row>
    <row r="1487" spans="1:17" ht="15" customHeight="1" x14ac:dyDescent="0.25">
      <c r="A1487" s="3" t="s">
        <v>1893</v>
      </c>
      <c r="B1487" s="4" t="s">
        <v>2963</v>
      </c>
      <c r="C1487" t="s">
        <v>1383</v>
      </c>
      <c r="D1487">
        <v>1</v>
      </c>
      <c r="E1487" t="s">
        <v>974</v>
      </c>
      <c r="F1487" t="s">
        <v>975</v>
      </c>
      <c r="G1487" t="s">
        <v>180</v>
      </c>
      <c r="H1487" s="1" t="s">
        <v>976</v>
      </c>
      <c r="I1487" s="1">
        <v>770</v>
      </c>
      <c r="J1487" s="20">
        <v>2</v>
      </c>
      <c r="K1487" s="1">
        <v>169</v>
      </c>
      <c r="L1487" s="1">
        <v>338</v>
      </c>
      <c r="M1487" s="42" t="s">
        <v>2962</v>
      </c>
      <c r="O1487" s="2" t="s">
        <v>2433</v>
      </c>
      <c r="P1487">
        <v>37</v>
      </c>
      <c r="Q1487" t="s">
        <v>935</v>
      </c>
    </row>
    <row r="1488" spans="1:17" ht="15" customHeight="1" x14ac:dyDescent="0.25">
      <c r="A1488" s="41" t="s">
        <v>1893</v>
      </c>
      <c r="B1488" s="3" t="s">
        <v>2963</v>
      </c>
      <c r="C1488" s="41" t="s">
        <v>1383</v>
      </c>
      <c r="D1488">
        <v>3</v>
      </c>
      <c r="E1488" t="s">
        <v>1179</v>
      </c>
      <c r="F1488" t="s">
        <v>1180</v>
      </c>
      <c r="G1488" t="s">
        <v>180</v>
      </c>
      <c r="H1488" s="1" t="s">
        <v>976</v>
      </c>
      <c r="I1488" s="1">
        <v>770</v>
      </c>
      <c r="J1488" s="20">
        <v>0</v>
      </c>
      <c r="K1488" s="1">
        <v>169</v>
      </c>
      <c r="L1488" s="1">
        <v>0</v>
      </c>
      <c r="M1488" s="42" t="s">
        <v>2962</v>
      </c>
      <c r="O1488" s="2" t="s">
        <v>2433</v>
      </c>
      <c r="P1488">
        <v>37</v>
      </c>
      <c r="Q1488" t="s">
        <v>935</v>
      </c>
    </row>
    <row r="1489" spans="1:17" ht="15" customHeight="1" x14ac:dyDescent="0.25">
      <c r="A1489" s="3" t="s">
        <v>1894</v>
      </c>
      <c r="B1489" s="4" t="s">
        <v>2963</v>
      </c>
      <c r="C1489" t="s">
        <v>1383</v>
      </c>
      <c r="D1489">
        <v>1</v>
      </c>
      <c r="E1489" t="s">
        <v>974</v>
      </c>
      <c r="F1489" t="s">
        <v>975</v>
      </c>
      <c r="G1489" t="s">
        <v>180</v>
      </c>
      <c r="H1489" s="1" t="s">
        <v>976</v>
      </c>
      <c r="I1489" s="1">
        <v>770</v>
      </c>
      <c r="J1489" s="20">
        <v>4</v>
      </c>
      <c r="K1489" s="1">
        <v>169</v>
      </c>
      <c r="L1489" s="1">
        <v>676</v>
      </c>
      <c r="M1489" s="42" t="s">
        <v>2962</v>
      </c>
      <c r="O1489" s="2" t="s">
        <v>2433</v>
      </c>
      <c r="P1489">
        <v>38</v>
      </c>
      <c r="Q1489" t="s">
        <v>935</v>
      </c>
    </row>
    <row r="1490" spans="1:17" ht="15" customHeight="1" x14ac:dyDescent="0.25">
      <c r="A1490" s="3" t="s">
        <v>1895</v>
      </c>
      <c r="B1490" s="4" t="s">
        <v>2963</v>
      </c>
      <c r="C1490" t="s">
        <v>1383</v>
      </c>
      <c r="D1490">
        <v>1</v>
      </c>
      <c r="E1490" t="s">
        <v>974</v>
      </c>
      <c r="F1490" t="s">
        <v>975</v>
      </c>
      <c r="G1490" t="s">
        <v>180</v>
      </c>
      <c r="H1490" s="1" t="s">
        <v>976</v>
      </c>
      <c r="I1490" s="1">
        <v>770</v>
      </c>
      <c r="J1490" s="20">
        <v>2</v>
      </c>
      <c r="K1490" s="1">
        <v>154</v>
      </c>
      <c r="L1490" s="1">
        <v>308</v>
      </c>
      <c r="M1490" s="42" t="s">
        <v>2962</v>
      </c>
      <c r="O1490" s="2" t="s">
        <v>2433</v>
      </c>
      <c r="P1490">
        <v>39</v>
      </c>
      <c r="Q1490" t="s">
        <v>935</v>
      </c>
    </row>
    <row r="1491" spans="1:17" ht="15" customHeight="1" x14ac:dyDescent="0.25">
      <c r="A1491" s="3" t="s">
        <v>1896</v>
      </c>
      <c r="B1491" s="4" t="s">
        <v>2963</v>
      </c>
      <c r="C1491" t="s">
        <v>1383</v>
      </c>
      <c r="D1491">
        <v>1</v>
      </c>
      <c r="E1491" t="s">
        <v>974</v>
      </c>
      <c r="F1491" t="s">
        <v>975</v>
      </c>
      <c r="G1491" t="s">
        <v>180</v>
      </c>
      <c r="H1491" s="1" t="s">
        <v>976</v>
      </c>
      <c r="I1491" s="1">
        <v>770</v>
      </c>
      <c r="J1491" s="20">
        <v>3</v>
      </c>
      <c r="K1491" s="1">
        <v>169</v>
      </c>
      <c r="L1491" s="1">
        <v>507</v>
      </c>
      <c r="M1491" s="42" t="s">
        <v>2962</v>
      </c>
      <c r="O1491" s="2" t="s">
        <v>2433</v>
      </c>
      <c r="P1491">
        <v>40</v>
      </c>
      <c r="Q1491" t="s">
        <v>935</v>
      </c>
    </row>
    <row r="1492" spans="1:17" ht="15" customHeight="1" x14ac:dyDescent="0.25">
      <c r="A1492" s="41" t="s">
        <v>1896</v>
      </c>
      <c r="B1492" s="3" t="s">
        <v>2963</v>
      </c>
      <c r="C1492" s="41" t="s">
        <v>1383</v>
      </c>
      <c r="D1492">
        <v>3</v>
      </c>
      <c r="E1492" t="s">
        <v>1179</v>
      </c>
      <c r="F1492" t="s">
        <v>1180</v>
      </c>
      <c r="G1492" t="s">
        <v>180</v>
      </c>
      <c r="H1492" s="1" t="s">
        <v>976</v>
      </c>
      <c r="I1492" s="1">
        <v>770</v>
      </c>
      <c r="J1492" s="20">
        <v>0</v>
      </c>
      <c r="K1492" s="1">
        <v>3</v>
      </c>
      <c r="L1492" s="1">
        <v>0</v>
      </c>
      <c r="M1492" s="42" t="s">
        <v>2962</v>
      </c>
      <c r="O1492" s="2" t="s">
        <v>2433</v>
      </c>
      <c r="P1492">
        <v>40</v>
      </c>
      <c r="Q1492" t="s">
        <v>935</v>
      </c>
    </row>
    <row r="1493" spans="1:17" ht="15" customHeight="1" x14ac:dyDescent="0.25">
      <c r="A1493" s="3" t="s">
        <v>1897</v>
      </c>
      <c r="B1493" s="4" t="s">
        <v>2963</v>
      </c>
      <c r="C1493" t="s">
        <v>1383</v>
      </c>
      <c r="D1493">
        <v>1</v>
      </c>
      <c r="E1493" t="s">
        <v>974</v>
      </c>
      <c r="F1493" t="s">
        <v>975</v>
      </c>
      <c r="G1493" t="s">
        <v>180</v>
      </c>
      <c r="H1493" s="1" t="s">
        <v>976</v>
      </c>
      <c r="I1493" s="1">
        <v>770</v>
      </c>
      <c r="J1493" s="20">
        <v>2</v>
      </c>
      <c r="K1493" s="1">
        <v>169</v>
      </c>
      <c r="L1493" s="1">
        <v>338</v>
      </c>
      <c r="M1493" s="42" t="s">
        <v>2962</v>
      </c>
      <c r="O1493" s="2" t="s">
        <v>2433</v>
      </c>
      <c r="Q1493" t="s">
        <v>935</v>
      </c>
    </row>
    <row r="1494" spans="1:17" ht="15" customHeight="1" x14ac:dyDescent="0.25">
      <c r="A1494" s="3" t="s">
        <v>1898</v>
      </c>
      <c r="B1494" s="4" t="s">
        <v>2963</v>
      </c>
      <c r="C1494" t="s">
        <v>1383</v>
      </c>
      <c r="D1494">
        <v>1</v>
      </c>
      <c r="E1494" t="s">
        <v>974</v>
      </c>
      <c r="F1494" t="s">
        <v>975</v>
      </c>
      <c r="G1494" t="s">
        <v>180</v>
      </c>
      <c r="H1494" s="1" t="s">
        <v>976</v>
      </c>
      <c r="I1494" s="1">
        <v>770</v>
      </c>
      <c r="J1494" s="20">
        <v>2</v>
      </c>
      <c r="K1494" s="1">
        <v>169</v>
      </c>
      <c r="L1494" s="1">
        <v>338</v>
      </c>
      <c r="M1494" s="42" t="s">
        <v>2962</v>
      </c>
      <c r="O1494" s="2" t="s">
        <v>2433</v>
      </c>
      <c r="P1494">
        <v>42</v>
      </c>
      <c r="Q1494" t="s">
        <v>935</v>
      </c>
    </row>
    <row r="1495" spans="1:17" ht="15" customHeight="1" x14ac:dyDescent="0.25">
      <c r="A1495" s="3" t="s">
        <v>1899</v>
      </c>
      <c r="B1495" s="4" t="s">
        <v>2963</v>
      </c>
      <c r="C1495" t="s">
        <v>1383</v>
      </c>
      <c r="D1495">
        <v>1</v>
      </c>
      <c r="E1495" t="s">
        <v>974</v>
      </c>
      <c r="F1495" t="s">
        <v>975</v>
      </c>
      <c r="G1495" t="s">
        <v>180</v>
      </c>
      <c r="H1495" s="1" t="s">
        <v>976</v>
      </c>
      <c r="I1495" s="1">
        <v>770</v>
      </c>
      <c r="J1495" s="20">
        <v>0</v>
      </c>
      <c r="K1495" s="1">
        <v>154</v>
      </c>
      <c r="L1495" s="1">
        <v>0</v>
      </c>
      <c r="M1495" s="42" t="s">
        <v>2962</v>
      </c>
      <c r="O1495" s="2" t="s">
        <v>2433</v>
      </c>
      <c r="Q1495" t="s">
        <v>935</v>
      </c>
    </row>
    <row r="1496" spans="1:17" ht="15" customHeight="1" x14ac:dyDescent="0.25">
      <c r="A1496" s="3" t="s">
        <v>1900</v>
      </c>
      <c r="B1496" s="4" t="s">
        <v>2963</v>
      </c>
      <c r="C1496" t="s">
        <v>1383</v>
      </c>
      <c r="D1496">
        <v>1</v>
      </c>
      <c r="E1496" t="s">
        <v>974</v>
      </c>
      <c r="F1496" t="s">
        <v>975</v>
      </c>
      <c r="G1496" t="s">
        <v>180</v>
      </c>
      <c r="H1496" s="1" t="s">
        <v>976</v>
      </c>
      <c r="I1496" s="1">
        <v>770</v>
      </c>
      <c r="J1496" s="20">
        <v>2</v>
      </c>
      <c r="K1496" s="1">
        <v>169</v>
      </c>
      <c r="L1496" s="1">
        <v>338</v>
      </c>
      <c r="M1496" s="42" t="s">
        <v>2962</v>
      </c>
      <c r="O1496" s="2" t="s">
        <v>2433</v>
      </c>
      <c r="P1496">
        <v>44</v>
      </c>
      <c r="Q1496" t="s">
        <v>935</v>
      </c>
    </row>
    <row r="1497" spans="1:17" ht="15" customHeight="1" x14ac:dyDescent="0.25">
      <c r="A1497" s="3" t="s">
        <v>1901</v>
      </c>
      <c r="B1497" s="4" t="s">
        <v>2965</v>
      </c>
      <c r="C1497" t="s">
        <v>1159</v>
      </c>
      <c r="D1497">
        <v>1</v>
      </c>
      <c r="E1497" t="s">
        <v>974</v>
      </c>
      <c r="F1497" t="s">
        <v>975</v>
      </c>
      <c r="G1497" t="s">
        <v>976</v>
      </c>
      <c r="H1497" s="1" t="s">
        <v>976</v>
      </c>
      <c r="I1497" s="1">
        <v>595</v>
      </c>
      <c r="J1497" s="20">
        <v>1</v>
      </c>
      <c r="K1497" s="1">
        <v>105</v>
      </c>
      <c r="L1497" s="1">
        <v>105</v>
      </c>
      <c r="M1497" s="42" t="s">
        <v>2964</v>
      </c>
      <c r="O1497" s="2" t="s">
        <v>2447</v>
      </c>
      <c r="P1497">
        <v>36</v>
      </c>
      <c r="Q1497" t="s">
        <v>936</v>
      </c>
    </row>
    <row r="1498" spans="1:17" ht="15" customHeight="1" x14ac:dyDescent="0.25">
      <c r="A1498" s="3" t="s">
        <v>1902</v>
      </c>
      <c r="B1498" s="4" t="s">
        <v>2965</v>
      </c>
      <c r="C1498" t="s">
        <v>1159</v>
      </c>
      <c r="D1498">
        <v>1</v>
      </c>
      <c r="E1498" t="s">
        <v>974</v>
      </c>
      <c r="F1498" t="s">
        <v>975</v>
      </c>
      <c r="G1498" t="s">
        <v>976</v>
      </c>
      <c r="H1498" s="1" t="s">
        <v>976</v>
      </c>
      <c r="I1498" s="1">
        <v>595</v>
      </c>
      <c r="J1498" s="20">
        <v>1</v>
      </c>
      <c r="K1498" s="1">
        <v>105</v>
      </c>
      <c r="L1498" s="1">
        <v>105</v>
      </c>
      <c r="M1498" s="42" t="s">
        <v>2964</v>
      </c>
      <c r="O1498" s="2" t="s">
        <v>2447</v>
      </c>
      <c r="P1498">
        <v>38</v>
      </c>
      <c r="Q1498" t="s">
        <v>936</v>
      </c>
    </row>
    <row r="1499" spans="1:17" ht="15" customHeight="1" x14ac:dyDescent="0.25">
      <c r="A1499" s="3" t="s">
        <v>1903</v>
      </c>
      <c r="B1499" s="4" t="s">
        <v>2965</v>
      </c>
      <c r="C1499" t="s">
        <v>1159</v>
      </c>
      <c r="D1499">
        <v>1</v>
      </c>
      <c r="E1499" t="s">
        <v>974</v>
      </c>
      <c r="F1499" t="s">
        <v>975</v>
      </c>
      <c r="G1499" t="s">
        <v>976</v>
      </c>
      <c r="H1499" s="1" t="s">
        <v>976</v>
      </c>
      <c r="I1499" s="1">
        <v>595</v>
      </c>
      <c r="J1499" s="20">
        <v>10</v>
      </c>
      <c r="K1499" s="1">
        <v>105</v>
      </c>
      <c r="L1499" s="1">
        <v>1050</v>
      </c>
      <c r="M1499" s="42" t="s">
        <v>2964</v>
      </c>
      <c r="O1499" s="2" t="s">
        <v>2447</v>
      </c>
      <c r="P1499">
        <v>40</v>
      </c>
      <c r="Q1499" t="s">
        <v>936</v>
      </c>
    </row>
    <row r="1500" spans="1:17" ht="15" customHeight="1" x14ac:dyDescent="0.25">
      <c r="A1500" s="3" t="s">
        <v>1904</v>
      </c>
      <c r="B1500" s="4" t="s">
        <v>2965</v>
      </c>
      <c r="C1500" t="s">
        <v>1159</v>
      </c>
      <c r="D1500">
        <v>1</v>
      </c>
      <c r="E1500" t="s">
        <v>974</v>
      </c>
      <c r="F1500" t="s">
        <v>975</v>
      </c>
      <c r="G1500" t="s">
        <v>976</v>
      </c>
      <c r="H1500" s="1" t="s">
        <v>976</v>
      </c>
      <c r="I1500" s="1">
        <v>595</v>
      </c>
      <c r="J1500" s="20">
        <v>2</v>
      </c>
      <c r="K1500" s="1">
        <v>105</v>
      </c>
      <c r="L1500" s="1">
        <v>210</v>
      </c>
      <c r="M1500" s="42" t="s">
        <v>2964</v>
      </c>
      <c r="O1500" s="2" t="s">
        <v>2447</v>
      </c>
      <c r="P1500">
        <v>42</v>
      </c>
      <c r="Q1500" t="s">
        <v>936</v>
      </c>
    </row>
    <row r="1501" spans="1:17" ht="15" customHeight="1" x14ac:dyDescent="0.25">
      <c r="A1501" s="3" t="s">
        <v>1905</v>
      </c>
      <c r="B1501" s="4" t="s">
        <v>2965</v>
      </c>
      <c r="C1501" t="s">
        <v>1159</v>
      </c>
      <c r="D1501">
        <v>1</v>
      </c>
      <c r="E1501" t="s">
        <v>974</v>
      </c>
      <c r="F1501" t="s">
        <v>975</v>
      </c>
      <c r="G1501" t="s">
        <v>976</v>
      </c>
      <c r="H1501" s="1" t="s">
        <v>976</v>
      </c>
      <c r="I1501" s="1">
        <v>595</v>
      </c>
      <c r="J1501" s="20">
        <v>0</v>
      </c>
      <c r="K1501" s="1">
        <v>105</v>
      </c>
      <c r="L1501" s="1">
        <v>0</v>
      </c>
      <c r="M1501" s="42" t="s">
        <v>2964</v>
      </c>
      <c r="O1501" s="2" t="s">
        <v>2447</v>
      </c>
      <c r="P1501">
        <v>44</v>
      </c>
      <c r="Q1501" t="s">
        <v>936</v>
      </c>
    </row>
    <row r="1502" spans="1:17" ht="15" customHeight="1" x14ac:dyDescent="0.25">
      <c r="A1502" s="3" t="s">
        <v>1906</v>
      </c>
      <c r="B1502" s="4" t="s">
        <v>2965</v>
      </c>
      <c r="C1502" t="s">
        <v>1159</v>
      </c>
      <c r="D1502">
        <v>1</v>
      </c>
      <c r="E1502" t="s">
        <v>974</v>
      </c>
      <c r="F1502" t="s">
        <v>975</v>
      </c>
      <c r="G1502" t="s">
        <v>976</v>
      </c>
      <c r="H1502" s="1" t="s">
        <v>976</v>
      </c>
      <c r="I1502" s="1">
        <v>595</v>
      </c>
      <c r="J1502" s="20">
        <v>1</v>
      </c>
      <c r="K1502" s="1">
        <v>105</v>
      </c>
      <c r="L1502" s="1">
        <v>105</v>
      </c>
      <c r="M1502" s="42" t="s">
        <v>2964</v>
      </c>
      <c r="O1502" s="2" t="s">
        <v>2447</v>
      </c>
      <c r="P1502">
        <v>46</v>
      </c>
      <c r="Q1502" t="s">
        <v>936</v>
      </c>
    </row>
    <row r="1503" spans="1:17" ht="15" customHeight="1" x14ac:dyDescent="0.25">
      <c r="A1503" s="3" t="s">
        <v>1907</v>
      </c>
      <c r="B1503" s="4" t="s">
        <v>433</v>
      </c>
      <c r="C1503" t="s">
        <v>1159</v>
      </c>
      <c r="D1503">
        <v>1</v>
      </c>
      <c r="E1503" t="s">
        <v>974</v>
      </c>
      <c r="F1503" t="s">
        <v>975</v>
      </c>
      <c r="G1503" t="s">
        <v>976</v>
      </c>
      <c r="H1503" s="1" t="s">
        <v>976</v>
      </c>
      <c r="I1503" s="1">
        <v>595</v>
      </c>
      <c r="J1503" s="20">
        <v>1</v>
      </c>
      <c r="K1503" s="1">
        <v>105</v>
      </c>
      <c r="L1503" s="1">
        <v>105</v>
      </c>
      <c r="M1503" s="42" t="s">
        <v>2964</v>
      </c>
      <c r="P1503">
        <v>36</v>
      </c>
      <c r="Q1503" t="s">
        <v>433</v>
      </c>
    </row>
    <row r="1504" spans="1:17" ht="15" customHeight="1" x14ac:dyDescent="0.25">
      <c r="A1504" s="3" t="s">
        <v>1908</v>
      </c>
      <c r="B1504" s="4" t="s">
        <v>434</v>
      </c>
      <c r="C1504" t="s">
        <v>1159</v>
      </c>
      <c r="D1504">
        <v>1</v>
      </c>
      <c r="E1504" t="s">
        <v>974</v>
      </c>
      <c r="F1504" t="s">
        <v>975</v>
      </c>
      <c r="G1504" t="s">
        <v>976</v>
      </c>
      <c r="H1504" s="1" t="s">
        <v>976</v>
      </c>
      <c r="I1504" s="1">
        <v>595</v>
      </c>
      <c r="J1504" s="20">
        <v>0</v>
      </c>
      <c r="K1504" s="1">
        <v>105</v>
      </c>
      <c r="L1504" s="1">
        <v>0</v>
      </c>
      <c r="M1504" s="42" t="s">
        <v>2964</v>
      </c>
      <c r="P1504">
        <v>38</v>
      </c>
      <c r="Q1504" t="s">
        <v>434</v>
      </c>
    </row>
    <row r="1505" spans="1:17" ht="15" customHeight="1" x14ac:dyDescent="0.25">
      <c r="A1505" s="41" t="s">
        <v>1908</v>
      </c>
      <c r="B1505" s="3" t="s">
        <v>434</v>
      </c>
      <c r="C1505" s="41" t="s">
        <v>1159</v>
      </c>
      <c r="D1505">
        <v>4</v>
      </c>
      <c r="E1505" t="s">
        <v>1018</v>
      </c>
      <c r="F1505" t="s">
        <v>975</v>
      </c>
      <c r="G1505" t="s">
        <v>976</v>
      </c>
      <c r="H1505" s="1" t="s">
        <v>976</v>
      </c>
      <c r="I1505" s="1">
        <v>595</v>
      </c>
      <c r="J1505" s="20">
        <v>0</v>
      </c>
      <c r="K1505" s="1">
        <v>0</v>
      </c>
      <c r="L1505" s="1">
        <v>0</v>
      </c>
      <c r="M1505" s="42" t="s">
        <v>2964</v>
      </c>
      <c r="P1505">
        <v>38</v>
      </c>
      <c r="Q1505" t="s">
        <v>434</v>
      </c>
    </row>
    <row r="1506" spans="1:17" ht="15" customHeight="1" x14ac:dyDescent="0.25">
      <c r="A1506" s="3" t="s">
        <v>1909</v>
      </c>
      <c r="B1506" s="4" t="s">
        <v>435</v>
      </c>
      <c r="C1506" t="s">
        <v>1159</v>
      </c>
      <c r="D1506">
        <v>1</v>
      </c>
      <c r="E1506" t="s">
        <v>974</v>
      </c>
      <c r="F1506" t="s">
        <v>975</v>
      </c>
      <c r="G1506" t="s">
        <v>976</v>
      </c>
      <c r="H1506" s="1" t="s">
        <v>976</v>
      </c>
      <c r="I1506" s="1">
        <v>595</v>
      </c>
      <c r="J1506" s="20">
        <v>5</v>
      </c>
      <c r="K1506" s="1">
        <v>93.333332999999996</v>
      </c>
      <c r="L1506" s="1">
        <v>466.67</v>
      </c>
      <c r="M1506" s="42" t="s">
        <v>2964</v>
      </c>
      <c r="P1506">
        <v>40</v>
      </c>
      <c r="Q1506" t="s">
        <v>435</v>
      </c>
    </row>
    <row r="1507" spans="1:17" ht="15" customHeight="1" x14ac:dyDescent="0.25">
      <c r="A1507" s="3" t="s">
        <v>1910</v>
      </c>
      <c r="B1507" s="4" t="s">
        <v>436</v>
      </c>
      <c r="C1507" t="s">
        <v>1159</v>
      </c>
      <c r="D1507">
        <v>1</v>
      </c>
      <c r="E1507" t="s">
        <v>974</v>
      </c>
      <c r="F1507" t="s">
        <v>975</v>
      </c>
      <c r="G1507" t="s">
        <v>976</v>
      </c>
      <c r="H1507" s="1" t="s">
        <v>976</v>
      </c>
      <c r="I1507" s="1">
        <v>595</v>
      </c>
      <c r="J1507" s="20">
        <v>1</v>
      </c>
      <c r="K1507" s="1">
        <v>105</v>
      </c>
      <c r="L1507" s="1">
        <v>105</v>
      </c>
      <c r="M1507" s="42" t="s">
        <v>2964</v>
      </c>
      <c r="P1507">
        <v>42</v>
      </c>
      <c r="Q1507" t="s">
        <v>436</v>
      </c>
    </row>
    <row r="1508" spans="1:17" ht="15" customHeight="1" x14ac:dyDescent="0.25">
      <c r="A1508" s="3" t="s">
        <v>1911</v>
      </c>
      <c r="B1508" s="4" t="s">
        <v>437</v>
      </c>
      <c r="C1508" t="s">
        <v>1159</v>
      </c>
      <c r="D1508">
        <v>1</v>
      </c>
      <c r="E1508" t="s">
        <v>974</v>
      </c>
      <c r="F1508" t="s">
        <v>975</v>
      </c>
      <c r="G1508" t="s">
        <v>976</v>
      </c>
      <c r="H1508" s="1" t="s">
        <v>976</v>
      </c>
      <c r="I1508" s="1">
        <v>595</v>
      </c>
      <c r="J1508" s="20">
        <v>0</v>
      </c>
      <c r="K1508" s="1">
        <v>105</v>
      </c>
      <c r="L1508" s="1">
        <v>0</v>
      </c>
      <c r="M1508" s="42" t="s">
        <v>2964</v>
      </c>
      <c r="P1508">
        <v>44</v>
      </c>
      <c r="Q1508" t="s">
        <v>437</v>
      </c>
    </row>
    <row r="1509" spans="1:17" ht="15" customHeight="1" x14ac:dyDescent="0.25">
      <c r="A1509" s="3" t="s">
        <v>1912</v>
      </c>
      <c r="B1509" s="4" t="s">
        <v>438</v>
      </c>
      <c r="C1509" t="s">
        <v>1159</v>
      </c>
      <c r="D1509">
        <v>1</v>
      </c>
      <c r="E1509" t="s">
        <v>974</v>
      </c>
      <c r="F1509" t="s">
        <v>975</v>
      </c>
      <c r="G1509" t="s">
        <v>976</v>
      </c>
      <c r="H1509" s="1" t="s">
        <v>976</v>
      </c>
      <c r="I1509" s="1">
        <v>595</v>
      </c>
      <c r="J1509" s="20">
        <v>0</v>
      </c>
      <c r="K1509" s="1">
        <v>105</v>
      </c>
      <c r="L1509" s="1">
        <v>0</v>
      </c>
      <c r="M1509" s="42" t="s">
        <v>2964</v>
      </c>
      <c r="P1509">
        <v>46</v>
      </c>
      <c r="Q1509" t="s">
        <v>438</v>
      </c>
    </row>
    <row r="1510" spans="1:17" ht="15" customHeight="1" x14ac:dyDescent="0.25">
      <c r="A1510" s="3" t="s">
        <v>1913</v>
      </c>
      <c r="B1510" s="4" t="s">
        <v>2965</v>
      </c>
      <c r="C1510" t="s">
        <v>1159</v>
      </c>
      <c r="D1510">
        <v>1</v>
      </c>
      <c r="E1510" t="s">
        <v>974</v>
      </c>
      <c r="F1510" t="s">
        <v>975</v>
      </c>
      <c r="G1510" t="s">
        <v>976</v>
      </c>
      <c r="H1510" s="1" t="s">
        <v>976</v>
      </c>
      <c r="I1510" s="1">
        <v>595</v>
      </c>
      <c r="J1510" s="20">
        <v>0</v>
      </c>
      <c r="K1510" s="1">
        <v>105</v>
      </c>
      <c r="L1510" s="1">
        <v>0</v>
      </c>
      <c r="M1510" s="42" t="s">
        <v>2964</v>
      </c>
      <c r="O1510" s="2" t="s">
        <v>2482</v>
      </c>
      <c r="P1510">
        <v>36</v>
      </c>
      <c r="Q1510" t="s">
        <v>937</v>
      </c>
    </row>
    <row r="1511" spans="1:17" ht="15" customHeight="1" x14ac:dyDescent="0.25">
      <c r="A1511" s="3" t="s">
        <v>1914</v>
      </c>
      <c r="B1511" s="4" t="s">
        <v>2965</v>
      </c>
      <c r="C1511" t="s">
        <v>1159</v>
      </c>
      <c r="D1511">
        <v>1</v>
      </c>
      <c r="E1511" t="s">
        <v>974</v>
      </c>
      <c r="F1511" t="s">
        <v>975</v>
      </c>
      <c r="G1511" t="s">
        <v>976</v>
      </c>
      <c r="H1511" s="1" t="s">
        <v>976</v>
      </c>
      <c r="I1511" s="1">
        <v>595</v>
      </c>
      <c r="J1511" s="20">
        <v>2</v>
      </c>
      <c r="K1511" s="1">
        <v>105</v>
      </c>
      <c r="L1511" s="1">
        <v>210</v>
      </c>
      <c r="M1511" s="42" t="s">
        <v>2964</v>
      </c>
      <c r="O1511" s="2" t="s">
        <v>2482</v>
      </c>
      <c r="P1511">
        <v>38</v>
      </c>
      <c r="Q1511" t="s">
        <v>937</v>
      </c>
    </row>
    <row r="1512" spans="1:17" ht="15" customHeight="1" x14ac:dyDescent="0.25">
      <c r="A1512" s="3" t="s">
        <v>1915</v>
      </c>
      <c r="B1512" s="4" t="s">
        <v>2965</v>
      </c>
      <c r="C1512" t="s">
        <v>1159</v>
      </c>
      <c r="D1512">
        <v>1</v>
      </c>
      <c r="E1512" t="s">
        <v>974</v>
      </c>
      <c r="F1512" t="s">
        <v>975</v>
      </c>
      <c r="G1512" t="s">
        <v>976</v>
      </c>
      <c r="H1512" s="1" t="s">
        <v>976</v>
      </c>
      <c r="I1512" s="1">
        <v>595</v>
      </c>
      <c r="J1512" s="20">
        <v>9</v>
      </c>
      <c r="K1512" s="1">
        <v>105</v>
      </c>
      <c r="L1512" s="1">
        <v>945</v>
      </c>
      <c r="M1512" s="42" t="s">
        <v>2964</v>
      </c>
      <c r="O1512" s="2" t="s">
        <v>2482</v>
      </c>
      <c r="P1512">
        <v>40</v>
      </c>
      <c r="Q1512" t="s">
        <v>937</v>
      </c>
    </row>
    <row r="1513" spans="1:17" ht="15" customHeight="1" x14ac:dyDescent="0.25">
      <c r="A1513" s="3" t="s">
        <v>1916</v>
      </c>
      <c r="B1513" s="4" t="s">
        <v>2965</v>
      </c>
      <c r="C1513" t="s">
        <v>1159</v>
      </c>
      <c r="D1513">
        <v>1</v>
      </c>
      <c r="E1513" t="s">
        <v>974</v>
      </c>
      <c r="F1513" t="s">
        <v>975</v>
      </c>
      <c r="G1513" t="s">
        <v>976</v>
      </c>
      <c r="H1513" s="1" t="s">
        <v>976</v>
      </c>
      <c r="I1513" s="1">
        <v>595</v>
      </c>
      <c r="J1513" s="20">
        <v>0</v>
      </c>
      <c r="K1513" s="1">
        <v>105</v>
      </c>
      <c r="L1513" s="1">
        <v>0</v>
      </c>
      <c r="M1513" s="42" t="s">
        <v>2964</v>
      </c>
      <c r="O1513" s="2" t="s">
        <v>2482</v>
      </c>
      <c r="P1513">
        <v>42</v>
      </c>
      <c r="Q1513" t="s">
        <v>937</v>
      </c>
    </row>
    <row r="1514" spans="1:17" ht="15" customHeight="1" x14ac:dyDescent="0.25">
      <c r="A1514" s="3" t="s">
        <v>1917</v>
      </c>
      <c r="B1514" s="4" t="s">
        <v>2965</v>
      </c>
      <c r="C1514" t="s">
        <v>1159</v>
      </c>
      <c r="D1514">
        <v>1</v>
      </c>
      <c r="E1514" t="s">
        <v>974</v>
      </c>
      <c r="F1514" t="s">
        <v>975</v>
      </c>
      <c r="G1514" t="s">
        <v>976</v>
      </c>
      <c r="H1514" s="1" t="s">
        <v>976</v>
      </c>
      <c r="I1514" s="1">
        <v>595</v>
      </c>
      <c r="J1514" s="20">
        <v>1</v>
      </c>
      <c r="K1514" s="1">
        <v>105</v>
      </c>
      <c r="L1514" s="1">
        <v>105</v>
      </c>
      <c r="M1514" s="42" t="s">
        <v>2964</v>
      </c>
      <c r="O1514" s="2" t="s">
        <v>2482</v>
      </c>
      <c r="P1514">
        <v>44</v>
      </c>
      <c r="Q1514" t="s">
        <v>937</v>
      </c>
    </row>
    <row r="1515" spans="1:17" ht="15" customHeight="1" x14ac:dyDescent="0.25">
      <c r="A1515" s="3" t="s">
        <v>1918</v>
      </c>
      <c r="B1515" s="4" t="s">
        <v>2965</v>
      </c>
      <c r="C1515" t="s">
        <v>1159</v>
      </c>
      <c r="D1515">
        <v>1</v>
      </c>
      <c r="E1515" t="s">
        <v>974</v>
      </c>
      <c r="F1515" t="s">
        <v>975</v>
      </c>
      <c r="G1515" t="s">
        <v>976</v>
      </c>
      <c r="H1515" s="1" t="s">
        <v>976</v>
      </c>
      <c r="I1515" s="1">
        <v>595</v>
      </c>
      <c r="J1515" s="20">
        <v>0</v>
      </c>
      <c r="K1515" s="1">
        <v>0</v>
      </c>
      <c r="L1515" s="1">
        <v>0</v>
      </c>
      <c r="M1515" s="42" t="s">
        <v>2964</v>
      </c>
      <c r="O1515" s="2" t="s">
        <v>2482</v>
      </c>
      <c r="P1515">
        <v>46</v>
      </c>
      <c r="Q1515" t="s">
        <v>937</v>
      </c>
    </row>
    <row r="1516" spans="1:17" ht="15" customHeight="1" x14ac:dyDescent="0.25">
      <c r="A1516" s="3" t="s">
        <v>1919</v>
      </c>
      <c r="B1516" s="4" t="s">
        <v>439</v>
      </c>
      <c r="C1516" t="s">
        <v>1159</v>
      </c>
      <c r="D1516">
        <v>1</v>
      </c>
      <c r="E1516" t="s">
        <v>974</v>
      </c>
      <c r="F1516" t="s">
        <v>975</v>
      </c>
      <c r="G1516" t="s">
        <v>976</v>
      </c>
      <c r="H1516" s="1" t="s">
        <v>976</v>
      </c>
      <c r="I1516" s="1">
        <v>690</v>
      </c>
      <c r="J1516" s="20">
        <v>1</v>
      </c>
      <c r="K1516" s="1">
        <v>123</v>
      </c>
      <c r="L1516" s="1">
        <v>123</v>
      </c>
      <c r="M1516" s="42" t="s">
        <v>2964</v>
      </c>
      <c r="P1516">
        <v>36</v>
      </c>
      <c r="Q1516" t="s">
        <v>439</v>
      </c>
    </row>
    <row r="1517" spans="1:17" ht="15" customHeight="1" x14ac:dyDescent="0.25">
      <c r="A1517" s="3" t="s">
        <v>1920</v>
      </c>
      <c r="B1517" s="4" t="s">
        <v>440</v>
      </c>
      <c r="C1517" t="s">
        <v>1159</v>
      </c>
      <c r="D1517">
        <v>1</v>
      </c>
      <c r="E1517" t="s">
        <v>974</v>
      </c>
      <c r="F1517" t="s">
        <v>975</v>
      </c>
      <c r="G1517" t="s">
        <v>976</v>
      </c>
      <c r="H1517" s="1" t="s">
        <v>976</v>
      </c>
      <c r="I1517" s="1">
        <v>690</v>
      </c>
      <c r="J1517" s="20">
        <v>7</v>
      </c>
      <c r="K1517" s="1">
        <v>123</v>
      </c>
      <c r="L1517" s="1">
        <v>861</v>
      </c>
      <c r="M1517" s="42" t="s">
        <v>2964</v>
      </c>
      <c r="P1517">
        <v>38</v>
      </c>
      <c r="Q1517" t="s">
        <v>440</v>
      </c>
    </row>
    <row r="1518" spans="1:17" ht="15" customHeight="1" x14ac:dyDescent="0.25">
      <c r="A1518" s="3" t="s">
        <v>1921</v>
      </c>
      <c r="B1518" s="4" t="s">
        <v>441</v>
      </c>
      <c r="C1518" t="s">
        <v>1159</v>
      </c>
      <c r="D1518">
        <v>1</v>
      </c>
      <c r="E1518" t="s">
        <v>974</v>
      </c>
      <c r="F1518" t="s">
        <v>975</v>
      </c>
      <c r="G1518" t="s">
        <v>976</v>
      </c>
      <c r="H1518" s="1" t="s">
        <v>976</v>
      </c>
      <c r="I1518" s="1">
        <v>690</v>
      </c>
      <c r="J1518" s="20">
        <v>20</v>
      </c>
      <c r="K1518" s="1">
        <v>123</v>
      </c>
      <c r="L1518" s="1">
        <v>2460</v>
      </c>
      <c r="M1518" s="42" t="s">
        <v>2964</v>
      </c>
      <c r="P1518">
        <v>40</v>
      </c>
      <c r="Q1518" t="s">
        <v>441</v>
      </c>
    </row>
    <row r="1519" spans="1:17" ht="15" customHeight="1" x14ac:dyDescent="0.25">
      <c r="A1519" s="3" t="s">
        <v>1922</v>
      </c>
      <c r="B1519" s="4" t="s">
        <v>442</v>
      </c>
      <c r="C1519" t="s">
        <v>1159</v>
      </c>
      <c r="D1519">
        <v>1</v>
      </c>
      <c r="E1519" t="s">
        <v>974</v>
      </c>
      <c r="F1519" t="s">
        <v>975</v>
      </c>
      <c r="G1519" t="s">
        <v>976</v>
      </c>
      <c r="H1519" s="1" t="s">
        <v>976</v>
      </c>
      <c r="I1519" s="1">
        <v>690</v>
      </c>
      <c r="J1519" s="20">
        <v>7</v>
      </c>
      <c r="K1519" s="1">
        <v>123</v>
      </c>
      <c r="L1519" s="1">
        <v>861</v>
      </c>
      <c r="M1519" s="42" t="s">
        <v>2964</v>
      </c>
      <c r="P1519">
        <v>42</v>
      </c>
      <c r="Q1519" t="s">
        <v>442</v>
      </c>
    </row>
    <row r="1520" spans="1:17" ht="15" customHeight="1" x14ac:dyDescent="0.25">
      <c r="A1520" s="3" t="s">
        <v>1923</v>
      </c>
      <c r="B1520" s="4" t="s">
        <v>443</v>
      </c>
      <c r="C1520" t="s">
        <v>1159</v>
      </c>
      <c r="D1520">
        <v>1</v>
      </c>
      <c r="E1520" t="s">
        <v>974</v>
      </c>
      <c r="F1520" t="s">
        <v>975</v>
      </c>
      <c r="G1520" t="s">
        <v>976</v>
      </c>
      <c r="H1520" s="1" t="s">
        <v>976</v>
      </c>
      <c r="I1520" s="1">
        <v>690</v>
      </c>
      <c r="J1520" s="20">
        <v>3</v>
      </c>
      <c r="K1520" s="1">
        <v>123</v>
      </c>
      <c r="L1520" s="1">
        <v>369</v>
      </c>
      <c r="M1520" s="42" t="s">
        <v>2964</v>
      </c>
      <c r="P1520">
        <v>44</v>
      </c>
      <c r="Q1520" t="s">
        <v>443</v>
      </c>
    </row>
    <row r="1521" spans="1:17" ht="15" customHeight="1" x14ac:dyDescent="0.25">
      <c r="A1521" s="3" t="s">
        <v>1924</v>
      </c>
      <c r="B1521" s="4" t="s">
        <v>444</v>
      </c>
      <c r="C1521" t="s">
        <v>1159</v>
      </c>
      <c r="D1521">
        <v>1</v>
      </c>
      <c r="E1521" t="s">
        <v>974</v>
      </c>
      <c r="F1521" t="s">
        <v>975</v>
      </c>
      <c r="G1521" t="s">
        <v>976</v>
      </c>
      <c r="H1521" s="1" t="s">
        <v>976</v>
      </c>
      <c r="I1521" s="1">
        <v>690</v>
      </c>
      <c r="J1521" s="20">
        <v>0</v>
      </c>
      <c r="K1521" s="1">
        <v>0</v>
      </c>
      <c r="L1521" s="1">
        <v>0</v>
      </c>
      <c r="M1521" s="42" t="s">
        <v>2964</v>
      </c>
      <c r="P1521">
        <v>46</v>
      </c>
      <c r="Q1521" t="s">
        <v>444</v>
      </c>
    </row>
    <row r="1522" spans="1:17" ht="15" customHeight="1" x14ac:dyDescent="0.25">
      <c r="A1522" s="3" t="s">
        <v>1925</v>
      </c>
      <c r="B1522" s="4" t="s">
        <v>445</v>
      </c>
      <c r="C1522" t="s">
        <v>1159</v>
      </c>
      <c r="D1522">
        <v>1</v>
      </c>
      <c r="E1522" t="s">
        <v>974</v>
      </c>
      <c r="F1522" t="s">
        <v>975</v>
      </c>
      <c r="G1522" t="s">
        <v>976</v>
      </c>
      <c r="H1522" s="1" t="s">
        <v>976</v>
      </c>
      <c r="I1522" s="1">
        <v>690</v>
      </c>
      <c r="J1522" s="20">
        <v>3</v>
      </c>
      <c r="K1522" s="1">
        <v>105</v>
      </c>
      <c r="L1522" s="1">
        <v>315</v>
      </c>
      <c r="M1522" s="42" t="s">
        <v>2964</v>
      </c>
      <c r="P1522">
        <v>36</v>
      </c>
      <c r="Q1522" t="s">
        <v>445</v>
      </c>
    </row>
    <row r="1523" spans="1:17" ht="15" customHeight="1" x14ac:dyDescent="0.25">
      <c r="A1523" s="3" t="s">
        <v>1926</v>
      </c>
      <c r="B1523" s="4" t="s">
        <v>446</v>
      </c>
      <c r="C1523" t="s">
        <v>1159</v>
      </c>
      <c r="D1523">
        <v>1</v>
      </c>
      <c r="E1523" t="s">
        <v>974</v>
      </c>
      <c r="F1523" t="s">
        <v>975</v>
      </c>
      <c r="G1523" t="s">
        <v>976</v>
      </c>
      <c r="H1523" s="1" t="s">
        <v>976</v>
      </c>
      <c r="I1523" s="1">
        <v>690</v>
      </c>
      <c r="J1523" s="20">
        <v>10</v>
      </c>
      <c r="K1523" s="1">
        <v>105</v>
      </c>
      <c r="L1523" s="1">
        <v>1050</v>
      </c>
      <c r="M1523" s="42" t="s">
        <v>2964</v>
      </c>
      <c r="P1523">
        <v>38</v>
      </c>
      <c r="Q1523" t="s">
        <v>446</v>
      </c>
    </row>
    <row r="1524" spans="1:17" ht="15" customHeight="1" x14ac:dyDescent="0.25">
      <c r="A1524" s="3" t="s">
        <v>1927</v>
      </c>
      <c r="B1524" s="4" t="s">
        <v>447</v>
      </c>
      <c r="C1524" t="s">
        <v>1159</v>
      </c>
      <c r="D1524">
        <v>1</v>
      </c>
      <c r="E1524" t="s">
        <v>974</v>
      </c>
      <c r="F1524" t="s">
        <v>975</v>
      </c>
      <c r="G1524" t="s">
        <v>976</v>
      </c>
      <c r="H1524" s="1" t="s">
        <v>976</v>
      </c>
      <c r="I1524" s="1">
        <v>690</v>
      </c>
      <c r="J1524" s="20">
        <v>18</v>
      </c>
      <c r="K1524" s="1">
        <v>105</v>
      </c>
      <c r="L1524" s="1">
        <v>1890</v>
      </c>
      <c r="M1524" s="42" t="s">
        <v>2964</v>
      </c>
      <c r="P1524">
        <v>40</v>
      </c>
      <c r="Q1524" t="s">
        <v>447</v>
      </c>
    </row>
    <row r="1525" spans="1:17" ht="15" customHeight="1" x14ac:dyDescent="0.25">
      <c r="A1525" s="3" t="s">
        <v>1928</v>
      </c>
      <c r="B1525" s="4" t="s">
        <v>448</v>
      </c>
      <c r="C1525" t="s">
        <v>1159</v>
      </c>
      <c r="D1525">
        <v>1</v>
      </c>
      <c r="E1525" t="s">
        <v>974</v>
      </c>
      <c r="F1525" t="s">
        <v>975</v>
      </c>
      <c r="G1525" t="s">
        <v>976</v>
      </c>
      <c r="H1525" s="1" t="s">
        <v>976</v>
      </c>
      <c r="I1525" s="1">
        <v>690</v>
      </c>
      <c r="J1525" s="20">
        <v>6</v>
      </c>
      <c r="K1525" s="1">
        <v>105</v>
      </c>
      <c r="L1525" s="1">
        <v>630</v>
      </c>
      <c r="M1525" s="42" t="s">
        <v>2964</v>
      </c>
      <c r="P1525">
        <v>42</v>
      </c>
      <c r="Q1525" t="s">
        <v>448</v>
      </c>
    </row>
    <row r="1526" spans="1:17" ht="15" customHeight="1" x14ac:dyDescent="0.25">
      <c r="A1526" s="3" t="s">
        <v>1929</v>
      </c>
      <c r="B1526" s="4" t="s">
        <v>449</v>
      </c>
      <c r="C1526" t="s">
        <v>1159</v>
      </c>
      <c r="D1526">
        <v>1</v>
      </c>
      <c r="E1526" t="s">
        <v>974</v>
      </c>
      <c r="F1526" t="s">
        <v>975</v>
      </c>
      <c r="G1526" t="s">
        <v>976</v>
      </c>
      <c r="H1526" s="1" t="s">
        <v>976</v>
      </c>
      <c r="I1526" s="1">
        <v>690</v>
      </c>
      <c r="J1526" s="20">
        <v>3</v>
      </c>
      <c r="K1526" s="1">
        <v>105</v>
      </c>
      <c r="L1526" s="1">
        <v>315</v>
      </c>
      <c r="M1526" s="42" t="s">
        <v>2964</v>
      </c>
      <c r="P1526">
        <v>44</v>
      </c>
      <c r="Q1526" t="s">
        <v>449</v>
      </c>
    </row>
    <row r="1527" spans="1:17" ht="15" customHeight="1" x14ac:dyDescent="0.25">
      <c r="A1527" s="3" t="s">
        <v>1930</v>
      </c>
      <c r="B1527" s="4" t="s">
        <v>450</v>
      </c>
      <c r="C1527" t="s">
        <v>1159</v>
      </c>
      <c r="D1527">
        <v>1</v>
      </c>
      <c r="E1527" t="s">
        <v>974</v>
      </c>
      <c r="F1527" t="s">
        <v>975</v>
      </c>
      <c r="G1527" t="s">
        <v>976</v>
      </c>
      <c r="H1527" s="1" t="s">
        <v>976</v>
      </c>
      <c r="I1527" s="1">
        <v>690</v>
      </c>
      <c r="J1527" s="20">
        <v>0</v>
      </c>
      <c r="K1527" s="1">
        <v>0</v>
      </c>
      <c r="L1527" s="1">
        <v>0</v>
      </c>
      <c r="M1527" s="42" t="s">
        <v>2964</v>
      </c>
      <c r="P1527">
        <v>46</v>
      </c>
      <c r="Q1527" t="s">
        <v>450</v>
      </c>
    </row>
    <row r="1528" spans="1:17" ht="15" customHeight="1" x14ac:dyDescent="0.25">
      <c r="A1528" s="3" t="s">
        <v>1931</v>
      </c>
      <c r="B1528" s="4" t="s">
        <v>2966</v>
      </c>
      <c r="C1528" t="s">
        <v>1159</v>
      </c>
      <c r="D1528">
        <v>1</v>
      </c>
      <c r="E1528" t="s">
        <v>974</v>
      </c>
      <c r="F1528" t="s">
        <v>975</v>
      </c>
      <c r="G1528" t="s">
        <v>976</v>
      </c>
      <c r="H1528" s="1" t="s">
        <v>976</v>
      </c>
      <c r="I1528" s="1">
        <v>960</v>
      </c>
      <c r="J1528" s="20">
        <v>0</v>
      </c>
      <c r="K1528" s="1">
        <v>236</v>
      </c>
      <c r="L1528" s="1">
        <v>0</v>
      </c>
      <c r="M1528" s="42" t="s">
        <v>2964</v>
      </c>
      <c r="O1528" s="2" t="s">
        <v>2447</v>
      </c>
      <c r="Q1528" t="s">
        <v>938</v>
      </c>
    </row>
    <row r="1529" spans="1:17" ht="15" customHeight="1" x14ac:dyDescent="0.25">
      <c r="A1529" s="3" t="s">
        <v>1932</v>
      </c>
      <c r="B1529" s="4" t="s">
        <v>2966</v>
      </c>
      <c r="C1529" t="s">
        <v>1159</v>
      </c>
      <c r="D1529">
        <v>1</v>
      </c>
      <c r="E1529" t="s">
        <v>974</v>
      </c>
      <c r="F1529" t="s">
        <v>975</v>
      </c>
      <c r="G1529" t="s">
        <v>976</v>
      </c>
      <c r="H1529" s="1" t="s">
        <v>976</v>
      </c>
      <c r="I1529" s="1">
        <v>960</v>
      </c>
      <c r="J1529" s="20">
        <v>6</v>
      </c>
      <c r="K1529" s="1">
        <v>236</v>
      </c>
      <c r="L1529" s="1">
        <v>1416</v>
      </c>
      <c r="M1529" s="42" t="s">
        <v>2964</v>
      </c>
      <c r="O1529" s="2" t="s">
        <v>2447</v>
      </c>
      <c r="Q1529" t="s">
        <v>938</v>
      </c>
    </row>
    <row r="1530" spans="1:17" ht="15" customHeight="1" x14ac:dyDescent="0.25">
      <c r="A1530" s="3" t="s">
        <v>1933</v>
      </c>
      <c r="B1530" s="4" t="s">
        <v>2966</v>
      </c>
      <c r="C1530" t="s">
        <v>1159</v>
      </c>
      <c r="D1530">
        <v>1</v>
      </c>
      <c r="E1530" t="s">
        <v>974</v>
      </c>
      <c r="F1530" t="s">
        <v>975</v>
      </c>
      <c r="G1530" t="s">
        <v>976</v>
      </c>
      <c r="H1530" s="1" t="s">
        <v>976</v>
      </c>
      <c r="I1530" s="1">
        <v>960</v>
      </c>
      <c r="J1530" s="20">
        <v>4</v>
      </c>
      <c r="K1530" s="1">
        <v>236</v>
      </c>
      <c r="L1530" s="1">
        <v>944</v>
      </c>
      <c r="M1530" s="42" t="s">
        <v>2964</v>
      </c>
      <c r="O1530" s="2" t="s">
        <v>2447</v>
      </c>
      <c r="Q1530" t="s">
        <v>938</v>
      </c>
    </row>
    <row r="1531" spans="1:17" ht="15" customHeight="1" x14ac:dyDescent="0.25">
      <c r="A1531" s="3" t="s">
        <v>1934</v>
      </c>
      <c r="B1531" s="4" t="s">
        <v>2966</v>
      </c>
      <c r="C1531" t="s">
        <v>1159</v>
      </c>
      <c r="D1531">
        <v>1</v>
      </c>
      <c r="E1531" t="s">
        <v>974</v>
      </c>
      <c r="F1531" t="s">
        <v>975</v>
      </c>
      <c r="G1531" t="s">
        <v>976</v>
      </c>
      <c r="H1531" s="1" t="s">
        <v>976</v>
      </c>
      <c r="I1531" s="1">
        <v>960</v>
      </c>
      <c r="J1531" s="20">
        <v>3</v>
      </c>
      <c r="K1531" s="1">
        <v>236</v>
      </c>
      <c r="L1531" s="1">
        <v>708</v>
      </c>
      <c r="M1531" s="42" t="s">
        <v>2964</v>
      </c>
      <c r="O1531" s="2" t="s">
        <v>2447</v>
      </c>
      <c r="Q1531" t="s">
        <v>938</v>
      </c>
    </row>
    <row r="1532" spans="1:17" ht="15" customHeight="1" x14ac:dyDescent="0.25">
      <c r="A1532" s="3" t="s">
        <v>1935</v>
      </c>
      <c r="B1532" s="4" t="s">
        <v>2966</v>
      </c>
      <c r="C1532" t="s">
        <v>1159</v>
      </c>
      <c r="D1532">
        <v>1</v>
      </c>
      <c r="E1532" t="s">
        <v>974</v>
      </c>
      <c r="F1532" t="s">
        <v>975</v>
      </c>
      <c r="G1532" t="s">
        <v>976</v>
      </c>
      <c r="H1532" s="1" t="s">
        <v>976</v>
      </c>
      <c r="I1532" s="1">
        <v>960</v>
      </c>
      <c r="J1532" s="20">
        <v>1</v>
      </c>
      <c r="K1532" s="1">
        <v>236</v>
      </c>
      <c r="L1532" s="1">
        <v>236</v>
      </c>
      <c r="M1532" s="42" t="s">
        <v>2964</v>
      </c>
      <c r="O1532" s="2" t="s">
        <v>2447</v>
      </c>
      <c r="Q1532" t="s">
        <v>938</v>
      </c>
    </row>
    <row r="1533" spans="1:17" ht="15" customHeight="1" x14ac:dyDescent="0.25">
      <c r="A1533" s="3" t="s">
        <v>1936</v>
      </c>
      <c r="B1533" s="4" t="s">
        <v>2966</v>
      </c>
      <c r="C1533" t="s">
        <v>1159</v>
      </c>
      <c r="D1533">
        <v>1</v>
      </c>
      <c r="E1533" t="s">
        <v>974</v>
      </c>
      <c r="F1533" t="s">
        <v>975</v>
      </c>
      <c r="G1533" t="s">
        <v>976</v>
      </c>
      <c r="H1533" s="1" t="s">
        <v>976</v>
      </c>
      <c r="I1533" s="1">
        <v>910</v>
      </c>
      <c r="J1533" s="20">
        <v>-1</v>
      </c>
      <c r="K1533" s="1">
        <v>0</v>
      </c>
      <c r="L1533" s="1">
        <v>0</v>
      </c>
      <c r="M1533" s="42" t="s">
        <v>2964</v>
      </c>
      <c r="N1533" s="1" t="s">
        <v>2616</v>
      </c>
      <c r="O1533" s="2" t="s">
        <v>2447</v>
      </c>
      <c r="Q1533" t="s">
        <v>938</v>
      </c>
    </row>
    <row r="1534" spans="1:17" ht="15" customHeight="1" x14ac:dyDescent="0.25">
      <c r="A1534" s="41" t="s">
        <v>1936</v>
      </c>
      <c r="B1534" s="3" t="s">
        <v>2966</v>
      </c>
      <c r="C1534" s="41" t="s">
        <v>1159</v>
      </c>
      <c r="D1534">
        <v>4</v>
      </c>
      <c r="E1534" t="s">
        <v>1018</v>
      </c>
      <c r="F1534" t="s">
        <v>975</v>
      </c>
      <c r="G1534" t="s">
        <v>976</v>
      </c>
      <c r="H1534" s="1" t="s">
        <v>976</v>
      </c>
      <c r="I1534" s="1">
        <v>910</v>
      </c>
      <c r="J1534" s="20">
        <v>1</v>
      </c>
      <c r="K1534" s="1">
        <v>910</v>
      </c>
      <c r="L1534" s="1">
        <v>910</v>
      </c>
      <c r="M1534" s="42" t="s">
        <v>2964</v>
      </c>
      <c r="N1534" s="1" t="s">
        <v>2616</v>
      </c>
      <c r="O1534" s="2" t="s">
        <v>2447</v>
      </c>
      <c r="Q1534" t="s">
        <v>938</v>
      </c>
    </row>
    <row r="1535" spans="1:17" ht="15" customHeight="1" x14ac:dyDescent="0.25">
      <c r="A1535" s="3" t="s">
        <v>1937</v>
      </c>
      <c r="B1535" s="4" t="s">
        <v>2966</v>
      </c>
      <c r="C1535" t="s">
        <v>1159</v>
      </c>
      <c r="D1535">
        <v>1</v>
      </c>
      <c r="E1535" t="s">
        <v>974</v>
      </c>
      <c r="F1535" t="s">
        <v>975</v>
      </c>
      <c r="G1535" t="s">
        <v>976</v>
      </c>
      <c r="H1535" s="1" t="s">
        <v>976</v>
      </c>
      <c r="I1535" s="1">
        <v>960</v>
      </c>
      <c r="J1535" s="20">
        <v>0</v>
      </c>
      <c r="K1535" s="1">
        <v>236</v>
      </c>
      <c r="L1535" s="1">
        <v>0</v>
      </c>
      <c r="M1535" s="42" t="s">
        <v>2964</v>
      </c>
      <c r="O1535" s="2" t="s">
        <v>2482</v>
      </c>
      <c r="Q1535" t="s">
        <v>939</v>
      </c>
    </row>
    <row r="1536" spans="1:17" ht="15" customHeight="1" x14ac:dyDescent="0.25">
      <c r="A1536" s="3" t="s">
        <v>1938</v>
      </c>
      <c r="B1536" s="4" t="s">
        <v>2966</v>
      </c>
      <c r="C1536" t="s">
        <v>1159</v>
      </c>
      <c r="D1536">
        <v>1</v>
      </c>
      <c r="E1536" t="s">
        <v>974</v>
      </c>
      <c r="F1536" t="s">
        <v>975</v>
      </c>
      <c r="G1536" t="s">
        <v>976</v>
      </c>
      <c r="H1536" s="1" t="s">
        <v>976</v>
      </c>
      <c r="I1536" s="1">
        <v>960</v>
      </c>
      <c r="J1536" s="20">
        <v>-1</v>
      </c>
      <c r="K1536" s="1">
        <v>236</v>
      </c>
      <c r="L1536" s="1">
        <v>-236</v>
      </c>
      <c r="M1536" s="42" t="s">
        <v>2964</v>
      </c>
      <c r="O1536" s="2" t="s">
        <v>2482</v>
      </c>
      <c r="Q1536" t="s">
        <v>939</v>
      </c>
    </row>
    <row r="1537" spans="1:17" ht="15" customHeight="1" x14ac:dyDescent="0.25">
      <c r="A1537" s="3" t="s">
        <v>1939</v>
      </c>
      <c r="B1537" s="4" t="s">
        <v>2966</v>
      </c>
      <c r="C1537" t="s">
        <v>1159</v>
      </c>
      <c r="D1537">
        <v>1</v>
      </c>
      <c r="E1537" t="s">
        <v>974</v>
      </c>
      <c r="F1537" t="s">
        <v>975</v>
      </c>
      <c r="G1537" t="s">
        <v>976</v>
      </c>
      <c r="H1537" s="1" t="s">
        <v>976</v>
      </c>
      <c r="I1537" s="1">
        <v>960</v>
      </c>
      <c r="J1537" s="20">
        <v>6</v>
      </c>
      <c r="K1537" s="1">
        <v>236</v>
      </c>
      <c r="L1537" s="1">
        <v>1416</v>
      </c>
      <c r="M1537" s="42" t="s">
        <v>2964</v>
      </c>
      <c r="O1537" s="2" t="s">
        <v>2482</v>
      </c>
      <c r="Q1537" t="s">
        <v>939</v>
      </c>
    </row>
    <row r="1538" spans="1:17" ht="15" customHeight="1" x14ac:dyDescent="0.25">
      <c r="A1538" s="3" t="s">
        <v>1940</v>
      </c>
      <c r="B1538" s="4" t="s">
        <v>2966</v>
      </c>
      <c r="C1538" t="s">
        <v>1159</v>
      </c>
      <c r="D1538">
        <v>1</v>
      </c>
      <c r="E1538" t="s">
        <v>974</v>
      </c>
      <c r="F1538" t="s">
        <v>975</v>
      </c>
      <c r="G1538" t="s">
        <v>976</v>
      </c>
      <c r="H1538" s="1" t="s">
        <v>976</v>
      </c>
      <c r="I1538" s="1">
        <v>960</v>
      </c>
      <c r="J1538" s="20">
        <v>2</v>
      </c>
      <c r="K1538" s="1">
        <v>236</v>
      </c>
      <c r="L1538" s="1">
        <v>472</v>
      </c>
      <c r="M1538" s="42" t="s">
        <v>2964</v>
      </c>
      <c r="O1538" s="2" t="s">
        <v>2482</v>
      </c>
      <c r="Q1538" t="s">
        <v>939</v>
      </c>
    </row>
    <row r="1539" spans="1:17" ht="15" customHeight="1" x14ac:dyDescent="0.25">
      <c r="A1539" s="3" t="s">
        <v>1941</v>
      </c>
      <c r="B1539" s="4" t="s">
        <v>2966</v>
      </c>
      <c r="C1539" t="s">
        <v>1159</v>
      </c>
      <c r="D1539">
        <v>1</v>
      </c>
      <c r="E1539" t="s">
        <v>974</v>
      </c>
      <c r="F1539" t="s">
        <v>975</v>
      </c>
      <c r="G1539" t="s">
        <v>976</v>
      </c>
      <c r="H1539" s="1" t="s">
        <v>976</v>
      </c>
      <c r="I1539" s="1">
        <v>960</v>
      </c>
      <c r="J1539" s="20">
        <v>1</v>
      </c>
      <c r="K1539" s="1">
        <v>236</v>
      </c>
      <c r="L1539" s="1">
        <v>236</v>
      </c>
      <c r="M1539" s="42" t="s">
        <v>2964</v>
      </c>
      <c r="O1539" s="2" t="s">
        <v>2482</v>
      </c>
      <c r="Q1539" t="s">
        <v>939</v>
      </c>
    </row>
    <row r="1540" spans="1:17" ht="15" customHeight="1" x14ac:dyDescent="0.25">
      <c r="A1540" s="3" t="s">
        <v>1942</v>
      </c>
      <c r="B1540" s="4" t="s">
        <v>2966</v>
      </c>
      <c r="C1540" t="s">
        <v>1159</v>
      </c>
      <c r="D1540">
        <v>1</v>
      </c>
      <c r="E1540" t="s">
        <v>974</v>
      </c>
      <c r="F1540" t="s">
        <v>975</v>
      </c>
      <c r="G1540" t="s">
        <v>976</v>
      </c>
      <c r="H1540" s="1" t="s">
        <v>976</v>
      </c>
      <c r="I1540" s="1">
        <v>910</v>
      </c>
      <c r="J1540" s="20">
        <v>0</v>
      </c>
      <c r="K1540" s="1">
        <v>0</v>
      </c>
      <c r="L1540" s="1">
        <v>0</v>
      </c>
      <c r="M1540" s="42" t="s">
        <v>2964</v>
      </c>
      <c r="N1540" s="1" t="s">
        <v>2616</v>
      </c>
      <c r="O1540" s="2" t="s">
        <v>2482</v>
      </c>
      <c r="Q1540" t="s">
        <v>939</v>
      </c>
    </row>
    <row r="1541" spans="1:17" ht="15" customHeight="1" x14ac:dyDescent="0.25">
      <c r="A1541" s="3" t="s">
        <v>2212</v>
      </c>
      <c r="B1541" s="4" t="s">
        <v>547</v>
      </c>
      <c r="C1541" t="s">
        <v>1943</v>
      </c>
      <c r="D1541">
        <v>1</v>
      </c>
      <c r="E1541" t="s">
        <v>974</v>
      </c>
      <c r="F1541" t="s">
        <v>975</v>
      </c>
      <c r="G1541" t="s">
        <v>180</v>
      </c>
      <c r="H1541" s="1" t="s">
        <v>976</v>
      </c>
      <c r="I1541" s="1">
        <v>890</v>
      </c>
      <c r="J1541" s="20">
        <v>2</v>
      </c>
      <c r="K1541" s="1">
        <v>173.5</v>
      </c>
      <c r="L1541" s="1">
        <v>347</v>
      </c>
      <c r="M1541" s="42" t="s">
        <v>2967</v>
      </c>
      <c r="P1541" t="s">
        <v>24</v>
      </c>
      <c r="Q1541" t="s">
        <v>547</v>
      </c>
    </row>
    <row r="1542" spans="1:17" ht="15" customHeight="1" x14ac:dyDescent="0.25">
      <c r="A1542" s="3" t="s">
        <v>2213</v>
      </c>
      <c r="B1542" s="4" t="s">
        <v>548</v>
      </c>
      <c r="C1542" t="s">
        <v>1943</v>
      </c>
      <c r="D1542">
        <v>1</v>
      </c>
      <c r="E1542" t="s">
        <v>974</v>
      </c>
      <c r="F1542" t="s">
        <v>975</v>
      </c>
      <c r="G1542" t="s">
        <v>180</v>
      </c>
      <c r="H1542" s="1" t="s">
        <v>976</v>
      </c>
      <c r="I1542" s="1">
        <v>890</v>
      </c>
      <c r="J1542" s="20">
        <v>8</v>
      </c>
      <c r="K1542" s="1">
        <v>173.5</v>
      </c>
      <c r="L1542" s="1">
        <v>1388</v>
      </c>
      <c r="M1542" s="42" t="s">
        <v>2967</v>
      </c>
      <c r="P1542" t="s">
        <v>23</v>
      </c>
      <c r="Q1542" t="s">
        <v>548</v>
      </c>
    </row>
    <row r="1543" spans="1:17" ht="15" customHeight="1" x14ac:dyDescent="0.25">
      <c r="A1543" s="3" t="s">
        <v>2214</v>
      </c>
      <c r="B1543" s="4" t="s">
        <v>549</v>
      </c>
      <c r="C1543" t="s">
        <v>1943</v>
      </c>
      <c r="D1543">
        <v>1</v>
      </c>
      <c r="E1543" t="s">
        <v>974</v>
      </c>
      <c r="F1543" t="s">
        <v>975</v>
      </c>
      <c r="G1543" t="s">
        <v>180</v>
      </c>
      <c r="H1543" s="1" t="s">
        <v>976</v>
      </c>
      <c r="I1543" s="1">
        <v>890</v>
      </c>
      <c r="J1543" s="20">
        <v>10</v>
      </c>
      <c r="K1543" s="1">
        <v>173.5</v>
      </c>
      <c r="L1543" s="1">
        <v>1735</v>
      </c>
      <c r="M1543" s="42" t="s">
        <v>2967</v>
      </c>
      <c r="P1543" t="s">
        <v>22</v>
      </c>
      <c r="Q1543" t="s">
        <v>549</v>
      </c>
    </row>
    <row r="1544" spans="1:17" ht="15" customHeight="1" x14ac:dyDescent="0.25">
      <c r="A1544" s="3" t="s">
        <v>2215</v>
      </c>
      <c r="B1544" s="4" t="s">
        <v>550</v>
      </c>
      <c r="C1544" t="s">
        <v>1943</v>
      </c>
      <c r="D1544">
        <v>1</v>
      </c>
      <c r="E1544" t="s">
        <v>974</v>
      </c>
      <c r="F1544" t="s">
        <v>975</v>
      </c>
      <c r="G1544" t="s">
        <v>180</v>
      </c>
      <c r="H1544" s="1" t="s">
        <v>976</v>
      </c>
      <c r="I1544" s="1">
        <v>890</v>
      </c>
      <c r="J1544" s="20">
        <v>0</v>
      </c>
      <c r="K1544" s="1">
        <v>173.5</v>
      </c>
      <c r="L1544" s="1">
        <v>0</v>
      </c>
      <c r="M1544" s="42" t="s">
        <v>2967</v>
      </c>
      <c r="P1544" t="s">
        <v>24</v>
      </c>
      <c r="Q1544" t="s">
        <v>550</v>
      </c>
    </row>
    <row r="1545" spans="1:17" ht="15" customHeight="1" x14ac:dyDescent="0.25">
      <c r="A1545" s="3" t="s">
        <v>2216</v>
      </c>
      <c r="B1545" s="4" t="s">
        <v>551</v>
      </c>
      <c r="C1545" t="s">
        <v>1943</v>
      </c>
      <c r="D1545">
        <v>1</v>
      </c>
      <c r="E1545" t="s">
        <v>974</v>
      </c>
      <c r="F1545" t="s">
        <v>975</v>
      </c>
      <c r="G1545" t="s">
        <v>180</v>
      </c>
      <c r="H1545" s="1" t="s">
        <v>976</v>
      </c>
      <c r="I1545" s="1">
        <v>890</v>
      </c>
      <c r="J1545" s="20">
        <v>3</v>
      </c>
      <c r="K1545" s="1">
        <v>173.5</v>
      </c>
      <c r="L1545" s="1">
        <v>520.5</v>
      </c>
      <c r="M1545" s="42" t="s">
        <v>2967</v>
      </c>
      <c r="P1545" t="s">
        <v>23</v>
      </c>
      <c r="Q1545" t="s">
        <v>551</v>
      </c>
    </row>
    <row r="1546" spans="1:17" ht="15" customHeight="1" x14ac:dyDescent="0.25">
      <c r="A1546" s="3" t="s">
        <v>2217</v>
      </c>
      <c r="B1546" s="4" t="s">
        <v>552</v>
      </c>
      <c r="C1546" t="s">
        <v>1943</v>
      </c>
      <c r="D1546">
        <v>1</v>
      </c>
      <c r="E1546" t="s">
        <v>974</v>
      </c>
      <c r="F1546" t="s">
        <v>975</v>
      </c>
      <c r="G1546" t="s">
        <v>180</v>
      </c>
      <c r="H1546" s="1" t="s">
        <v>976</v>
      </c>
      <c r="I1546" s="1">
        <v>890</v>
      </c>
      <c r="J1546" s="20">
        <v>0</v>
      </c>
      <c r="K1546" s="1">
        <v>173.5</v>
      </c>
      <c r="L1546" s="1">
        <v>0</v>
      </c>
      <c r="M1546" s="42" t="s">
        <v>2967</v>
      </c>
      <c r="P1546" t="s">
        <v>22</v>
      </c>
      <c r="Q1546" t="s">
        <v>552</v>
      </c>
    </row>
    <row r="1547" spans="1:17" ht="15" customHeight="1" x14ac:dyDescent="0.25">
      <c r="A1547" s="3" t="s">
        <v>2218</v>
      </c>
      <c r="B1547" s="4" t="s">
        <v>2968</v>
      </c>
      <c r="C1547" t="s">
        <v>1943</v>
      </c>
      <c r="D1547">
        <v>1</v>
      </c>
      <c r="E1547" t="s">
        <v>974</v>
      </c>
      <c r="F1547" t="s">
        <v>975</v>
      </c>
      <c r="G1547" t="s">
        <v>180</v>
      </c>
      <c r="H1547" s="1" t="s">
        <v>976</v>
      </c>
      <c r="I1547" s="1">
        <v>890</v>
      </c>
      <c r="J1547" s="20">
        <v>6</v>
      </c>
      <c r="K1547" s="1">
        <v>173.5</v>
      </c>
      <c r="L1547" s="1">
        <v>1041</v>
      </c>
      <c r="M1547" s="42" t="s">
        <v>2967</v>
      </c>
      <c r="O1547" s="2" t="s">
        <v>2482</v>
      </c>
      <c r="P1547" t="s">
        <v>24</v>
      </c>
      <c r="Q1547" t="s">
        <v>940</v>
      </c>
    </row>
    <row r="1548" spans="1:17" ht="15" customHeight="1" x14ac:dyDescent="0.25">
      <c r="A1548" s="3" t="s">
        <v>2219</v>
      </c>
      <c r="B1548" s="4" t="s">
        <v>2968</v>
      </c>
      <c r="C1548" t="s">
        <v>1943</v>
      </c>
      <c r="D1548">
        <v>1</v>
      </c>
      <c r="E1548" t="s">
        <v>974</v>
      </c>
      <c r="F1548" t="s">
        <v>975</v>
      </c>
      <c r="G1548" t="s">
        <v>180</v>
      </c>
      <c r="H1548" s="1" t="s">
        <v>976</v>
      </c>
      <c r="I1548" s="1">
        <v>890</v>
      </c>
      <c r="J1548" s="20">
        <v>11</v>
      </c>
      <c r="K1548" s="1">
        <v>173.5</v>
      </c>
      <c r="L1548" s="1">
        <v>1908.5</v>
      </c>
      <c r="M1548" s="42" t="s">
        <v>2967</v>
      </c>
      <c r="O1548" s="2" t="s">
        <v>2482</v>
      </c>
      <c r="P1548" t="s">
        <v>23</v>
      </c>
      <c r="Q1548" t="s">
        <v>940</v>
      </c>
    </row>
    <row r="1549" spans="1:17" ht="15" customHeight="1" x14ac:dyDescent="0.25">
      <c r="A1549" s="3" t="s">
        <v>2220</v>
      </c>
      <c r="B1549" s="4" t="s">
        <v>2968</v>
      </c>
      <c r="C1549" t="s">
        <v>1943</v>
      </c>
      <c r="D1549">
        <v>1</v>
      </c>
      <c r="E1549" t="s">
        <v>974</v>
      </c>
      <c r="F1549" t="s">
        <v>975</v>
      </c>
      <c r="G1549" t="s">
        <v>180</v>
      </c>
      <c r="H1549" s="1" t="s">
        <v>976</v>
      </c>
      <c r="I1549" s="1">
        <v>890</v>
      </c>
      <c r="J1549" s="20">
        <v>6</v>
      </c>
      <c r="K1549" s="1">
        <v>173.5</v>
      </c>
      <c r="L1549" s="1">
        <v>1041</v>
      </c>
      <c r="M1549" s="42" t="s">
        <v>2967</v>
      </c>
      <c r="O1549" s="2" t="s">
        <v>2482</v>
      </c>
      <c r="P1549" t="s">
        <v>22</v>
      </c>
      <c r="Q1549" t="s">
        <v>940</v>
      </c>
    </row>
    <row r="1550" spans="1:17" ht="15" customHeight="1" x14ac:dyDescent="0.25">
      <c r="A1550" s="3" t="s">
        <v>2221</v>
      </c>
      <c r="B1550" s="4" t="s">
        <v>2968</v>
      </c>
      <c r="C1550" t="s">
        <v>1943</v>
      </c>
      <c r="D1550">
        <v>1</v>
      </c>
      <c r="E1550" t="s">
        <v>974</v>
      </c>
      <c r="F1550" t="s">
        <v>975</v>
      </c>
      <c r="G1550" t="s">
        <v>180</v>
      </c>
      <c r="H1550" s="1" t="s">
        <v>976</v>
      </c>
      <c r="I1550" s="1">
        <v>890</v>
      </c>
      <c r="J1550" s="20">
        <v>3</v>
      </c>
      <c r="K1550" s="1">
        <v>173.5</v>
      </c>
      <c r="L1550" s="1">
        <v>520.5</v>
      </c>
      <c r="M1550" s="42" t="s">
        <v>2967</v>
      </c>
      <c r="O1550" s="2" t="s">
        <v>2437</v>
      </c>
      <c r="P1550" t="s">
        <v>24</v>
      </c>
      <c r="Q1550" t="s">
        <v>941</v>
      </c>
    </row>
    <row r="1551" spans="1:17" ht="15" customHeight="1" x14ac:dyDescent="0.25">
      <c r="A1551" s="3" t="s">
        <v>2222</v>
      </c>
      <c r="B1551" s="4" t="s">
        <v>2968</v>
      </c>
      <c r="C1551" t="s">
        <v>1943</v>
      </c>
      <c r="D1551">
        <v>1</v>
      </c>
      <c r="E1551" t="s">
        <v>974</v>
      </c>
      <c r="F1551" t="s">
        <v>975</v>
      </c>
      <c r="G1551" t="s">
        <v>180</v>
      </c>
      <c r="H1551" s="1" t="s">
        <v>976</v>
      </c>
      <c r="I1551" s="1">
        <v>890</v>
      </c>
      <c r="J1551" s="20">
        <v>4</v>
      </c>
      <c r="K1551" s="1">
        <v>173.5</v>
      </c>
      <c r="L1551" s="1">
        <v>694</v>
      </c>
      <c r="M1551" s="42" t="s">
        <v>2967</v>
      </c>
      <c r="O1551" s="2" t="s">
        <v>2437</v>
      </c>
      <c r="P1551" t="s">
        <v>23</v>
      </c>
      <c r="Q1551" t="s">
        <v>941</v>
      </c>
    </row>
    <row r="1552" spans="1:17" ht="15" customHeight="1" x14ac:dyDescent="0.25">
      <c r="A1552" s="3" t="s">
        <v>2223</v>
      </c>
      <c r="B1552" s="4" t="s">
        <v>2968</v>
      </c>
      <c r="C1552" t="s">
        <v>1943</v>
      </c>
      <c r="D1552">
        <v>1</v>
      </c>
      <c r="E1552" t="s">
        <v>974</v>
      </c>
      <c r="F1552" t="s">
        <v>975</v>
      </c>
      <c r="G1552" t="s">
        <v>180</v>
      </c>
      <c r="H1552" s="1" t="s">
        <v>976</v>
      </c>
      <c r="I1552" s="1">
        <v>890</v>
      </c>
      <c r="J1552" s="20">
        <v>8</v>
      </c>
      <c r="K1552" s="1">
        <v>173.5</v>
      </c>
      <c r="L1552" s="1">
        <v>1388</v>
      </c>
      <c r="M1552" s="42" t="s">
        <v>2967</v>
      </c>
      <c r="O1552" s="2" t="s">
        <v>2437</v>
      </c>
      <c r="P1552" t="s">
        <v>22</v>
      </c>
      <c r="Q1552" t="s">
        <v>941</v>
      </c>
    </row>
    <row r="1553" spans="1:17" ht="15" customHeight="1" x14ac:dyDescent="0.25">
      <c r="A1553" s="3" t="s">
        <v>1944</v>
      </c>
      <c r="B1553" s="4" t="s">
        <v>451</v>
      </c>
      <c r="C1553" t="s">
        <v>1219</v>
      </c>
      <c r="D1553">
        <v>1</v>
      </c>
      <c r="E1553" t="s">
        <v>974</v>
      </c>
      <c r="F1553" t="s">
        <v>975</v>
      </c>
      <c r="G1553" t="s">
        <v>976</v>
      </c>
      <c r="H1553" s="1" t="s">
        <v>976</v>
      </c>
      <c r="I1553" s="1">
        <v>220</v>
      </c>
      <c r="J1553" s="20">
        <v>0</v>
      </c>
      <c r="K1553" s="1">
        <v>38.99</v>
      </c>
      <c r="L1553" s="1">
        <v>0</v>
      </c>
      <c r="M1553" s="42" t="s">
        <v>2969</v>
      </c>
      <c r="P1553" t="s">
        <v>24</v>
      </c>
      <c r="Q1553" t="s">
        <v>451</v>
      </c>
    </row>
    <row r="1554" spans="1:17" ht="15" customHeight="1" x14ac:dyDescent="0.25">
      <c r="A1554" s="3" t="s">
        <v>1945</v>
      </c>
      <c r="B1554" s="4" t="s">
        <v>452</v>
      </c>
      <c r="C1554" t="s">
        <v>1219</v>
      </c>
      <c r="D1554">
        <v>1</v>
      </c>
      <c r="E1554" t="s">
        <v>974</v>
      </c>
      <c r="F1554" t="s">
        <v>975</v>
      </c>
      <c r="G1554" t="s">
        <v>976</v>
      </c>
      <c r="H1554" s="1" t="s">
        <v>976</v>
      </c>
      <c r="I1554" s="1">
        <v>220</v>
      </c>
      <c r="J1554" s="20">
        <v>12</v>
      </c>
      <c r="K1554" s="1">
        <v>38.99</v>
      </c>
      <c r="L1554" s="1">
        <v>467.88</v>
      </c>
      <c r="M1554" s="42" t="s">
        <v>2969</v>
      </c>
      <c r="P1554" t="s">
        <v>25</v>
      </c>
      <c r="Q1554" t="s">
        <v>452</v>
      </c>
    </row>
    <row r="1555" spans="1:17" ht="15" customHeight="1" x14ac:dyDescent="0.25">
      <c r="A1555" s="3" t="s">
        <v>1946</v>
      </c>
      <c r="B1555" s="4" t="s">
        <v>453</v>
      </c>
      <c r="C1555" t="s">
        <v>1219</v>
      </c>
      <c r="D1555">
        <v>1</v>
      </c>
      <c r="E1555" t="s">
        <v>974</v>
      </c>
      <c r="F1555" t="s">
        <v>975</v>
      </c>
      <c r="G1555" t="s">
        <v>976</v>
      </c>
      <c r="H1555" s="1" t="s">
        <v>976</v>
      </c>
      <c r="I1555" s="1">
        <v>220</v>
      </c>
      <c r="J1555" s="20">
        <v>0</v>
      </c>
      <c r="K1555" s="1">
        <v>38.99</v>
      </c>
      <c r="L1555" s="1">
        <v>0</v>
      </c>
      <c r="M1555" s="42" t="s">
        <v>2969</v>
      </c>
      <c r="P1555" t="s">
        <v>23</v>
      </c>
      <c r="Q1555" t="s">
        <v>453</v>
      </c>
    </row>
    <row r="1556" spans="1:17" ht="15" customHeight="1" x14ac:dyDescent="0.25">
      <c r="A1556" s="3" t="s">
        <v>1947</v>
      </c>
      <c r="B1556" s="4" t="s">
        <v>454</v>
      </c>
      <c r="C1556" t="s">
        <v>1219</v>
      </c>
      <c r="D1556">
        <v>1</v>
      </c>
      <c r="E1556" t="s">
        <v>974</v>
      </c>
      <c r="F1556" t="s">
        <v>975</v>
      </c>
      <c r="G1556" t="s">
        <v>976</v>
      </c>
      <c r="H1556" s="1" t="s">
        <v>976</v>
      </c>
      <c r="I1556" s="1">
        <v>220</v>
      </c>
      <c r="J1556" s="20">
        <v>0</v>
      </c>
      <c r="K1556" s="1">
        <v>38.99</v>
      </c>
      <c r="L1556" s="1">
        <v>0</v>
      </c>
      <c r="M1556" s="42" t="s">
        <v>2969</v>
      </c>
      <c r="P1556" t="s">
        <v>22</v>
      </c>
      <c r="Q1556" t="s">
        <v>454</v>
      </c>
    </row>
    <row r="1557" spans="1:17" ht="15" customHeight="1" x14ac:dyDescent="0.25">
      <c r="A1557" s="3" t="s">
        <v>1948</v>
      </c>
      <c r="B1557" s="4" t="s">
        <v>2970</v>
      </c>
      <c r="C1557" t="s">
        <v>1219</v>
      </c>
      <c r="D1557">
        <v>1</v>
      </c>
      <c r="E1557" t="s">
        <v>974</v>
      </c>
      <c r="F1557" t="s">
        <v>975</v>
      </c>
      <c r="G1557" t="s">
        <v>976</v>
      </c>
      <c r="H1557" s="1" t="s">
        <v>976</v>
      </c>
      <c r="I1557" s="1">
        <v>220</v>
      </c>
      <c r="J1557" s="20">
        <v>0</v>
      </c>
      <c r="K1557" s="1">
        <v>38.99</v>
      </c>
      <c r="L1557" s="1">
        <v>0</v>
      </c>
      <c r="M1557" s="42" t="s">
        <v>2969</v>
      </c>
      <c r="O1557" s="2" t="s">
        <v>2482</v>
      </c>
      <c r="P1557" t="s">
        <v>24</v>
      </c>
      <c r="Q1557" t="s">
        <v>942</v>
      </c>
    </row>
    <row r="1558" spans="1:17" ht="15" customHeight="1" x14ac:dyDescent="0.25">
      <c r="A1558" s="3" t="s">
        <v>1949</v>
      </c>
      <c r="B1558" s="4" t="s">
        <v>2970</v>
      </c>
      <c r="C1558" t="s">
        <v>1219</v>
      </c>
      <c r="D1558">
        <v>1</v>
      </c>
      <c r="E1558" t="s">
        <v>974</v>
      </c>
      <c r="F1558" t="s">
        <v>975</v>
      </c>
      <c r="G1558" t="s">
        <v>976</v>
      </c>
      <c r="H1558" s="1" t="s">
        <v>976</v>
      </c>
      <c r="I1558" s="1">
        <v>220</v>
      </c>
      <c r="J1558" s="20">
        <v>11</v>
      </c>
      <c r="K1558" s="1">
        <v>38.99</v>
      </c>
      <c r="L1558" s="1">
        <v>428.89</v>
      </c>
      <c r="M1558" s="42" t="s">
        <v>2969</v>
      </c>
      <c r="O1558" s="2" t="s">
        <v>2482</v>
      </c>
      <c r="P1558" t="s">
        <v>25</v>
      </c>
      <c r="Q1558" t="s">
        <v>942</v>
      </c>
    </row>
    <row r="1559" spans="1:17" ht="15" customHeight="1" x14ac:dyDescent="0.25">
      <c r="A1559" s="3" t="s">
        <v>1950</v>
      </c>
      <c r="B1559" s="4" t="s">
        <v>2970</v>
      </c>
      <c r="C1559" t="s">
        <v>1219</v>
      </c>
      <c r="D1559">
        <v>1</v>
      </c>
      <c r="E1559" t="s">
        <v>974</v>
      </c>
      <c r="F1559" t="s">
        <v>975</v>
      </c>
      <c r="G1559" t="s">
        <v>976</v>
      </c>
      <c r="H1559" s="1" t="s">
        <v>976</v>
      </c>
      <c r="I1559" s="1">
        <v>220</v>
      </c>
      <c r="J1559" s="20">
        <v>0</v>
      </c>
      <c r="K1559" s="1">
        <v>38.99</v>
      </c>
      <c r="L1559" s="1">
        <v>0</v>
      </c>
      <c r="M1559" s="42" t="s">
        <v>2969</v>
      </c>
      <c r="O1559" s="2" t="s">
        <v>2482</v>
      </c>
      <c r="P1559" t="s">
        <v>23</v>
      </c>
      <c r="Q1559" t="s">
        <v>942</v>
      </c>
    </row>
    <row r="1560" spans="1:17" ht="15" customHeight="1" x14ac:dyDescent="0.25">
      <c r="A1560" s="3" t="s">
        <v>1951</v>
      </c>
      <c r="B1560" s="4" t="s">
        <v>2970</v>
      </c>
      <c r="C1560" t="s">
        <v>1219</v>
      </c>
      <c r="D1560">
        <v>1</v>
      </c>
      <c r="E1560" t="s">
        <v>974</v>
      </c>
      <c r="F1560" t="s">
        <v>975</v>
      </c>
      <c r="G1560" t="s">
        <v>976</v>
      </c>
      <c r="H1560" s="1" t="s">
        <v>976</v>
      </c>
      <c r="I1560" s="1">
        <v>220</v>
      </c>
      <c r="J1560" s="20">
        <v>0</v>
      </c>
      <c r="K1560" s="1">
        <v>38.99</v>
      </c>
      <c r="L1560" s="1">
        <v>0</v>
      </c>
      <c r="M1560" s="42" t="s">
        <v>2969</v>
      </c>
      <c r="O1560" s="2" t="s">
        <v>2482</v>
      </c>
      <c r="P1560" t="s">
        <v>22</v>
      </c>
      <c r="Q1560" t="s">
        <v>942</v>
      </c>
    </row>
    <row r="1561" spans="1:17" ht="15" customHeight="1" x14ac:dyDescent="0.25">
      <c r="A1561" s="3" t="s">
        <v>2188</v>
      </c>
      <c r="B1561" s="4" t="s">
        <v>2972</v>
      </c>
      <c r="C1561" t="s">
        <v>973</v>
      </c>
      <c r="D1561">
        <v>1</v>
      </c>
      <c r="E1561" t="s">
        <v>974</v>
      </c>
      <c r="F1561" t="s">
        <v>975</v>
      </c>
      <c r="G1561" t="s">
        <v>1952</v>
      </c>
      <c r="H1561" s="1" t="s">
        <v>976</v>
      </c>
      <c r="I1561" s="1">
        <v>17.8</v>
      </c>
      <c r="J1561" s="20">
        <v>162.72</v>
      </c>
      <c r="K1561" s="1">
        <v>17.181234</v>
      </c>
      <c r="L1561" s="1">
        <v>2795.73</v>
      </c>
      <c r="M1561" s="42" t="s">
        <v>2971</v>
      </c>
      <c r="O1561" s="2" t="s">
        <v>2443</v>
      </c>
      <c r="Q1561" t="s">
        <v>943</v>
      </c>
    </row>
    <row r="1562" spans="1:17" ht="15" customHeight="1" x14ac:dyDescent="0.25">
      <c r="A1562" s="41" t="s">
        <v>2188</v>
      </c>
      <c r="B1562" s="3" t="s">
        <v>2972</v>
      </c>
      <c r="C1562" s="41" t="s">
        <v>973</v>
      </c>
      <c r="D1562">
        <v>4</v>
      </c>
      <c r="E1562" t="s">
        <v>1018</v>
      </c>
      <c r="F1562" t="s">
        <v>975</v>
      </c>
      <c r="G1562" t="s">
        <v>1952</v>
      </c>
      <c r="H1562" s="1" t="s">
        <v>976</v>
      </c>
      <c r="I1562" s="1">
        <v>17.8</v>
      </c>
      <c r="J1562" s="20">
        <v>81</v>
      </c>
      <c r="K1562" s="1">
        <v>13.91</v>
      </c>
      <c r="L1562" s="1">
        <v>1126.71</v>
      </c>
      <c r="M1562" s="42" t="s">
        <v>2971</v>
      </c>
      <c r="O1562" s="2" t="s">
        <v>2443</v>
      </c>
      <c r="Q1562" t="s">
        <v>943</v>
      </c>
    </row>
    <row r="1563" spans="1:17" ht="15" customHeight="1" x14ac:dyDescent="0.25">
      <c r="A1563" s="3" t="s">
        <v>1953</v>
      </c>
      <c r="B1563" s="4" t="s">
        <v>2974</v>
      </c>
      <c r="C1563" t="s">
        <v>973</v>
      </c>
      <c r="D1563">
        <v>1</v>
      </c>
      <c r="E1563" t="s">
        <v>974</v>
      </c>
      <c r="F1563" t="s">
        <v>975</v>
      </c>
      <c r="G1563" t="s">
        <v>976</v>
      </c>
      <c r="H1563" s="1" t="s">
        <v>976</v>
      </c>
      <c r="I1563" s="1">
        <v>7.820036</v>
      </c>
      <c r="J1563" s="20">
        <v>50.01</v>
      </c>
      <c r="K1563" s="1">
        <v>7.82</v>
      </c>
      <c r="L1563" s="1">
        <v>391.08</v>
      </c>
      <c r="M1563" s="42" t="s">
        <v>2973</v>
      </c>
      <c r="O1563" s="2" t="s">
        <v>2443</v>
      </c>
      <c r="Q1563" t="s">
        <v>455</v>
      </c>
    </row>
    <row r="1564" spans="1:17" ht="15" customHeight="1" x14ac:dyDescent="0.25">
      <c r="A1564" s="3" t="s">
        <v>1954</v>
      </c>
      <c r="B1564" s="4" t="s">
        <v>2976</v>
      </c>
      <c r="C1564" t="s">
        <v>973</v>
      </c>
      <c r="D1564">
        <v>1</v>
      </c>
      <c r="E1564" t="s">
        <v>974</v>
      </c>
      <c r="F1564" t="s">
        <v>975</v>
      </c>
      <c r="G1564" t="s">
        <v>976</v>
      </c>
      <c r="H1564" s="1" t="s">
        <v>976</v>
      </c>
      <c r="I1564" s="1">
        <v>7.82</v>
      </c>
      <c r="J1564" s="20">
        <v>50</v>
      </c>
      <c r="K1564" s="1">
        <v>7.82</v>
      </c>
      <c r="L1564" s="1">
        <v>391</v>
      </c>
      <c r="M1564" s="42" t="s">
        <v>2975</v>
      </c>
      <c r="O1564" s="2" t="s">
        <v>2463</v>
      </c>
      <c r="Q1564" t="s">
        <v>944</v>
      </c>
    </row>
    <row r="1565" spans="1:17" ht="15" customHeight="1" x14ac:dyDescent="0.25">
      <c r="A1565" s="3" t="s">
        <v>1955</v>
      </c>
      <c r="B1565" s="4" t="s">
        <v>456</v>
      </c>
      <c r="C1565" t="s">
        <v>973</v>
      </c>
      <c r="D1565">
        <v>1</v>
      </c>
      <c r="E1565" t="s">
        <v>974</v>
      </c>
      <c r="F1565" t="s">
        <v>975</v>
      </c>
      <c r="G1565" t="s">
        <v>976</v>
      </c>
      <c r="H1565" s="1" t="s">
        <v>976</v>
      </c>
      <c r="I1565" s="1">
        <v>18.98</v>
      </c>
      <c r="J1565" s="20">
        <v>0.19</v>
      </c>
      <c r="K1565" s="1">
        <v>18.980031</v>
      </c>
      <c r="L1565" s="1">
        <v>3.61</v>
      </c>
      <c r="M1565" s="42" t="s">
        <v>2977</v>
      </c>
      <c r="Q1565" t="s">
        <v>456</v>
      </c>
    </row>
    <row r="1566" spans="1:17" ht="15" customHeight="1" x14ac:dyDescent="0.25">
      <c r="A1566" s="41" t="s">
        <v>1955</v>
      </c>
      <c r="B1566" s="3" t="s">
        <v>456</v>
      </c>
      <c r="C1566" s="41" t="s">
        <v>973</v>
      </c>
      <c r="D1566">
        <v>4</v>
      </c>
      <c r="E1566" t="s">
        <v>1018</v>
      </c>
      <c r="F1566" t="s">
        <v>975</v>
      </c>
      <c r="G1566" t="s">
        <v>976</v>
      </c>
      <c r="H1566" s="1" t="s">
        <v>976</v>
      </c>
      <c r="I1566" s="1">
        <v>18.98</v>
      </c>
      <c r="J1566" s="20">
        <v>121</v>
      </c>
      <c r="K1566" s="1">
        <v>8</v>
      </c>
      <c r="L1566" s="1">
        <v>968</v>
      </c>
      <c r="M1566" s="42" t="s">
        <v>2977</v>
      </c>
      <c r="Q1566" t="s">
        <v>456</v>
      </c>
    </row>
    <row r="1567" spans="1:17" ht="15" customHeight="1" x14ac:dyDescent="0.25">
      <c r="A1567" s="3" t="s">
        <v>1956</v>
      </c>
      <c r="B1567" s="4" t="s">
        <v>2940</v>
      </c>
      <c r="C1567" t="s">
        <v>1383</v>
      </c>
      <c r="D1567">
        <v>1</v>
      </c>
      <c r="E1567" t="s">
        <v>974</v>
      </c>
      <c r="F1567" t="s">
        <v>975</v>
      </c>
      <c r="G1567" t="s">
        <v>180</v>
      </c>
      <c r="H1567" s="1" t="s">
        <v>976</v>
      </c>
      <c r="I1567" s="1">
        <v>870</v>
      </c>
      <c r="J1567" s="20">
        <v>1</v>
      </c>
      <c r="K1567" s="1">
        <v>232.33333300000001</v>
      </c>
      <c r="L1567" s="1">
        <v>232.33</v>
      </c>
      <c r="M1567" s="42" t="s">
        <v>2978</v>
      </c>
      <c r="O1567" s="2" t="s">
        <v>2495</v>
      </c>
      <c r="P1567">
        <v>34</v>
      </c>
      <c r="Q1567" t="s">
        <v>924</v>
      </c>
    </row>
    <row r="1568" spans="1:17" ht="15" customHeight="1" x14ac:dyDescent="0.25">
      <c r="A1568" s="3" t="s">
        <v>1957</v>
      </c>
      <c r="B1568" s="4" t="s">
        <v>2940</v>
      </c>
      <c r="C1568" t="s">
        <v>1383</v>
      </c>
      <c r="D1568">
        <v>1</v>
      </c>
      <c r="E1568" t="s">
        <v>974</v>
      </c>
      <c r="F1568" t="s">
        <v>975</v>
      </c>
      <c r="G1568" t="s">
        <v>180</v>
      </c>
      <c r="H1568" s="1" t="s">
        <v>976</v>
      </c>
      <c r="I1568" s="1">
        <v>870</v>
      </c>
      <c r="J1568" s="20">
        <v>3</v>
      </c>
      <c r="K1568" s="1">
        <v>239</v>
      </c>
      <c r="L1568" s="1">
        <v>717</v>
      </c>
      <c r="M1568" s="42" t="s">
        <v>2978</v>
      </c>
      <c r="O1568" s="2" t="s">
        <v>2495</v>
      </c>
      <c r="P1568">
        <v>35</v>
      </c>
      <c r="Q1568" t="s">
        <v>924</v>
      </c>
    </row>
    <row r="1569" spans="1:17" ht="15" customHeight="1" x14ac:dyDescent="0.25">
      <c r="A1569" s="41" t="s">
        <v>1957</v>
      </c>
      <c r="B1569" s="3" t="s">
        <v>2940</v>
      </c>
      <c r="C1569" s="41" t="s">
        <v>1383</v>
      </c>
      <c r="D1569">
        <v>4</v>
      </c>
      <c r="E1569" t="s">
        <v>1018</v>
      </c>
      <c r="F1569" t="s">
        <v>975</v>
      </c>
      <c r="G1569" t="s">
        <v>180</v>
      </c>
      <c r="H1569" s="1" t="s">
        <v>976</v>
      </c>
      <c r="I1569" s="1">
        <v>870</v>
      </c>
      <c r="J1569" s="20">
        <v>1</v>
      </c>
      <c r="K1569" s="1">
        <v>219</v>
      </c>
      <c r="L1569" s="1">
        <v>219</v>
      </c>
      <c r="M1569" s="42" t="s">
        <v>2978</v>
      </c>
      <c r="O1569" s="2" t="s">
        <v>2495</v>
      </c>
      <c r="P1569">
        <v>35</v>
      </c>
      <c r="Q1569" t="s">
        <v>924</v>
      </c>
    </row>
    <row r="1570" spans="1:17" ht="15" customHeight="1" x14ac:dyDescent="0.25">
      <c r="A1570" s="3" t="s">
        <v>1958</v>
      </c>
      <c r="B1570" s="4" t="s">
        <v>2940</v>
      </c>
      <c r="C1570" t="s">
        <v>1383</v>
      </c>
      <c r="D1570">
        <v>1</v>
      </c>
      <c r="E1570" t="s">
        <v>974</v>
      </c>
      <c r="F1570" t="s">
        <v>975</v>
      </c>
      <c r="G1570" t="s">
        <v>180</v>
      </c>
      <c r="H1570" s="1" t="s">
        <v>976</v>
      </c>
      <c r="I1570" s="1">
        <v>870</v>
      </c>
      <c r="J1570" s="20">
        <v>-1</v>
      </c>
      <c r="K1570" s="1">
        <v>239</v>
      </c>
      <c r="L1570" s="1">
        <v>-239</v>
      </c>
      <c r="M1570" s="42" t="s">
        <v>2978</v>
      </c>
      <c r="O1570" s="2" t="s">
        <v>2495</v>
      </c>
      <c r="P1570">
        <v>36</v>
      </c>
      <c r="Q1570" t="s">
        <v>924</v>
      </c>
    </row>
    <row r="1571" spans="1:17" ht="15" customHeight="1" x14ac:dyDescent="0.25">
      <c r="A1571" s="41" t="s">
        <v>1958</v>
      </c>
      <c r="B1571" s="3" t="s">
        <v>2940</v>
      </c>
      <c r="C1571" s="41" t="s">
        <v>1383</v>
      </c>
      <c r="D1571">
        <v>3</v>
      </c>
      <c r="E1571" t="s">
        <v>1179</v>
      </c>
      <c r="F1571" t="s">
        <v>1180</v>
      </c>
      <c r="G1571" t="s">
        <v>180</v>
      </c>
      <c r="H1571" s="1" t="s">
        <v>976</v>
      </c>
      <c r="I1571" s="1">
        <v>870</v>
      </c>
      <c r="J1571" s="20">
        <v>0</v>
      </c>
      <c r="K1571" s="1">
        <v>219</v>
      </c>
      <c r="L1571" s="1">
        <v>0</v>
      </c>
      <c r="M1571" s="42" t="s">
        <v>2978</v>
      </c>
      <c r="O1571" s="2" t="s">
        <v>2495</v>
      </c>
      <c r="P1571">
        <v>36</v>
      </c>
      <c r="Q1571" t="s">
        <v>924</v>
      </c>
    </row>
    <row r="1572" spans="1:17" ht="15" customHeight="1" x14ac:dyDescent="0.25">
      <c r="A1572" s="41" t="s">
        <v>1958</v>
      </c>
      <c r="B1572" s="3" t="s">
        <v>2940</v>
      </c>
      <c r="C1572" s="41" t="s">
        <v>1383</v>
      </c>
      <c r="D1572">
        <v>4</v>
      </c>
      <c r="E1572" t="s">
        <v>1018</v>
      </c>
      <c r="F1572" t="s">
        <v>975</v>
      </c>
      <c r="G1572" t="s">
        <v>180</v>
      </c>
      <c r="H1572" s="1" t="s">
        <v>976</v>
      </c>
      <c r="I1572" s="1">
        <v>870</v>
      </c>
      <c r="J1572" s="20">
        <v>1</v>
      </c>
      <c r="K1572" s="1">
        <v>0</v>
      </c>
      <c r="L1572" s="1">
        <v>0</v>
      </c>
      <c r="M1572" s="42" t="s">
        <v>2978</v>
      </c>
      <c r="O1572" s="2" t="s">
        <v>2495</v>
      </c>
      <c r="P1572">
        <v>36</v>
      </c>
      <c r="Q1572" t="s">
        <v>924</v>
      </c>
    </row>
    <row r="1573" spans="1:17" ht="15" customHeight="1" x14ac:dyDescent="0.25">
      <c r="A1573" s="3" t="s">
        <v>1959</v>
      </c>
      <c r="B1573" s="4" t="s">
        <v>2940</v>
      </c>
      <c r="C1573" t="s">
        <v>1383</v>
      </c>
      <c r="D1573">
        <v>1</v>
      </c>
      <c r="E1573" t="s">
        <v>974</v>
      </c>
      <c r="F1573" t="s">
        <v>975</v>
      </c>
      <c r="G1573" t="s">
        <v>180</v>
      </c>
      <c r="H1573" s="1" t="s">
        <v>976</v>
      </c>
      <c r="I1573" s="1">
        <v>870</v>
      </c>
      <c r="J1573" s="20">
        <v>1</v>
      </c>
      <c r="K1573" s="1">
        <v>229</v>
      </c>
      <c r="L1573" s="1">
        <v>229</v>
      </c>
      <c r="M1573" s="42" t="s">
        <v>2978</v>
      </c>
      <c r="O1573" s="2" t="s">
        <v>2495</v>
      </c>
      <c r="P1573">
        <v>37</v>
      </c>
      <c r="Q1573" t="s">
        <v>924</v>
      </c>
    </row>
    <row r="1574" spans="1:17" ht="15" customHeight="1" x14ac:dyDescent="0.25">
      <c r="A1574" s="41" t="s">
        <v>1959</v>
      </c>
      <c r="B1574" s="3" t="s">
        <v>2940</v>
      </c>
      <c r="C1574" s="41" t="s">
        <v>1383</v>
      </c>
      <c r="D1574">
        <v>4</v>
      </c>
      <c r="E1574" t="s">
        <v>1018</v>
      </c>
      <c r="F1574" t="s">
        <v>975</v>
      </c>
      <c r="G1574" t="s">
        <v>180</v>
      </c>
      <c r="H1574" s="1" t="s">
        <v>976</v>
      </c>
      <c r="I1574" s="1">
        <v>870</v>
      </c>
      <c r="J1574" s="20">
        <v>3</v>
      </c>
      <c r="K1574" s="1">
        <v>229</v>
      </c>
      <c r="L1574" s="1">
        <v>687</v>
      </c>
      <c r="M1574" s="42" t="s">
        <v>2978</v>
      </c>
      <c r="O1574" s="2" t="s">
        <v>2495</v>
      </c>
      <c r="P1574">
        <v>37</v>
      </c>
      <c r="Q1574" t="s">
        <v>924</v>
      </c>
    </row>
    <row r="1575" spans="1:17" ht="15" customHeight="1" x14ac:dyDescent="0.25">
      <c r="A1575" s="3" t="s">
        <v>1960</v>
      </c>
      <c r="B1575" s="4" t="s">
        <v>2940</v>
      </c>
      <c r="C1575" t="s">
        <v>1383</v>
      </c>
      <c r="D1575">
        <v>1</v>
      </c>
      <c r="E1575" t="s">
        <v>974</v>
      </c>
      <c r="F1575" t="s">
        <v>975</v>
      </c>
      <c r="G1575" t="s">
        <v>180</v>
      </c>
      <c r="H1575" s="1" t="s">
        <v>976</v>
      </c>
      <c r="I1575" s="1">
        <v>870</v>
      </c>
      <c r="J1575" s="20">
        <v>1</v>
      </c>
      <c r="K1575" s="1">
        <v>245.66666599999999</v>
      </c>
      <c r="L1575" s="1">
        <v>245.67</v>
      </c>
      <c r="M1575" s="42" t="s">
        <v>2978</v>
      </c>
      <c r="O1575" s="2" t="s">
        <v>2495</v>
      </c>
      <c r="P1575">
        <v>38</v>
      </c>
      <c r="Q1575" t="s">
        <v>924</v>
      </c>
    </row>
    <row r="1576" spans="1:17" ht="15" customHeight="1" x14ac:dyDescent="0.25">
      <c r="A1576" s="41" t="s">
        <v>1960</v>
      </c>
      <c r="B1576" s="3" t="s">
        <v>2940</v>
      </c>
      <c r="C1576" s="41" t="s">
        <v>1383</v>
      </c>
      <c r="D1576">
        <v>4</v>
      </c>
      <c r="E1576" t="s">
        <v>1018</v>
      </c>
      <c r="F1576" t="s">
        <v>975</v>
      </c>
      <c r="G1576" t="s">
        <v>180</v>
      </c>
      <c r="H1576" s="1" t="s">
        <v>976</v>
      </c>
      <c r="I1576" s="1">
        <v>870</v>
      </c>
      <c r="J1576" s="20">
        <v>4</v>
      </c>
      <c r="K1576" s="1">
        <v>381.749999</v>
      </c>
      <c r="L1576" s="1">
        <v>1527</v>
      </c>
      <c r="M1576" s="42" t="s">
        <v>2978</v>
      </c>
      <c r="O1576" s="2" t="s">
        <v>2495</v>
      </c>
      <c r="P1576">
        <v>38</v>
      </c>
      <c r="Q1576" t="s">
        <v>924</v>
      </c>
    </row>
    <row r="1577" spans="1:17" ht="15" customHeight="1" x14ac:dyDescent="0.25">
      <c r="A1577" s="3" t="s">
        <v>1961</v>
      </c>
      <c r="B1577" s="4" t="s">
        <v>2940</v>
      </c>
      <c r="C1577" t="s">
        <v>1383</v>
      </c>
      <c r="D1577">
        <v>1</v>
      </c>
      <c r="E1577" t="s">
        <v>974</v>
      </c>
      <c r="F1577" t="s">
        <v>975</v>
      </c>
      <c r="G1577" t="s">
        <v>180</v>
      </c>
      <c r="H1577" s="1" t="s">
        <v>976</v>
      </c>
      <c r="I1577" s="1">
        <v>870</v>
      </c>
      <c r="J1577" s="20">
        <v>0</v>
      </c>
      <c r="K1577" s="1">
        <v>239</v>
      </c>
      <c r="L1577" s="1">
        <v>0</v>
      </c>
      <c r="M1577" s="42" t="s">
        <v>2978</v>
      </c>
      <c r="O1577" s="2" t="s">
        <v>2495</v>
      </c>
      <c r="P1577">
        <v>39</v>
      </c>
      <c r="Q1577" t="s">
        <v>924</v>
      </c>
    </row>
    <row r="1578" spans="1:17" ht="15" customHeight="1" x14ac:dyDescent="0.25">
      <c r="A1578" s="3" t="s">
        <v>1962</v>
      </c>
      <c r="B1578" s="4" t="s">
        <v>2940</v>
      </c>
      <c r="C1578" t="s">
        <v>1383</v>
      </c>
      <c r="D1578">
        <v>1</v>
      </c>
      <c r="E1578" t="s">
        <v>974</v>
      </c>
      <c r="F1578" t="s">
        <v>975</v>
      </c>
      <c r="G1578" t="s">
        <v>180</v>
      </c>
      <c r="H1578" s="1" t="s">
        <v>976</v>
      </c>
      <c r="I1578" s="1">
        <v>870</v>
      </c>
      <c r="J1578" s="20">
        <v>-2</v>
      </c>
      <c r="K1578" s="1">
        <v>224</v>
      </c>
      <c r="L1578" s="1">
        <v>-448</v>
      </c>
      <c r="M1578" s="42" t="s">
        <v>2978</v>
      </c>
      <c r="O1578" s="2" t="s">
        <v>2495</v>
      </c>
      <c r="P1578">
        <v>40</v>
      </c>
      <c r="Q1578" t="s">
        <v>924</v>
      </c>
    </row>
    <row r="1579" spans="1:17" ht="15" customHeight="1" x14ac:dyDescent="0.25">
      <c r="A1579" s="41" t="s">
        <v>1962</v>
      </c>
      <c r="B1579" s="3" t="s">
        <v>2940</v>
      </c>
      <c r="C1579" s="41" t="s">
        <v>1383</v>
      </c>
      <c r="D1579">
        <v>4</v>
      </c>
      <c r="E1579" t="s">
        <v>1018</v>
      </c>
      <c r="F1579" t="s">
        <v>975</v>
      </c>
      <c r="G1579" t="s">
        <v>180</v>
      </c>
      <c r="H1579" s="1" t="s">
        <v>976</v>
      </c>
      <c r="I1579" s="1">
        <v>870</v>
      </c>
      <c r="J1579" s="20">
        <v>2</v>
      </c>
      <c r="K1579" s="1">
        <v>224</v>
      </c>
      <c r="L1579" s="1">
        <v>448</v>
      </c>
      <c r="M1579" s="42" t="s">
        <v>2978</v>
      </c>
      <c r="O1579" s="2" t="s">
        <v>2495</v>
      </c>
      <c r="P1579">
        <v>40</v>
      </c>
      <c r="Q1579" t="s">
        <v>924</v>
      </c>
    </row>
    <row r="1580" spans="1:17" ht="15" customHeight="1" x14ac:dyDescent="0.25">
      <c r="A1580" s="3" t="s">
        <v>1963</v>
      </c>
      <c r="B1580" s="4" t="s">
        <v>2940</v>
      </c>
      <c r="C1580" t="s">
        <v>1383</v>
      </c>
      <c r="D1580">
        <v>1</v>
      </c>
      <c r="E1580" t="s">
        <v>974</v>
      </c>
      <c r="F1580" t="s">
        <v>975</v>
      </c>
      <c r="G1580" t="s">
        <v>180</v>
      </c>
      <c r="H1580" s="1" t="s">
        <v>976</v>
      </c>
      <c r="I1580" s="1">
        <v>870</v>
      </c>
      <c r="J1580" s="20">
        <v>0</v>
      </c>
      <c r="K1580" s="1">
        <v>219</v>
      </c>
      <c r="L1580" s="1">
        <v>0</v>
      </c>
      <c r="M1580" s="42" t="s">
        <v>2978</v>
      </c>
      <c r="O1580" s="2" t="s">
        <v>2495</v>
      </c>
      <c r="Q1580" t="s">
        <v>924</v>
      </c>
    </row>
    <row r="1581" spans="1:17" ht="15" customHeight="1" x14ac:dyDescent="0.25">
      <c r="A1581" s="41" t="s">
        <v>1963</v>
      </c>
      <c r="B1581" s="3" t="s">
        <v>2940</v>
      </c>
      <c r="C1581" s="41" t="s">
        <v>1383</v>
      </c>
      <c r="D1581">
        <v>4</v>
      </c>
      <c r="E1581" t="s">
        <v>1018</v>
      </c>
      <c r="F1581" t="s">
        <v>975</v>
      </c>
      <c r="G1581" t="s">
        <v>180</v>
      </c>
      <c r="H1581" s="1" t="s">
        <v>976</v>
      </c>
      <c r="I1581" s="1">
        <v>870</v>
      </c>
      <c r="J1581" s="20">
        <v>1</v>
      </c>
      <c r="K1581" s="1">
        <v>219</v>
      </c>
      <c r="L1581" s="1">
        <v>219</v>
      </c>
      <c r="M1581" s="42" t="s">
        <v>2978</v>
      </c>
      <c r="O1581" s="2" t="s">
        <v>2495</v>
      </c>
      <c r="Q1581" t="s">
        <v>924</v>
      </c>
    </row>
    <row r="1582" spans="1:17" ht="15" customHeight="1" x14ac:dyDescent="0.25">
      <c r="A1582" s="3" t="s">
        <v>1964</v>
      </c>
      <c r="B1582" s="4" t="s">
        <v>457</v>
      </c>
      <c r="C1582" t="s">
        <v>1152</v>
      </c>
      <c r="D1582">
        <v>1</v>
      </c>
      <c r="E1582" t="s">
        <v>974</v>
      </c>
      <c r="F1582" t="s">
        <v>975</v>
      </c>
      <c r="G1582" t="s">
        <v>180</v>
      </c>
      <c r="H1582" s="1" t="s">
        <v>976</v>
      </c>
      <c r="I1582" s="1">
        <v>9481</v>
      </c>
      <c r="J1582" s="20">
        <v>1</v>
      </c>
      <c r="K1582" s="1">
        <v>2709</v>
      </c>
      <c r="L1582" s="1">
        <v>2709</v>
      </c>
      <c r="M1582" s="42" t="s">
        <v>2979</v>
      </c>
      <c r="Q1582" t="s">
        <v>457</v>
      </c>
    </row>
    <row r="1583" spans="1:17" ht="15" customHeight="1" x14ac:dyDescent="0.25">
      <c r="A1583" s="3" t="s">
        <v>1965</v>
      </c>
      <c r="B1583" s="4" t="s">
        <v>2981</v>
      </c>
      <c r="C1583" t="s">
        <v>973</v>
      </c>
      <c r="D1583">
        <v>1</v>
      </c>
      <c r="E1583" t="s">
        <v>974</v>
      </c>
      <c r="F1583" t="s">
        <v>975</v>
      </c>
      <c r="G1583" t="s">
        <v>976</v>
      </c>
      <c r="H1583" s="1" t="s">
        <v>976</v>
      </c>
      <c r="I1583" s="1">
        <v>37.9</v>
      </c>
      <c r="J1583" s="20">
        <v>0</v>
      </c>
      <c r="K1583" s="1">
        <v>0</v>
      </c>
      <c r="L1583" s="1">
        <v>0</v>
      </c>
      <c r="M1583" s="42" t="s">
        <v>2980</v>
      </c>
      <c r="O1583" s="2" t="s">
        <v>2614</v>
      </c>
      <c r="Q1583" t="s">
        <v>945</v>
      </c>
    </row>
    <row r="1584" spans="1:17" ht="15" customHeight="1" x14ac:dyDescent="0.25">
      <c r="A1584" s="3" t="s">
        <v>1966</v>
      </c>
      <c r="B1584" s="4" t="s">
        <v>458</v>
      </c>
      <c r="C1584" t="s">
        <v>973</v>
      </c>
      <c r="D1584">
        <v>1</v>
      </c>
      <c r="E1584" t="s">
        <v>974</v>
      </c>
      <c r="F1584" t="s">
        <v>975</v>
      </c>
      <c r="G1584" t="s">
        <v>976</v>
      </c>
      <c r="H1584" s="1" t="s">
        <v>976</v>
      </c>
      <c r="I1584" s="1">
        <v>8</v>
      </c>
      <c r="J1584" s="20">
        <v>701.4</v>
      </c>
      <c r="K1584" s="1">
        <v>8</v>
      </c>
      <c r="L1584" s="1">
        <v>5611.2</v>
      </c>
      <c r="M1584" s="42" t="s">
        <v>2982</v>
      </c>
      <c r="Q1584" t="s">
        <v>458</v>
      </c>
    </row>
    <row r="1585" spans="1:17" ht="15" customHeight="1" x14ac:dyDescent="0.25">
      <c r="A1585" s="41" t="s">
        <v>1966</v>
      </c>
      <c r="B1585" s="3" t="s">
        <v>458</v>
      </c>
      <c r="C1585" s="41" t="s">
        <v>973</v>
      </c>
      <c r="D1585">
        <v>4</v>
      </c>
      <c r="E1585" t="s">
        <v>1018</v>
      </c>
      <c r="F1585" t="s">
        <v>975</v>
      </c>
      <c r="G1585" t="s">
        <v>976</v>
      </c>
      <c r="H1585" s="1" t="s">
        <v>976</v>
      </c>
      <c r="I1585" s="1">
        <v>8</v>
      </c>
      <c r="J1585" s="20">
        <v>257.2</v>
      </c>
      <c r="K1585" s="1">
        <v>8</v>
      </c>
      <c r="L1585" s="1">
        <v>2057.6</v>
      </c>
      <c r="M1585" s="42" t="s">
        <v>2982</v>
      </c>
      <c r="Q1585" t="s">
        <v>458</v>
      </c>
    </row>
    <row r="1586" spans="1:17" ht="15" customHeight="1" x14ac:dyDescent="0.25">
      <c r="A1586" s="3" t="s">
        <v>1967</v>
      </c>
      <c r="B1586" s="4" t="s">
        <v>946</v>
      </c>
      <c r="C1586" t="s">
        <v>1968</v>
      </c>
      <c r="D1586">
        <v>1</v>
      </c>
      <c r="E1586" t="s">
        <v>974</v>
      </c>
      <c r="F1586" t="s">
        <v>975</v>
      </c>
      <c r="G1586" t="s">
        <v>180</v>
      </c>
      <c r="H1586" s="1" t="s">
        <v>976</v>
      </c>
      <c r="I1586" s="1">
        <v>690</v>
      </c>
      <c r="J1586" s="20">
        <v>-1</v>
      </c>
      <c r="K1586" s="1">
        <v>0</v>
      </c>
      <c r="L1586" s="1">
        <v>0</v>
      </c>
      <c r="M1586" s="42" t="s">
        <v>2983</v>
      </c>
      <c r="N1586" s="1" t="s">
        <v>2616</v>
      </c>
      <c r="Q1586" t="s">
        <v>946</v>
      </c>
    </row>
    <row r="1587" spans="1:17" ht="15" customHeight="1" x14ac:dyDescent="0.25">
      <c r="A1587" s="41" t="s">
        <v>1967</v>
      </c>
      <c r="B1587" s="3" t="s">
        <v>946</v>
      </c>
      <c r="C1587" s="41" t="s">
        <v>1968</v>
      </c>
      <c r="D1587">
        <v>4</v>
      </c>
      <c r="E1587" t="s">
        <v>1018</v>
      </c>
      <c r="F1587" t="s">
        <v>975</v>
      </c>
      <c r="G1587" t="s">
        <v>180</v>
      </c>
      <c r="H1587" s="1" t="s">
        <v>976</v>
      </c>
      <c r="I1587" s="1">
        <v>690</v>
      </c>
      <c r="J1587" s="20">
        <v>1</v>
      </c>
      <c r="K1587" s="1">
        <v>690</v>
      </c>
      <c r="L1587" s="1">
        <v>690</v>
      </c>
      <c r="M1587" s="42" t="s">
        <v>2983</v>
      </c>
      <c r="N1587" s="1" t="s">
        <v>2616</v>
      </c>
      <c r="Q1587" t="s">
        <v>946</v>
      </c>
    </row>
    <row r="1588" spans="1:17" ht="15" customHeight="1" x14ac:dyDescent="0.25">
      <c r="A1588" s="3" t="s">
        <v>1969</v>
      </c>
      <c r="B1588" s="4" t="s">
        <v>459</v>
      </c>
      <c r="C1588" t="s">
        <v>1968</v>
      </c>
      <c r="D1588">
        <v>1</v>
      </c>
      <c r="E1588" t="s">
        <v>974</v>
      </c>
      <c r="F1588" t="s">
        <v>975</v>
      </c>
      <c r="G1588" t="s">
        <v>180</v>
      </c>
      <c r="H1588" s="1" t="s">
        <v>976</v>
      </c>
      <c r="I1588" s="1">
        <v>895</v>
      </c>
      <c r="J1588" s="20">
        <v>1</v>
      </c>
      <c r="K1588" s="1">
        <v>185.93</v>
      </c>
      <c r="L1588" s="1">
        <v>185.93</v>
      </c>
      <c r="M1588" s="42" t="s">
        <v>2983</v>
      </c>
      <c r="P1588" t="s">
        <v>24</v>
      </c>
      <c r="Q1588" t="s">
        <v>459</v>
      </c>
    </row>
    <row r="1589" spans="1:17" ht="15" customHeight="1" x14ac:dyDescent="0.25">
      <c r="A1589" s="3" t="s">
        <v>1970</v>
      </c>
      <c r="B1589" s="4" t="s">
        <v>460</v>
      </c>
      <c r="C1589" t="s">
        <v>1968</v>
      </c>
      <c r="D1589">
        <v>1</v>
      </c>
      <c r="E1589" t="s">
        <v>974</v>
      </c>
      <c r="F1589" t="s">
        <v>975</v>
      </c>
      <c r="G1589" t="s">
        <v>180</v>
      </c>
      <c r="H1589" s="1" t="s">
        <v>976</v>
      </c>
      <c r="I1589" s="1">
        <v>895</v>
      </c>
      <c r="J1589" s="20">
        <v>5</v>
      </c>
      <c r="K1589" s="1">
        <v>185.93</v>
      </c>
      <c r="L1589" s="1">
        <v>929.65</v>
      </c>
      <c r="M1589" s="42" t="s">
        <v>2983</v>
      </c>
      <c r="P1589" t="s">
        <v>23</v>
      </c>
      <c r="Q1589" t="s">
        <v>460</v>
      </c>
    </row>
    <row r="1590" spans="1:17" ht="15" customHeight="1" x14ac:dyDescent="0.25">
      <c r="A1590" s="3" t="s">
        <v>1971</v>
      </c>
      <c r="B1590" s="4" t="s">
        <v>461</v>
      </c>
      <c r="C1590" t="s">
        <v>1968</v>
      </c>
      <c r="D1590">
        <v>1</v>
      </c>
      <c r="E1590" t="s">
        <v>974</v>
      </c>
      <c r="F1590" t="s">
        <v>975</v>
      </c>
      <c r="G1590" t="s">
        <v>180</v>
      </c>
      <c r="H1590" s="1" t="s">
        <v>976</v>
      </c>
      <c r="I1590" s="1">
        <v>895</v>
      </c>
      <c r="J1590" s="20">
        <v>4</v>
      </c>
      <c r="K1590" s="1">
        <v>185.93</v>
      </c>
      <c r="L1590" s="1">
        <v>743.72</v>
      </c>
      <c r="M1590" s="42" t="s">
        <v>2983</v>
      </c>
      <c r="P1590" t="s">
        <v>22</v>
      </c>
      <c r="Q1590" t="s">
        <v>461</v>
      </c>
    </row>
    <row r="1591" spans="1:17" ht="15" customHeight="1" x14ac:dyDescent="0.25">
      <c r="A1591" s="3" t="s">
        <v>1972</v>
      </c>
      <c r="B1591" s="4" t="s">
        <v>2984</v>
      </c>
      <c r="C1591" t="s">
        <v>1968</v>
      </c>
      <c r="D1591">
        <v>1</v>
      </c>
      <c r="E1591" t="s">
        <v>974</v>
      </c>
      <c r="F1591" t="s">
        <v>975</v>
      </c>
      <c r="G1591" t="s">
        <v>180</v>
      </c>
      <c r="H1591" s="1" t="s">
        <v>976</v>
      </c>
      <c r="I1591" s="1">
        <v>895</v>
      </c>
      <c r="J1591" s="20">
        <v>3</v>
      </c>
      <c r="K1591" s="1">
        <v>185.93</v>
      </c>
      <c r="L1591" s="1">
        <v>557.79</v>
      </c>
      <c r="M1591" s="42" t="s">
        <v>2983</v>
      </c>
      <c r="O1591" s="2" t="s">
        <v>2482</v>
      </c>
      <c r="P1591" t="s">
        <v>24</v>
      </c>
      <c r="Q1591" t="s">
        <v>947</v>
      </c>
    </row>
    <row r="1592" spans="1:17" ht="15" customHeight="1" x14ac:dyDescent="0.25">
      <c r="A1592" s="3" t="s">
        <v>1973</v>
      </c>
      <c r="B1592" s="4" t="s">
        <v>2984</v>
      </c>
      <c r="C1592" t="s">
        <v>1968</v>
      </c>
      <c r="D1592">
        <v>1</v>
      </c>
      <c r="E1592" t="s">
        <v>974</v>
      </c>
      <c r="F1592" t="s">
        <v>975</v>
      </c>
      <c r="G1592" t="s">
        <v>180</v>
      </c>
      <c r="H1592" s="1" t="s">
        <v>976</v>
      </c>
      <c r="I1592" s="1">
        <v>895</v>
      </c>
      <c r="J1592" s="20">
        <v>3</v>
      </c>
      <c r="K1592" s="1">
        <v>185.93</v>
      </c>
      <c r="L1592" s="1">
        <v>557.79</v>
      </c>
      <c r="M1592" s="42" t="s">
        <v>2983</v>
      </c>
      <c r="O1592" s="2" t="s">
        <v>2482</v>
      </c>
      <c r="P1592" t="s">
        <v>23</v>
      </c>
      <c r="Q1592" t="s">
        <v>947</v>
      </c>
    </row>
    <row r="1593" spans="1:17" ht="15" customHeight="1" x14ac:dyDescent="0.25">
      <c r="A1593" s="41" t="s">
        <v>1973</v>
      </c>
      <c r="B1593" s="3" t="s">
        <v>2984</v>
      </c>
      <c r="C1593" s="41" t="s">
        <v>1968</v>
      </c>
      <c r="D1593">
        <v>3</v>
      </c>
      <c r="E1593" t="s">
        <v>1179</v>
      </c>
      <c r="F1593" t="s">
        <v>1180</v>
      </c>
      <c r="G1593" t="s">
        <v>180</v>
      </c>
      <c r="H1593" s="1" t="s">
        <v>976</v>
      </c>
      <c r="I1593" s="1">
        <v>895</v>
      </c>
      <c r="J1593" s="20">
        <v>1</v>
      </c>
      <c r="K1593" s="1">
        <v>895</v>
      </c>
      <c r="L1593" s="1">
        <v>895</v>
      </c>
      <c r="M1593" s="42" t="s">
        <v>2983</v>
      </c>
      <c r="O1593" s="2" t="s">
        <v>2482</v>
      </c>
      <c r="P1593" t="s">
        <v>23</v>
      </c>
      <c r="Q1593" t="s">
        <v>947</v>
      </c>
    </row>
    <row r="1594" spans="1:17" ht="15" customHeight="1" x14ac:dyDescent="0.25">
      <c r="A1594" s="3" t="s">
        <v>1974</v>
      </c>
      <c r="B1594" s="4" t="s">
        <v>2984</v>
      </c>
      <c r="C1594" t="s">
        <v>1968</v>
      </c>
      <c r="D1594">
        <v>1</v>
      </c>
      <c r="E1594" t="s">
        <v>974</v>
      </c>
      <c r="F1594" t="s">
        <v>975</v>
      </c>
      <c r="G1594" t="s">
        <v>180</v>
      </c>
      <c r="H1594" s="1" t="s">
        <v>976</v>
      </c>
      <c r="I1594" s="1">
        <v>895</v>
      </c>
      <c r="J1594" s="20">
        <v>1</v>
      </c>
      <c r="K1594" s="1">
        <v>185.93</v>
      </c>
      <c r="L1594" s="1">
        <v>185.93</v>
      </c>
      <c r="M1594" s="42" t="s">
        <v>2983</v>
      </c>
      <c r="O1594" s="2" t="s">
        <v>2482</v>
      </c>
      <c r="P1594" t="s">
        <v>22</v>
      </c>
      <c r="Q1594" t="s">
        <v>947</v>
      </c>
    </row>
    <row r="1595" spans="1:17" ht="15" customHeight="1" x14ac:dyDescent="0.25">
      <c r="A1595" s="41" t="s">
        <v>1974</v>
      </c>
      <c r="B1595" s="3" t="s">
        <v>2984</v>
      </c>
      <c r="C1595" s="41" t="s">
        <v>1968</v>
      </c>
      <c r="D1595">
        <v>3</v>
      </c>
      <c r="E1595" t="s">
        <v>1179</v>
      </c>
      <c r="F1595" t="s">
        <v>1180</v>
      </c>
      <c r="G1595" t="s">
        <v>180</v>
      </c>
      <c r="H1595" s="1" t="s">
        <v>976</v>
      </c>
      <c r="I1595" s="1">
        <v>895</v>
      </c>
      <c r="J1595" s="20">
        <v>1</v>
      </c>
      <c r="K1595" s="1">
        <v>895</v>
      </c>
      <c r="L1595" s="1">
        <v>895</v>
      </c>
      <c r="M1595" s="42" t="s">
        <v>2983</v>
      </c>
      <c r="O1595" s="2" t="s">
        <v>2482</v>
      </c>
      <c r="P1595" t="s">
        <v>22</v>
      </c>
      <c r="Q1595" t="s">
        <v>947</v>
      </c>
    </row>
    <row r="1596" spans="1:17" ht="15" customHeight="1" x14ac:dyDescent="0.25">
      <c r="A1596" s="3" t="s">
        <v>1975</v>
      </c>
      <c r="B1596" s="4" t="s">
        <v>948</v>
      </c>
      <c r="C1596" t="s">
        <v>1968</v>
      </c>
      <c r="D1596">
        <v>1</v>
      </c>
      <c r="E1596" t="s">
        <v>974</v>
      </c>
      <c r="F1596" t="s">
        <v>975</v>
      </c>
      <c r="G1596" t="s">
        <v>180</v>
      </c>
      <c r="H1596" s="1" t="s">
        <v>976</v>
      </c>
      <c r="I1596" s="1">
        <v>1600</v>
      </c>
      <c r="J1596" s="20">
        <v>0</v>
      </c>
      <c r="K1596" s="1">
        <v>0</v>
      </c>
      <c r="L1596" s="1">
        <v>0</v>
      </c>
      <c r="M1596" s="42" t="s">
        <v>2983</v>
      </c>
      <c r="N1596" s="1" t="s">
        <v>2616</v>
      </c>
      <c r="Q1596" t="s">
        <v>948</v>
      </c>
    </row>
    <row r="1597" spans="1:17" ht="15" customHeight="1" x14ac:dyDescent="0.25">
      <c r="A1597" s="3" t="s">
        <v>1976</v>
      </c>
      <c r="B1597" s="4" t="s">
        <v>2985</v>
      </c>
      <c r="C1597" t="s">
        <v>1968</v>
      </c>
      <c r="D1597">
        <v>1</v>
      </c>
      <c r="E1597" t="s">
        <v>974</v>
      </c>
      <c r="F1597" t="s">
        <v>975</v>
      </c>
      <c r="G1597" t="s">
        <v>180</v>
      </c>
      <c r="H1597" s="1" t="s">
        <v>976</v>
      </c>
      <c r="I1597" s="1">
        <v>785</v>
      </c>
      <c r="J1597" s="20">
        <v>0</v>
      </c>
      <c r="K1597" s="1">
        <v>165.15</v>
      </c>
      <c r="L1597" s="1">
        <v>0</v>
      </c>
      <c r="M1597" s="42" t="s">
        <v>2983</v>
      </c>
      <c r="O1597" s="2" t="s">
        <v>2447</v>
      </c>
      <c r="P1597" t="s">
        <v>24</v>
      </c>
      <c r="Q1597" t="s">
        <v>949</v>
      </c>
    </row>
    <row r="1598" spans="1:17" ht="15" customHeight="1" x14ac:dyDescent="0.25">
      <c r="A1598" s="3" t="s">
        <v>1977</v>
      </c>
      <c r="B1598" s="4" t="s">
        <v>2985</v>
      </c>
      <c r="C1598" t="s">
        <v>1968</v>
      </c>
      <c r="D1598">
        <v>1</v>
      </c>
      <c r="E1598" t="s">
        <v>974</v>
      </c>
      <c r="F1598" t="s">
        <v>975</v>
      </c>
      <c r="G1598" t="s">
        <v>180</v>
      </c>
      <c r="H1598" s="1" t="s">
        <v>976</v>
      </c>
      <c r="I1598" s="1">
        <v>785</v>
      </c>
      <c r="J1598" s="20">
        <v>5</v>
      </c>
      <c r="K1598" s="1">
        <v>165.15</v>
      </c>
      <c r="L1598" s="1">
        <v>825.75</v>
      </c>
      <c r="M1598" s="42" t="s">
        <v>2983</v>
      </c>
      <c r="O1598" s="2" t="s">
        <v>2447</v>
      </c>
      <c r="P1598" t="s">
        <v>23</v>
      </c>
      <c r="Q1598" t="s">
        <v>949</v>
      </c>
    </row>
    <row r="1599" spans="1:17" ht="15" customHeight="1" x14ac:dyDescent="0.25">
      <c r="A1599" s="41" t="s">
        <v>1977</v>
      </c>
      <c r="B1599" s="3" t="s">
        <v>2985</v>
      </c>
      <c r="C1599" s="41" t="s">
        <v>1968</v>
      </c>
      <c r="D1599">
        <v>3</v>
      </c>
      <c r="E1599" t="s">
        <v>1179</v>
      </c>
      <c r="F1599" t="s">
        <v>1180</v>
      </c>
      <c r="G1599" t="s">
        <v>180</v>
      </c>
      <c r="H1599" s="1" t="s">
        <v>976</v>
      </c>
      <c r="I1599" s="1">
        <v>785</v>
      </c>
      <c r="J1599" s="20">
        <v>-1</v>
      </c>
      <c r="K1599" s="1">
        <v>0</v>
      </c>
      <c r="L1599" s="1">
        <v>0</v>
      </c>
      <c r="M1599" s="42" t="s">
        <v>2983</v>
      </c>
      <c r="O1599" s="2" t="s">
        <v>2447</v>
      </c>
      <c r="P1599" t="s">
        <v>23</v>
      </c>
      <c r="Q1599" t="s">
        <v>949</v>
      </c>
    </row>
    <row r="1600" spans="1:17" ht="15" customHeight="1" x14ac:dyDescent="0.25">
      <c r="A1600" s="3" t="s">
        <v>1978</v>
      </c>
      <c r="B1600" s="4" t="s">
        <v>2985</v>
      </c>
      <c r="C1600" t="s">
        <v>1968</v>
      </c>
      <c r="D1600">
        <v>1</v>
      </c>
      <c r="E1600" t="s">
        <v>974</v>
      </c>
      <c r="F1600" t="s">
        <v>975</v>
      </c>
      <c r="G1600" t="s">
        <v>180</v>
      </c>
      <c r="H1600" s="1" t="s">
        <v>976</v>
      </c>
      <c r="I1600" s="1">
        <v>785</v>
      </c>
      <c r="J1600" s="20">
        <v>0</v>
      </c>
      <c r="K1600" s="1">
        <v>169</v>
      </c>
      <c r="L1600" s="1">
        <v>0</v>
      </c>
      <c r="M1600" s="42" t="s">
        <v>2983</v>
      </c>
      <c r="O1600" s="2" t="s">
        <v>2447</v>
      </c>
      <c r="P1600" t="s">
        <v>22</v>
      </c>
      <c r="Q1600" t="s">
        <v>949</v>
      </c>
    </row>
    <row r="1601" spans="1:17" ht="15" customHeight="1" x14ac:dyDescent="0.25">
      <c r="A1601" s="3" t="s">
        <v>1979</v>
      </c>
      <c r="B1601" s="4" t="s">
        <v>2985</v>
      </c>
      <c r="C1601" t="s">
        <v>1968</v>
      </c>
      <c r="D1601">
        <v>1</v>
      </c>
      <c r="E1601" t="s">
        <v>974</v>
      </c>
      <c r="F1601" t="s">
        <v>975</v>
      </c>
      <c r="G1601" t="s">
        <v>180</v>
      </c>
      <c r="H1601" s="1" t="s">
        <v>976</v>
      </c>
      <c r="I1601" s="1">
        <v>785</v>
      </c>
      <c r="J1601" s="20">
        <v>0</v>
      </c>
      <c r="K1601" s="1">
        <v>0</v>
      </c>
      <c r="L1601" s="1">
        <v>0</v>
      </c>
      <c r="M1601" s="42" t="s">
        <v>2983</v>
      </c>
      <c r="N1601" s="1" t="s">
        <v>2616</v>
      </c>
      <c r="O1601" s="2" t="s">
        <v>2447</v>
      </c>
      <c r="Q1601" t="s">
        <v>949</v>
      </c>
    </row>
    <row r="1602" spans="1:17" ht="15" customHeight="1" x14ac:dyDescent="0.25">
      <c r="A1602" s="3" t="s">
        <v>1980</v>
      </c>
      <c r="B1602" s="4" t="s">
        <v>2985</v>
      </c>
      <c r="C1602" t="s">
        <v>1968</v>
      </c>
      <c r="D1602">
        <v>1</v>
      </c>
      <c r="E1602" t="s">
        <v>974</v>
      </c>
      <c r="F1602" t="s">
        <v>975</v>
      </c>
      <c r="G1602" t="s">
        <v>180</v>
      </c>
      <c r="H1602" s="1" t="s">
        <v>976</v>
      </c>
      <c r="I1602" s="1">
        <v>785</v>
      </c>
      <c r="J1602" s="20">
        <v>0</v>
      </c>
      <c r="K1602" s="1">
        <v>165.15</v>
      </c>
      <c r="L1602" s="1">
        <v>0</v>
      </c>
      <c r="M1602" s="42" t="s">
        <v>2983</v>
      </c>
      <c r="O1602" s="2" t="s">
        <v>2447</v>
      </c>
      <c r="P1602" t="s">
        <v>21</v>
      </c>
      <c r="Q1602" t="s">
        <v>949</v>
      </c>
    </row>
    <row r="1603" spans="1:17" ht="15" customHeight="1" x14ac:dyDescent="0.25">
      <c r="A1603" s="3" t="s">
        <v>1981</v>
      </c>
      <c r="B1603" s="4" t="s">
        <v>2985</v>
      </c>
      <c r="C1603" t="s">
        <v>1968</v>
      </c>
      <c r="D1603">
        <v>1</v>
      </c>
      <c r="E1603" t="s">
        <v>974</v>
      </c>
      <c r="F1603" t="s">
        <v>975</v>
      </c>
      <c r="G1603" t="s">
        <v>180</v>
      </c>
      <c r="H1603" s="1" t="s">
        <v>976</v>
      </c>
      <c r="I1603" s="1">
        <v>785</v>
      </c>
      <c r="J1603" s="20">
        <v>1</v>
      </c>
      <c r="K1603" s="1">
        <v>165.15</v>
      </c>
      <c r="L1603" s="1">
        <v>165.15</v>
      </c>
      <c r="M1603" s="42" t="s">
        <v>2983</v>
      </c>
      <c r="O1603" s="2" t="s">
        <v>2482</v>
      </c>
      <c r="P1603" t="s">
        <v>24</v>
      </c>
      <c r="Q1603" t="s">
        <v>950</v>
      </c>
    </row>
    <row r="1604" spans="1:17" ht="15" customHeight="1" x14ac:dyDescent="0.25">
      <c r="A1604" s="41" t="s">
        <v>1981</v>
      </c>
      <c r="B1604" s="3" t="s">
        <v>2985</v>
      </c>
      <c r="C1604" s="41" t="s">
        <v>1968</v>
      </c>
      <c r="D1604">
        <v>3</v>
      </c>
      <c r="E1604" t="s">
        <v>1179</v>
      </c>
      <c r="F1604" t="s">
        <v>1180</v>
      </c>
      <c r="G1604" t="s">
        <v>180</v>
      </c>
      <c r="H1604" s="1" t="s">
        <v>976</v>
      </c>
      <c r="I1604" s="1">
        <v>785</v>
      </c>
      <c r="J1604" s="20">
        <v>1</v>
      </c>
      <c r="K1604" s="1">
        <v>785</v>
      </c>
      <c r="L1604" s="1">
        <v>785</v>
      </c>
      <c r="M1604" s="42" t="s">
        <v>2983</v>
      </c>
      <c r="O1604" s="2" t="s">
        <v>2482</v>
      </c>
      <c r="P1604" t="s">
        <v>24</v>
      </c>
      <c r="Q1604" t="s">
        <v>950</v>
      </c>
    </row>
    <row r="1605" spans="1:17" ht="15" customHeight="1" x14ac:dyDescent="0.25">
      <c r="A1605" s="3" t="s">
        <v>1982</v>
      </c>
      <c r="B1605" s="4" t="s">
        <v>2985</v>
      </c>
      <c r="C1605" t="s">
        <v>1968</v>
      </c>
      <c r="D1605">
        <v>1</v>
      </c>
      <c r="E1605" t="s">
        <v>974</v>
      </c>
      <c r="F1605" t="s">
        <v>975</v>
      </c>
      <c r="G1605" t="s">
        <v>180</v>
      </c>
      <c r="H1605" s="1" t="s">
        <v>976</v>
      </c>
      <c r="I1605" s="1">
        <v>785</v>
      </c>
      <c r="J1605" s="20">
        <v>2</v>
      </c>
      <c r="K1605" s="1">
        <v>165.15</v>
      </c>
      <c r="L1605" s="1">
        <v>330.3</v>
      </c>
      <c r="M1605" s="42" t="s">
        <v>2983</v>
      </c>
      <c r="O1605" s="2" t="s">
        <v>2482</v>
      </c>
      <c r="P1605" t="s">
        <v>23</v>
      </c>
      <c r="Q1605" t="s">
        <v>950</v>
      </c>
    </row>
    <row r="1606" spans="1:17" ht="15" customHeight="1" x14ac:dyDescent="0.25">
      <c r="A1606" s="41" t="s">
        <v>1982</v>
      </c>
      <c r="B1606" s="3" t="s">
        <v>2985</v>
      </c>
      <c r="C1606" s="41" t="s">
        <v>1968</v>
      </c>
      <c r="D1606">
        <v>3</v>
      </c>
      <c r="E1606" t="s">
        <v>1179</v>
      </c>
      <c r="F1606" t="s">
        <v>1180</v>
      </c>
      <c r="G1606" t="s">
        <v>180</v>
      </c>
      <c r="H1606" s="1" t="s">
        <v>976</v>
      </c>
      <c r="I1606" s="1">
        <v>785</v>
      </c>
      <c r="J1606" s="20">
        <v>1</v>
      </c>
      <c r="K1606" s="1">
        <v>785</v>
      </c>
      <c r="L1606" s="1">
        <v>785</v>
      </c>
      <c r="M1606" s="42" t="s">
        <v>2983</v>
      </c>
      <c r="O1606" s="2" t="s">
        <v>2482</v>
      </c>
      <c r="P1606" t="s">
        <v>23</v>
      </c>
      <c r="Q1606" t="s">
        <v>950</v>
      </c>
    </row>
    <row r="1607" spans="1:17" ht="15" customHeight="1" x14ac:dyDescent="0.25">
      <c r="A1607" s="3" t="s">
        <v>1983</v>
      </c>
      <c r="B1607" s="4" t="s">
        <v>2985</v>
      </c>
      <c r="C1607" t="s">
        <v>1968</v>
      </c>
      <c r="D1607">
        <v>1</v>
      </c>
      <c r="E1607" t="s">
        <v>974</v>
      </c>
      <c r="F1607" t="s">
        <v>975</v>
      </c>
      <c r="G1607" t="s">
        <v>180</v>
      </c>
      <c r="H1607" s="1" t="s">
        <v>976</v>
      </c>
      <c r="I1607" s="1">
        <v>785</v>
      </c>
      <c r="J1607" s="20">
        <v>0</v>
      </c>
      <c r="K1607" s="1">
        <v>165.15</v>
      </c>
      <c r="L1607" s="1">
        <v>0</v>
      </c>
      <c r="M1607" s="42" t="s">
        <v>2983</v>
      </c>
      <c r="O1607" s="2" t="s">
        <v>2482</v>
      </c>
      <c r="P1607" t="s">
        <v>22</v>
      </c>
      <c r="Q1607" t="s">
        <v>950</v>
      </c>
    </row>
    <row r="1608" spans="1:17" ht="15" customHeight="1" x14ac:dyDescent="0.25">
      <c r="A1608" s="3" t="s">
        <v>1984</v>
      </c>
      <c r="B1608" s="4" t="s">
        <v>2985</v>
      </c>
      <c r="C1608" t="s">
        <v>1968</v>
      </c>
      <c r="D1608">
        <v>1</v>
      </c>
      <c r="E1608" t="s">
        <v>974</v>
      </c>
      <c r="F1608" t="s">
        <v>975</v>
      </c>
      <c r="G1608" t="s">
        <v>180</v>
      </c>
      <c r="H1608" s="1" t="s">
        <v>976</v>
      </c>
      <c r="I1608" s="1">
        <v>785</v>
      </c>
      <c r="J1608" s="20">
        <v>0</v>
      </c>
      <c r="K1608" s="1">
        <v>0</v>
      </c>
      <c r="L1608" s="1">
        <v>0</v>
      </c>
      <c r="M1608" s="42" t="s">
        <v>2983</v>
      </c>
      <c r="N1608" s="1" t="s">
        <v>2616</v>
      </c>
      <c r="O1608" s="2" t="s">
        <v>2482</v>
      </c>
      <c r="Q1608" t="s">
        <v>950</v>
      </c>
    </row>
    <row r="1609" spans="1:17" ht="15" customHeight="1" x14ac:dyDescent="0.25">
      <c r="A1609" s="3" t="s">
        <v>1985</v>
      </c>
      <c r="B1609" s="4" t="s">
        <v>2985</v>
      </c>
      <c r="C1609" t="s">
        <v>1968</v>
      </c>
      <c r="D1609">
        <v>1</v>
      </c>
      <c r="E1609" t="s">
        <v>974</v>
      </c>
      <c r="F1609" t="s">
        <v>975</v>
      </c>
      <c r="G1609" t="s">
        <v>180</v>
      </c>
      <c r="H1609" s="1" t="s">
        <v>976</v>
      </c>
      <c r="I1609" s="1">
        <v>785</v>
      </c>
      <c r="J1609" s="20">
        <v>1</v>
      </c>
      <c r="K1609" s="1">
        <v>165.35</v>
      </c>
      <c r="L1609" s="1">
        <v>165.35</v>
      </c>
      <c r="M1609" s="42" t="s">
        <v>2983</v>
      </c>
      <c r="O1609" s="2" t="s">
        <v>2482</v>
      </c>
      <c r="P1609" t="s">
        <v>21</v>
      </c>
      <c r="Q1609" t="s">
        <v>950</v>
      </c>
    </row>
    <row r="1610" spans="1:17" ht="15" customHeight="1" x14ac:dyDescent="0.25">
      <c r="A1610" s="41" t="s">
        <v>1985</v>
      </c>
      <c r="B1610" s="3" t="s">
        <v>2985</v>
      </c>
      <c r="C1610" s="41" t="s">
        <v>1968</v>
      </c>
      <c r="D1610">
        <v>3</v>
      </c>
      <c r="E1610" t="s">
        <v>1179</v>
      </c>
      <c r="F1610" t="s">
        <v>1180</v>
      </c>
      <c r="G1610" t="s">
        <v>180</v>
      </c>
      <c r="H1610" s="1" t="s">
        <v>976</v>
      </c>
      <c r="I1610" s="1">
        <v>785</v>
      </c>
      <c r="J1610" s="20">
        <v>1</v>
      </c>
      <c r="K1610" s="1">
        <v>785</v>
      </c>
      <c r="L1610" s="1">
        <v>785</v>
      </c>
      <c r="M1610" s="42" t="s">
        <v>2983</v>
      </c>
      <c r="O1610" s="2" t="s">
        <v>2482</v>
      </c>
      <c r="P1610" t="s">
        <v>21</v>
      </c>
      <c r="Q1610" t="s">
        <v>950</v>
      </c>
    </row>
    <row r="1611" spans="1:17" ht="15" customHeight="1" x14ac:dyDescent="0.25">
      <c r="A1611" s="3" t="s">
        <v>1986</v>
      </c>
      <c r="B1611" s="4" t="s">
        <v>2987</v>
      </c>
      <c r="C1611" t="s">
        <v>973</v>
      </c>
      <c r="D1611">
        <v>1</v>
      </c>
      <c r="E1611" t="s">
        <v>974</v>
      </c>
      <c r="F1611" t="s">
        <v>975</v>
      </c>
      <c r="G1611" t="s">
        <v>1987</v>
      </c>
      <c r="H1611" s="1" t="s">
        <v>976</v>
      </c>
      <c r="I1611" s="1">
        <v>142</v>
      </c>
      <c r="J1611" s="20">
        <v>0</v>
      </c>
      <c r="K1611" s="1">
        <v>142</v>
      </c>
      <c r="L1611" s="1">
        <v>0</v>
      </c>
      <c r="M1611" s="42" t="s">
        <v>2986</v>
      </c>
      <c r="O1611" s="2" t="s">
        <v>2443</v>
      </c>
      <c r="Q1611" t="s">
        <v>951</v>
      </c>
    </row>
    <row r="1612" spans="1:17" ht="15" customHeight="1" x14ac:dyDescent="0.25">
      <c r="A1612" s="41" t="s">
        <v>1986</v>
      </c>
      <c r="B1612" s="3" t="s">
        <v>2987</v>
      </c>
      <c r="C1612" s="41" t="s">
        <v>973</v>
      </c>
      <c r="D1612">
        <v>4</v>
      </c>
      <c r="E1612" t="s">
        <v>1018</v>
      </c>
      <c r="F1612" t="s">
        <v>975</v>
      </c>
      <c r="G1612" t="s">
        <v>1987</v>
      </c>
      <c r="H1612" s="1" t="s">
        <v>976</v>
      </c>
      <c r="I1612" s="1">
        <v>142</v>
      </c>
      <c r="J1612" s="20">
        <v>33.06</v>
      </c>
      <c r="K1612" s="1">
        <v>142</v>
      </c>
      <c r="L1612" s="1">
        <v>4694.5200000000004</v>
      </c>
      <c r="M1612" s="42" t="s">
        <v>2986</v>
      </c>
      <c r="O1612" s="2" t="s">
        <v>2443</v>
      </c>
      <c r="Q1612" t="s">
        <v>951</v>
      </c>
    </row>
    <row r="1613" spans="1:17" ht="15" customHeight="1" x14ac:dyDescent="0.25">
      <c r="A1613" s="3" t="s">
        <v>1988</v>
      </c>
      <c r="B1613" s="4" t="s">
        <v>462</v>
      </c>
      <c r="C1613" t="s">
        <v>1855</v>
      </c>
      <c r="D1613">
        <v>1</v>
      </c>
      <c r="E1613" t="s">
        <v>974</v>
      </c>
      <c r="F1613" t="s">
        <v>975</v>
      </c>
      <c r="G1613" t="s">
        <v>976</v>
      </c>
      <c r="H1613" s="1" t="s">
        <v>976</v>
      </c>
      <c r="I1613" s="1">
        <v>1580</v>
      </c>
      <c r="J1613" s="20">
        <v>3</v>
      </c>
      <c r="K1613" s="1">
        <v>286</v>
      </c>
      <c r="L1613" s="1">
        <v>858</v>
      </c>
      <c r="M1613" s="42" t="s">
        <v>2988</v>
      </c>
      <c r="P1613" t="s">
        <v>24</v>
      </c>
      <c r="Q1613" t="s">
        <v>462</v>
      </c>
    </row>
    <row r="1614" spans="1:17" ht="15" customHeight="1" x14ac:dyDescent="0.25">
      <c r="A1614" s="3" t="s">
        <v>1989</v>
      </c>
      <c r="B1614" s="4" t="s">
        <v>463</v>
      </c>
      <c r="C1614" t="s">
        <v>1855</v>
      </c>
      <c r="D1614">
        <v>1</v>
      </c>
      <c r="E1614" t="s">
        <v>974</v>
      </c>
      <c r="F1614" t="s">
        <v>975</v>
      </c>
      <c r="G1614" t="s">
        <v>976</v>
      </c>
      <c r="H1614" s="1" t="s">
        <v>976</v>
      </c>
      <c r="I1614" s="1">
        <v>1580</v>
      </c>
      <c r="J1614" s="20">
        <v>7</v>
      </c>
      <c r="K1614" s="1">
        <v>280</v>
      </c>
      <c r="L1614" s="1">
        <v>1960</v>
      </c>
      <c r="M1614" s="42" t="s">
        <v>2988</v>
      </c>
      <c r="P1614" t="s">
        <v>23</v>
      </c>
      <c r="Q1614" t="s">
        <v>463</v>
      </c>
    </row>
    <row r="1615" spans="1:17" ht="15" customHeight="1" x14ac:dyDescent="0.25">
      <c r="A1615" s="3" t="s">
        <v>1990</v>
      </c>
      <c r="B1615" s="4" t="s">
        <v>464</v>
      </c>
      <c r="C1615" t="s">
        <v>1855</v>
      </c>
      <c r="D1615">
        <v>1</v>
      </c>
      <c r="E1615" t="s">
        <v>974</v>
      </c>
      <c r="F1615" t="s">
        <v>975</v>
      </c>
      <c r="G1615" t="s">
        <v>976</v>
      </c>
      <c r="H1615" s="1" t="s">
        <v>976</v>
      </c>
      <c r="I1615" s="1">
        <v>1580</v>
      </c>
      <c r="J1615" s="20">
        <v>4</v>
      </c>
      <c r="K1615" s="1">
        <v>286</v>
      </c>
      <c r="L1615" s="1">
        <v>1144</v>
      </c>
      <c r="M1615" s="42" t="s">
        <v>2988</v>
      </c>
      <c r="P1615" t="s">
        <v>22</v>
      </c>
      <c r="Q1615" t="s">
        <v>464</v>
      </c>
    </row>
    <row r="1616" spans="1:17" ht="15" customHeight="1" x14ac:dyDescent="0.25">
      <c r="A1616" s="3" t="s">
        <v>1991</v>
      </c>
      <c r="B1616" s="4" t="s">
        <v>952</v>
      </c>
      <c r="C1616" t="s">
        <v>1855</v>
      </c>
      <c r="D1616">
        <v>1</v>
      </c>
      <c r="E1616" t="s">
        <v>974</v>
      </c>
      <c r="F1616" t="s">
        <v>975</v>
      </c>
      <c r="G1616" t="s">
        <v>976</v>
      </c>
      <c r="H1616" s="1" t="s">
        <v>976</v>
      </c>
      <c r="I1616" s="1">
        <v>0</v>
      </c>
      <c r="J1616" s="20">
        <v>-1</v>
      </c>
      <c r="K1616" s="1">
        <v>0</v>
      </c>
      <c r="L1616" s="1">
        <v>0</v>
      </c>
      <c r="M1616" s="42" t="s">
        <v>2988</v>
      </c>
      <c r="N1616" s="1" t="s">
        <v>2616</v>
      </c>
      <c r="Q1616" t="s">
        <v>952</v>
      </c>
    </row>
    <row r="1617" spans="1:17" ht="15" customHeight="1" x14ac:dyDescent="0.25">
      <c r="A1617" s="41" t="s">
        <v>1991</v>
      </c>
      <c r="B1617" s="3" t="s">
        <v>952</v>
      </c>
      <c r="C1617" s="41" t="s">
        <v>1855</v>
      </c>
      <c r="D1617">
        <v>4</v>
      </c>
      <c r="E1617" t="s">
        <v>1018</v>
      </c>
      <c r="F1617" t="s">
        <v>975</v>
      </c>
      <c r="G1617" t="s">
        <v>976</v>
      </c>
      <c r="H1617" s="1" t="s">
        <v>976</v>
      </c>
      <c r="I1617" s="1">
        <v>0</v>
      </c>
      <c r="J1617" s="20">
        <v>1</v>
      </c>
      <c r="K1617" s="1">
        <v>0.01</v>
      </c>
      <c r="L1617" s="1">
        <v>0.01</v>
      </c>
      <c r="M1617" s="42" t="s">
        <v>2988</v>
      </c>
      <c r="N1617" s="1" t="s">
        <v>2616</v>
      </c>
      <c r="Q1617" t="s">
        <v>952</v>
      </c>
    </row>
    <row r="1618" spans="1:17" ht="15" customHeight="1" x14ac:dyDescent="0.25">
      <c r="A1618" s="3" t="s">
        <v>1992</v>
      </c>
      <c r="B1618" s="4" t="s">
        <v>953</v>
      </c>
      <c r="C1618" t="s">
        <v>1855</v>
      </c>
      <c r="D1618">
        <v>1</v>
      </c>
      <c r="E1618" t="s">
        <v>974</v>
      </c>
      <c r="F1618" t="s">
        <v>975</v>
      </c>
      <c r="G1618" t="s">
        <v>976</v>
      </c>
      <c r="H1618" s="1" t="s">
        <v>976</v>
      </c>
      <c r="I1618" s="1">
        <v>1500</v>
      </c>
      <c r="J1618" s="20">
        <v>-1</v>
      </c>
      <c r="K1618" s="1">
        <v>0</v>
      </c>
      <c r="L1618" s="1">
        <v>0</v>
      </c>
      <c r="M1618" s="42" t="s">
        <v>2988</v>
      </c>
      <c r="N1618" s="1" t="s">
        <v>2616</v>
      </c>
      <c r="Q1618" t="s">
        <v>953</v>
      </c>
    </row>
    <row r="1619" spans="1:17" ht="15" customHeight="1" x14ac:dyDescent="0.25">
      <c r="A1619" s="41" t="s">
        <v>1992</v>
      </c>
      <c r="B1619" s="3" t="s">
        <v>953</v>
      </c>
      <c r="C1619" s="41" t="s">
        <v>1855</v>
      </c>
      <c r="D1619">
        <v>4</v>
      </c>
      <c r="E1619" t="s">
        <v>1018</v>
      </c>
      <c r="F1619" t="s">
        <v>975</v>
      </c>
      <c r="G1619" t="s">
        <v>976</v>
      </c>
      <c r="H1619" s="1" t="s">
        <v>976</v>
      </c>
      <c r="I1619" s="1">
        <v>1500</v>
      </c>
      <c r="J1619" s="20">
        <v>1</v>
      </c>
      <c r="K1619" s="1">
        <v>1500</v>
      </c>
      <c r="L1619" s="1">
        <v>1500</v>
      </c>
      <c r="M1619" s="42" t="s">
        <v>2988</v>
      </c>
      <c r="N1619" s="1" t="s">
        <v>2616</v>
      </c>
      <c r="Q1619" t="s">
        <v>953</v>
      </c>
    </row>
    <row r="1620" spans="1:17" ht="15" customHeight="1" x14ac:dyDescent="0.25">
      <c r="A1620" s="3" t="s">
        <v>1993</v>
      </c>
      <c r="B1620" s="4" t="s">
        <v>2989</v>
      </c>
      <c r="C1620" t="s">
        <v>1855</v>
      </c>
      <c r="D1620">
        <v>1</v>
      </c>
      <c r="E1620" t="s">
        <v>974</v>
      </c>
      <c r="F1620" t="s">
        <v>975</v>
      </c>
      <c r="G1620" t="s">
        <v>976</v>
      </c>
      <c r="H1620" s="1" t="s">
        <v>976</v>
      </c>
      <c r="I1620" s="1">
        <v>0</v>
      </c>
      <c r="J1620" s="20">
        <v>-1</v>
      </c>
      <c r="K1620" s="1">
        <v>0</v>
      </c>
      <c r="L1620" s="1">
        <v>0</v>
      </c>
      <c r="M1620" s="42" t="s">
        <v>2988</v>
      </c>
      <c r="N1620" s="1" t="s">
        <v>2616</v>
      </c>
      <c r="O1620" s="2" t="s">
        <v>2472</v>
      </c>
      <c r="Q1620" t="s">
        <v>954</v>
      </c>
    </row>
    <row r="1621" spans="1:17" ht="15" customHeight="1" x14ac:dyDescent="0.25">
      <c r="A1621" s="41" t="s">
        <v>1993</v>
      </c>
      <c r="B1621" s="3" t="s">
        <v>2989</v>
      </c>
      <c r="C1621" s="41" t="s">
        <v>1855</v>
      </c>
      <c r="D1621">
        <v>4</v>
      </c>
      <c r="E1621" t="s">
        <v>1018</v>
      </c>
      <c r="F1621" t="s">
        <v>975</v>
      </c>
      <c r="G1621" t="s">
        <v>976</v>
      </c>
      <c r="H1621" s="1" t="s">
        <v>976</v>
      </c>
      <c r="I1621" s="1">
        <v>0</v>
      </c>
      <c r="J1621" s="20">
        <v>1</v>
      </c>
      <c r="K1621" s="1">
        <v>0</v>
      </c>
      <c r="L1621" s="1">
        <v>0</v>
      </c>
      <c r="M1621" s="42" t="s">
        <v>2988</v>
      </c>
      <c r="N1621" s="1" t="s">
        <v>2616</v>
      </c>
      <c r="O1621" s="2" t="s">
        <v>2472</v>
      </c>
      <c r="Q1621" t="s">
        <v>954</v>
      </c>
    </row>
    <row r="1622" spans="1:17" ht="15" customHeight="1" x14ac:dyDescent="0.25">
      <c r="A1622" s="3" t="s">
        <v>1994</v>
      </c>
      <c r="B1622" s="4" t="s">
        <v>2989</v>
      </c>
      <c r="C1622" t="s">
        <v>1855</v>
      </c>
      <c r="D1622">
        <v>1</v>
      </c>
      <c r="E1622" t="s">
        <v>974</v>
      </c>
      <c r="F1622" t="s">
        <v>975</v>
      </c>
      <c r="G1622" t="s">
        <v>976</v>
      </c>
      <c r="H1622" s="1" t="s">
        <v>976</v>
      </c>
      <c r="I1622" s="1">
        <v>1580</v>
      </c>
      <c r="J1622" s="20">
        <v>3</v>
      </c>
      <c r="K1622" s="1">
        <v>286</v>
      </c>
      <c r="L1622" s="1">
        <v>858</v>
      </c>
      <c r="M1622" s="42" t="s">
        <v>2988</v>
      </c>
      <c r="O1622" s="2" t="s">
        <v>2482</v>
      </c>
      <c r="P1622" t="s">
        <v>24</v>
      </c>
      <c r="Q1622" t="s">
        <v>955</v>
      </c>
    </row>
    <row r="1623" spans="1:17" ht="15" customHeight="1" x14ac:dyDescent="0.25">
      <c r="A1623" s="3" t="s">
        <v>1995</v>
      </c>
      <c r="B1623" s="4" t="s">
        <v>2989</v>
      </c>
      <c r="C1623" t="s">
        <v>1855</v>
      </c>
      <c r="D1623">
        <v>1</v>
      </c>
      <c r="E1623" t="s">
        <v>974</v>
      </c>
      <c r="F1623" t="s">
        <v>975</v>
      </c>
      <c r="G1623" t="s">
        <v>976</v>
      </c>
      <c r="H1623" s="1" t="s">
        <v>976</v>
      </c>
      <c r="I1623" s="1">
        <v>1580</v>
      </c>
      <c r="J1623" s="20">
        <v>5</v>
      </c>
      <c r="K1623" s="1">
        <v>286</v>
      </c>
      <c r="L1623" s="1">
        <v>1430</v>
      </c>
      <c r="M1623" s="42" t="s">
        <v>2988</v>
      </c>
      <c r="O1623" s="2" t="s">
        <v>2482</v>
      </c>
      <c r="P1623" t="s">
        <v>23</v>
      </c>
      <c r="Q1623" t="s">
        <v>955</v>
      </c>
    </row>
    <row r="1624" spans="1:17" ht="15" customHeight="1" x14ac:dyDescent="0.25">
      <c r="A1624" s="3" t="s">
        <v>1996</v>
      </c>
      <c r="B1624" s="4" t="s">
        <v>2989</v>
      </c>
      <c r="C1624" t="s">
        <v>1855</v>
      </c>
      <c r="D1624">
        <v>1</v>
      </c>
      <c r="E1624" t="s">
        <v>974</v>
      </c>
      <c r="F1624" t="s">
        <v>975</v>
      </c>
      <c r="G1624" t="s">
        <v>976</v>
      </c>
      <c r="H1624" s="1" t="s">
        <v>976</v>
      </c>
      <c r="I1624" s="1">
        <v>1580</v>
      </c>
      <c r="J1624" s="20">
        <v>3</v>
      </c>
      <c r="K1624" s="1">
        <v>286</v>
      </c>
      <c r="L1624" s="1">
        <v>858</v>
      </c>
      <c r="M1624" s="42" t="s">
        <v>2988</v>
      </c>
      <c r="O1624" s="2" t="s">
        <v>2482</v>
      </c>
      <c r="P1624" t="s">
        <v>22</v>
      </c>
      <c r="Q1624" t="s">
        <v>955</v>
      </c>
    </row>
    <row r="1625" spans="1:17" ht="15" customHeight="1" x14ac:dyDescent="0.25">
      <c r="A1625" s="3" t="s">
        <v>1997</v>
      </c>
      <c r="B1625" s="4" t="s">
        <v>1855</v>
      </c>
      <c r="C1625" t="s">
        <v>1855</v>
      </c>
      <c r="D1625">
        <v>1</v>
      </c>
      <c r="E1625" t="s">
        <v>974</v>
      </c>
      <c r="F1625" t="s">
        <v>975</v>
      </c>
      <c r="G1625" t="s">
        <v>180</v>
      </c>
      <c r="H1625" s="1" t="s">
        <v>976</v>
      </c>
      <c r="I1625" s="1">
        <v>1860</v>
      </c>
      <c r="J1625" s="20">
        <v>0</v>
      </c>
      <c r="K1625" s="1">
        <v>1860</v>
      </c>
      <c r="L1625" s="1">
        <v>0</v>
      </c>
      <c r="M1625" s="42" t="s">
        <v>2988</v>
      </c>
      <c r="O1625" s="2" t="s">
        <v>2528</v>
      </c>
      <c r="Q1625" t="s">
        <v>956</v>
      </c>
    </row>
    <row r="1626" spans="1:17" ht="15" customHeight="1" x14ac:dyDescent="0.25">
      <c r="A1626" s="41" t="s">
        <v>1997</v>
      </c>
      <c r="B1626" s="3" t="s">
        <v>1855</v>
      </c>
      <c r="C1626" s="41" t="s">
        <v>1855</v>
      </c>
      <c r="D1626">
        <v>4</v>
      </c>
      <c r="E1626" t="s">
        <v>1018</v>
      </c>
      <c r="F1626" t="s">
        <v>975</v>
      </c>
      <c r="G1626" t="s">
        <v>180</v>
      </c>
      <c r="H1626" s="1" t="s">
        <v>976</v>
      </c>
      <c r="I1626" s="1">
        <v>1860</v>
      </c>
      <c r="J1626" s="20">
        <v>1</v>
      </c>
      <c r="K1626" s="1">
        <v>1860</v>
      </c>
      <c r="L1626" s="1">
        <v>1860</v>
      </c>
      <c r="M1626" s="42" t="s">
        <v>2988</v>
      </c>
      <c r="O1626" s="2" t="s">
        <v>2528</v>
      </c>
      <c r="Q1626" t="s">
        <v>956</v>
      </c>
    </row>
    <row r="1627" spans="1:17" ht="15" customHeight="1" x14ac:dyDescent="0.25">
      <c r="A1627" s="3" t="s">
        <v>1998</v>
      </c>
      <c r="B1627" s="4" t="s">
        <v>2990</v>
      </c>
      <c r="C1627" t="s">
        <v>1855</v>
      </c>
      <c r="D1627">
        <v>1</v>
      </c>
      <c r="E1627" t="s">
        <v>974</v>
      </c>
      <c r="F1627" t="s">
        <v>975</v>
      </c>
      <c r="G1627" t="s">
        <v>180</v>
      </c>
      <c r="H1627" s="1" t="s">
        <v>976</v>
      </c>
      <c r="I1627" s="1">
        <v>1850</v>
      </c>
      <c r="J1627" s="20">
        <v>0</v>
      </c>
      <c r="K1627" s="1">
        <v>0</v>
      </c>
      <c r="L1627" s="1">
        <v>0</v>
      </c>
      <c r="M1627" s="42" t="s">
        <v>2988</v>
      </c>
      <c r="O1627" s="2" t="s">
        <v>2482</v>
      </c>
      <c r="Q1627" t="s">
        <v>957</v>
      </c>
    </row>
    <row r="1628" spans="1:17" ht="15" customHeight="1" x14ac:dyDescent="0.25">
      <c r="A1628" s="3" t="s">
        <v>1999</v>
      </c>
      <c r="B1628" s="4" t="s">
        <v>1855</v>
      </c>
      <c r="C1628" t="s">
        <v>1855</v>
      </c>
      <c r="D1628">
        <v>1</v>
      </c>
      <c r="E1628" t="s">
        <v>974</v>
      </c>
      <c r="F1628" t="s">
        <v>975</v>
      </c>
      <c r="G1628" t="s">
        <v>180</v>
      </c>
      <c r="H1628" s="1" t="s">
        <v>976</v>
      </c>
      <c r="I1628" s="1">
        <v>1450</v>
      </c>
      <c r="J1628" s="20">
        <v>0</v>
      </c>
      <c r="K1628" s="1">
        <v>1450</v>
      </c>
      <c r="L1628" s="1">
        <v>0</v>
      </c>
      <c r="M1628" s="42" t="s">
        <v>2988</v>
      </c>
      <c r="O1628" s="2" t="s">
        <v>2447</v>
      </c>
      <c r="Q1628" t="s">
        <v>958</v>
      </c>
    </row>
    <row r="1629" spans="1:17" ht="15" customHeight="1" x14ac:dyDescent="0.25">
      <c r="A1629" s="41" t="s">
        <v>1999</v>
      </c>
      <c r="B1629" s="3" t="s">
        <v>1855</v>
      </c>
      <c r="C1629" s="41" t="s">
        <v>1855</v>
      </c>
      <c r="D1629">
        <v>4</v>
      </c>
      <c r="E1629" t="s">
        <v>1018</v>
      </c>
      <c r="F1629" t="s">
        <v>975</v>
      </c>
      <c r="G1629" t="s">
        <v>180</v>
      </c>
      <c r="H1629" s="1" t="s">
        <v>976</v>
      </c>
      <c r="I1629" s="1">
        <v>1450</v>
      </c>
      <c r="J1629" s="20">
        <v>0</v>
      </c>
      <c r="K1629" s="1">
        <v>1450</v>
      </c>
      <c r="L1629" s="1">
        <v>0</v>
      </c>
      <c r="M1629" s="42" t="s">
        <v>2988</v>
      </c>
      <c r="O1629" s="2" t="s">
        <v>2447</v>
      </c>
      <c r="Q1629" t="s">
        <v>958</v>
      </c>
    </row>
    <row r="1630" spans="1:17" ht="15" customHeight="1" x14ac:dyDescent="0.25">
      <c r="A1630" s="3" t="s">
        <v>2189</v>
      </c>
      <c r="B1630" s="4" t="s">
        <v>2991</v>
      </c>
      <c r="C1630" t="s">
        <v>1855</v>
      </c>
      <c r="D1630">
        <v>1</v>
      </c>
      <c r="E1630" t="s">
        <v>974</v>
      </c>
      <c r="F1630" t="s">
        <v>975</v>
      </c>
      <c r="G1630" t="s">
        <v>180</v>
      </c>
      <c r="H1630" s="1" t="s">
        <v>976</v>
      </c>
      <c r="I1630" s="1">
        <v>970</v>
      </c>
      <c r="J1630" s="20">
        <v>0</v>
      </c>
      <c r="K1630" s="1">
        <v>183.7</v>
      </c>
      <c r="L1630" s="1">
        <v>0</v>
      </c>
      <c r="M1630" s="42" t="s">
        <v>2988</v>
      </c>
      <c r="O1630" s="2" t="s">
        <v>2447</v>
      </c>
      <c r="P1630" t="s">
        <v>24</v>
      </c>
      <c r="Q1630" t="s">
        <v>959</v>
      </c>
    </row>
    <row r="1631" spans="1:17" ht="15" customHeight="1" x14ac:dyDescent="0.25">
      <c r="A1631" s="41" t="s">
        <v>2189</v>
      </c>
      <c r="B1631" s="3" t="s">
        <v>2991</v>
      </c>
      <c r="C1631" s="41" t="s">
        <v>1855</v>
      </c>
      <c r="D1631">
        <v>2</v>
      </c>
      <c r="E1631" t="s">
        <v>1017</v>
      </c>
      <c r="F1631" t="s">
        <v>975</v>
      </c>
      <c r="G1631" t="s">
        <v>180</v>
      </c>
      <c r="H1631" s="1" t="s">
        <v>976</v>
      </c>
      <c r="I1631" s="1">
        <v>970</v>
      </c>
      <c r="J1631" s="20">
        <v>0</v>
      </c>
      <c r="K1631" s="1">
        <v>183.7</v>
      </c>
      <c r="L1631" s="1">
        <v>0</v>
      </c>
      <c r="M1631" s="42" t="s">
        <v>2988</v>
      </c>
      <c r="O1631" s="2" t="s">
        <v>2447</v>
      </c>
      <c r="P1631" t="s">
        <v>24</v>
      </c>
      <c r="Q1631" t="s">
        <v>959</v>
      </c>
    </row>
    <row r="1632" spans="1:17" ht="15" customHeight="1" x14ac:dyDescent="0.25">
      <c r="A1632" s="3" t="s">
        <v>2190</v>
      </c>
      <c r="B1632" s="4" t="s">
        <v>2991</v>
      </c>
      <c r="C1632" t="s">
        <v>1855</v>
      </c>
      <c r="D1632">
        <v>1</v>
      </c>
      <c r="E1632" t="s">
        <v>974</v>
      </c>
      <c r="F1632" t="s">
        <v>975</v>
      </c>
      <c r="G1632" t="s">
        <v>180</v>
      </c>
      <c r="H1632" s="1" t="s">
        <v>976</v>
      </c>
      <c r="I1632" s="1">
        <v>970</v>
      </c>
      <c r="J1632" s="20">
        <v>0</v>
      </c>
      <c r="K1632" s="1">
        <v>183.7</v>
      </c>
      <c r="L1632" s="1">
        <v>0</v>
      </c>
      <c r="M1632" s="42" t="s">
        <v>2988</v>
      </c>
      <c r="O1632" s="2" t="s">
        <v>2447</v>
      </c>
      <c r="P1632" t="s">
        <v>23</v>
      </c>
      <c r="Q1632" t="s">
        <v>959</v>
      </c>
    </row>
    <row r="1633" spans="1:17" ht="15" customHeight="1" x14ac:dyDescent="0.25">
      <c r="A1633" s="41" t="s">
        <v>2190</v>
      </c>
      <c r="B1633" s="3" t="s">
        <v>2991</v>
      </c>
      <c r="C1633" s="41" t="s">
        <v>1855</v>
      </c>
      <c r="D1633">
        <v>4</v>
      </c>
      <c r="E1633" t="s">
        <v>1018</v>
      </c>
      <c r="F1633" t="s">
        <v>975</v>
      </c>
      <c r="G1633" t="s">
        <v>180</v>
      </c>
      <c r="H1633" s="1" t="s">
        <v>976</v>
      </c>
      <c r="I1633" s="1">
        <v>970</v>
      </c>
      <c r="J1633" s="20">
        <v>0</v>
      </c>
      <c r="K1633" s="1">
        <v>0</v>
      </c>
      <c r="L1633" s="1">
        <v>0</v>
      </c>
      <c r="M1633" s="42" t="s">
        <v>2988</v>
      </c>
      <c r="O1633" s="2" t="s">
        <v>2447</v>
      </c>
      <c r="P1633" t="s">
        <v>23</v>
      </c>
      <c r="Q1633" t="s">
        <v>959</v>
      </c>
    </row>
    <row r="1634" spans="1:17" ht="15" customHeight="1" x14ac:dyDescent="0.25">
      <c r="A1634" s="3" t="s">
        <v>2191</v>
      </c>
      <c r="B1634" s="4" t="s">
        <v>2991</v>
      </c>
      <c r="C1634" t="s">
        <v>1855</v>
      </c>
      <c r="D1634">
        <v>1</v>
      </c>
      <c r="E1634" t="s">
        <v>974</v>
      </c>
      <c r="F1634" t="s">
        <v>975</v>
      </c>
      <c r="G1634" t="s">
        <v>180</v>
      </c>
      <c r="H1634" s="1" t="s">
        <v>976</v>
      </c>
      <c r="I1634" s="1">
        <v>970</v>
      </c>
      <c r="J1634" s="20">
        <v>0</v>
      </c>
      <c r="K1634" s="1">
        <v>183.7</v>
      </c>
      <c r="L1634" s="1">
        <v>0</v>
      </c>
      <c r="M1634" s="42" t="s">
        <v>2988</v>
      </c>
      <c r="O1634" s="2" t="s">
        <v>2447</v>
      </c>
      <c r="P1634" t="s">
        <v>22</v>
      </c>
      <c r="Q1634" t="s">
        <v>959</v>
      </c>
    </row>
    <row r="1635" spans="1:17" ht="15" customHeight="1" x14ac:dyDescent="0.25">
      <c r="A1635" s="3" t="s">
        <v>2192</v>
      </c>
      <c r="B1635" s="4" t="s">
        <v>2991</v>
      </c>
      <c r="C1635" t="s">
        <v>1855</v>
      </c>
      <c r="D1635">
        <v>1</v>
      </c>
      <c r="E1635" t="s">
        <v>974</v>
      </c>
      <c r="F1635" t="s">
        <v>975</v>
      </c>
      <c r="G1635" t="s">
        <v>180</v>
      </c>
      <c r="H1635" s="1" t="s">
        <v>976</v>
      </c>
      <c r="I1635" s="1">
        <v>970</v>
      </c>
      <c r="J1635" s="20">
        <v>0</v>
      </c>
      <c r="K1635" s="1">
        <v>970</v>
      </c>
      <c r="L1635" s="1">
        <v>0</v>
      </c>
      <c r="M1635" s="42" t="s">
        <v>2988</v>
      </c>
      <c r="O1635" s="2" t="s">
        <v>2443</v>
      </c>
      <c r="P1635" t="s">
        <v>23</v>
      </c>
      <c r="Q1635" t="s">
        <v>960</v>
      </c>
    </row>
    <row r="1636" spans="1:17" ht="15" customHeight="1" x14ac:dyDescent="0.25">
      <c r="A1636" s="41" t="s">
        <v>2192</v>
      </c>
      <c r="B1636" s="3" t="s">
        <v>2991</v>
      </c>
      <c r="C1636" s="41" t="s">
        <v>1855</v>
      </c>
      <c r="D1636">
        <v>4</v>
      </c>
      <c r="E1636" t="s">
        <v>1018</v>
      </c>
      <c r="F1636" t="s">
        <v>975</v>
      </c>
      <c r="G1636" t="s">
        <v>180</v>
      </c>
      <c r="H1636" s="1" t="s">
        <v>976</v>
      </c>
      <c r="I1636" s="1">
        <v>970</v>
      </c>
      <c r="J1636" s="20">
        <v>0</v>
      </c>
      <c r="K1636" s="1">
        <v>0</v>
      </c>
      <c r="L1636" s="1">
        <v>0</v>
      </c>
      <c r="M1636" s="42" t="s">
        <v>2988</v>
      </c>
      <c r="O1636" s="2" t="s">
        <v>2443</v>
      </c>
      <c r="P1636" t="s">
        <v>23</v>
      </c>
      <c r="Q1636" t="s">
        <v>960</v>
      </c>
    </row>
    <row r="1637" spans="1:17" ht="15" customHeight="1" x14ac:dyDescent="0.25">
      <c r="A1637" s="3" t="s">
        <v>2193</v>
      </c>
      <c r="B1637" s="4" t="s">
        <v>535</v>
      </c>
      <c r="C1637" t="s">
        <v>1855</v>
      </c>
      <c r="D1637">
        <v>1</v>
      </c>
      <c r="E1637" t="s">
        <v>974</v>
      </c>
      <c r="F1637" t="s">
        <v>975</v>
      </c>
      <c r="G1637" t="s">
        <v>180</v>
      </c>
      <c r="H1637" s="1" t="s">
        <v>976</v>
      </c>
      <c r="I1637" s="1">
        <v>970</v>
      </c>
      <c r="J1637" s="20">
        <v>0</v>
      </c>
      <c r="K1637" s="1">
        <v>162.13999999999999</v>
      </c>
      <c r="L1637" s="1">
        <v>0</v>
      </c>
      <c r="M1637" s="42" t="s">
        <v>2988</v>
      </c>
      <c r="P1637" t="s">
        <v>24</v>
      </c>
      <c r="Q1637" t="s">
        <v>535</v>
      </c>
    </row>
    <row r="1638" spans="1:17" ht="15" customHeight="1" x14ac:dyDescent="0.25">
      <c r="A1638" s="3" t="s">
        <v>2194</v>
      </c>
      <c r="B1638" s="4" t="s">
        <v>536</v>
      </c>
      <c r="C1638" t="s">
        <v>1855</v>
      </c>
      <c r="D1638">
        <v>1</v>
      </c>
      <c r="E1638" t="s">
        <v>974</v>
      </c>
      <c r="F1638" t="s">
        <v>975</v>
      </c>
      <c r="G1638" t="s">
        <v>180</v>
      </c>
      <c r="H1638" s="1" t="s">
        <v>976</v>
      </c>
      <c r="I1638" s="1">
        <v>970</v>
      </c>
      <c r="J1638" s="20">
        <v>0</v>
      </c>
      <c r="K1638" s="1">
        <v>171.56</v>
      </c>
      <c r="L1638" s="1">
        <v>0</v>
      </c>
      <c r="M1638" s="42" t="s">
        <v>2988</v>
      </c>
      <c r="P1638" t="s">
        <v>23</v>
      </c>
      <c r="Q1638" t="s">
        <v>536</v>
      </c>
    </row>
    <row r="1639" spans="1:17" ht="15" customHeight="1" x14ac:dyDescent="0.25">
      <c r="A1639" s="3" t="s">
        <v>2195</v>
      </c>
      <c r="B1639" s="4" t="s">
        <v>537</v>
      </c>
      <c r="C1639" t="s">
        <v>1855</v>
      </c>
      <c r="D1639">
        <v>1</v>
      </c>
      <c r="E1639" t="s">
        <v>974</v>
      </c>
      <c r="F1639" t="s">
        <v>975</v>
      </c>
      <c r="G1639" t="s">
        <v>180</v>
      </c>
      <c r="H1639" s="1" t="s">
        <v>976</v>
      </c>
      <c r="I1639" s="1">
        <v>970</v>
      </c>
      <c r="J1639" s="20">
        <v>0</v>
      </c>
      <c r="K1639" s="1">
        <v>162.13999999999999</v>
      </c>
      <c r="L1639" s="1">
        <v>0</v>
      </c>
      <c r="M1639" s="42" t="s">
        <v>2988</v>
      </c>
      <c r="P1639" t="s">
        <v>22</v>
      </c>
      <c r="Q1639" t="s">
        <v>537</v>
      </c>
    </row>
    <row r="1640" spans="1:17" ht="15" customHeight="1" x14ac:dyDescent="0.25">
      <c r="A1640" s="3" t="s">
        <v>2196</v>
      </c>
      <c r="B1640" s="4" t="s">
        <v>961</v>
      </c>
      <c r="C1640" t="s">
        <v>1855</v>
      </c>
      <c r="D1640">
        <v>1</v>
      </c>
      <c r="E1640" t="s">
        <v>974</v>
      </c>
      <c r="F1640" t="s">
        <v>975</v>
      </c>
      <c r="G1640" t="s">
        <v>180</v>
      </c>
      <c r="H1640" s="1" t="s">
        <v>976</v>
      </c>
      <c r="I1640" s="1">
        <v>970</v>
      </c>
      <c r="J1640" s="20">
        <v>-1</v>
      </c>
      <c r="K1640" s="1">
        <v>0</v>
      </c>
      <c r="L1640" s="1">
        <v>0</v>
      </c>
      <c r="M1640" s="42" t="s">
        <v>2988</v>
      </c>
      <c r="N1640" s="1" t="s">
        <v>2616</v>
      </c>
      <c r="Q1640" t="s">
        <v>961</v>
      </c>
    </row>
    <row r="1641" spans="1:17" ht="15" customHeight="1" x14ac:dyDescent="0.25">
      <c r="A1641" s="3" t="s">
        <v>2000</v>
      </c>
      <c r="B1641" s="4" t="s">
        <v>2992</v>
      </c>
      <c r="C1641" t="s">
        <v>1855</v>
      </c>
      <c r="D1641">
        <v>1</v>
      </c>
      <c r="E1641" t="s">
        <v>974</v>
      </c>
      <c r="F1641" t="s">
        <v>975</v>
      </c>
      <c r="G1641" t="s">
        <v>976</v>
      </c>
      <c r="H1641" s="1" t="s">
        <v>976</v>
      </c>
      <c r="I1641" s="1">
        <v>1560</v>
      </c>
      <c r="J1641" s="20">
        <v>2</v>
      </c>
      <c r="K1641" s="1">
        <v>280</v>
      </c>
      <c r="L1641" s="1">
        <v>560</v>
      </c>
      <c r="M1641" s="42" t="s">
        <v>2988</v>
      </c>
      <c r="O1641" s="2" t="s">
        <v>2443</v>
      </c>
      <c r="P1641" t="s">
        <v>24</v>
      </c>
      <c r="Q1641" t="s">
        <v>962</v>
      </c>
    </row>
    <row r="1642" spans="1:17" ht="15" customHeight="1" x14ac:dyDescent="0.25">
      <c r="A1642" s="3" t="s">
        <v>2001</v>
      </c>
      <c r="B1642" s="4" t="s">
        <v>2992</v>
      </c>
      <c r="C1642" t="s">
        <v>1855</v>
      </c>
      <c r="D1642">
        <v>1</v>
      </c>
      <c r="E1642" t="s">
        <v>974</v>
      </c>
      <c r="F1642" t="s">
        <v>975</v>
      </c>
      <c r="G1642" t="s">
        <v>976</v>
      </c>
      <c r="H1642" s="1" t="s">
        <v>976</v>
      </c>
      <c r="I1642" s="1">
        <v>1560</v>
      </c>
      <c r="J1642" s="20">
        <v>1</v>
      </c>
      <c r="K1642" s="1">
        <v>280</v>
      </c>
      <c r="L1642" s="1">
        <v>280</v>
      </c>
      <c r="M1642" s="42" t="s">
        <v>2988</v>
      </c>
      <c r="O1642" s="2" t="s">
        <v>2443</v>
      </c>
      <c r="P1642" t="s">
        <v>25</v>
      </c>
      <c r="Q1642" t="s">
        <v>962</v>
      </c>
    </row>
    <row r="1643" spans="1:17" ht="15" customHeight="1" x14ac:dyDescent="0.25">
      <c r="A1643" s="3" t="s">
        <v>2002</v>
      </c>
      <c r="B1643" s="4" t="s">
        <v>2992</v>
      </c>
      <c r="C1643" t="s">
        <v>1855</v>
      </c>
      <c r="D1643">
        <v>1</v>
      </c>
      <c r="E1643" t="s">
        <v>974</v>
      </c>
      <c r="F1643" t="s">
        <v>975</v>
      </c>
      <c r="G1643" t="s">
        <v>976</v>
      </c>
      <c r="H1643" s="1" t="s">
        <v>976</v>
      </c>
      <c r="I1643" s="1">
        <v>1560</v>
      </c>
      <c r="J1643" s="20">
        <v>3</v>
      </c>
      <c r="K1643" s="1">
        <v>280</v>
      </c>
      <c r="L1643" s="1">
        <v>840</v>
      </c>
      <c r="M1643" s="42" t="s">
        <v>2988</v>
      </c>
      <c r="O1643" s="2" t="s">
        <v>2443</v>
      </c>
      <c r="P1643" t="s">
        <v>23</v>
      </c>
      <c r="Q1643" t="s">
        <v>962</v>
      </c>
    </row>
    <row r="1644" spans="1:17" ht="15" customHeight="1" x14ac:dyDescent="0.25">
      <c r="A1644" s="41" t="s">
        <v>2002</v>
      </c>
      <c r="B1644" s="3" t="s">
        <v>2992</v>
      </c>
      <c r="C1644" s="41" t="s">
        <v>1855</v>
      </c>
      <c r="D1644">
        <v>3</v>
      </c>
      <c r="E1644" t="s">
        <v>1179</v>
      </c>
      <c r="F1644" t="s">
        <v>1180</v>
      </c>
      <c r="G1644" t="s">
        <v>976</v>
      </c>
      <c r="H1644" s="1" t="s">
        <v>976</v>
      </c>
      <c r="I1644" s="1">
        <v>1560</v>
      </c>
      <c r="J1644" s="20">
        <v>1</v>
      </c>
      <c r="K1644" s="1">
        <v>1560</v>
      </c>
      <c r="L1644" s="1">
        <v>1560</v>
      </c>
      <c r="M1644" s="42" t="s">
        <v>2988</v>
      </c>
      <c r="O1644" s="2" t="s">
        <v>2443</v>
      </c>
      <c r="P1644" t="s">
        <v>23</v>
      </c>
      <c r="Q1644" t="s">
        <v>962</v>
      </c>
    </row>
    <row r="1645" spans="1:17" ht="15" customHeight="1" x14ac:dyDescent="0.25">
      <c r="A1645" s="3" t="s">
        <v>2003</v>
      </c>
      <c r="B1645" s="4" t="s">
        <v>2992</v>
      </c>
      <c r="C1645" t="s">
        <v>1855</v>
      </c>
      <c r="D1645">
        <v>1</v>
      </c>
      <c r="E1645" t="s">
        <v>974</v>
      </c>
      <c r="F1645" t="s">
        <v>975</v>
      </c>
      <c r="G1645" t="s">
        <v>976</v>
      </c>
      <c r="H1645" s="1" t="s">
        <v>976</v>
      </c>
      <c r="I1645" s="1">
        <v>1560</v>
      </c>
      <c r="J1645" s="20">
        <v>2</v>
      </c>
      <c r="K1645" s="1">
        <v>210</v>
      </c>
      <c r="L1645" s="1">
        <v>420</v>
      </c>
      <c r="M1645" s="42" t="s">
        <v>2988</v>
      </c>
      <c r="O1645" s="2" t="s">
        <v>2443</v>
      </c>
      <c r="P1645" t="s">
        <v>22</v>
      </c>
      <c r="Q1645" t="s">
        <v>962</v>
      </c>
    </row>
    <row r="1646" spans="1:17" ht="15" customHeight="1" x14ac:dyDescent="0.25">
      <c r="A1646" s="3" t="s">
        <v>2004</v>
      </c>
      <c r="B1646" s="4" t="s">
        <v>2993</v>
      </c>
      <c r="C1646" t="s">
        <v>1855</v>
      </c>
      <c r="D1646">
        <v>1</v>
      </c>
      <c r="E1646" t="s">
        <v>974</v>
      </c>
      <c r="F1646" t="s">
        <v>975</v>
      </c>
      <c r="G1646" t="s">
        <v>976</v>
      </c>
      <c r="H1646" s="1" t="s">
        <v>976</v>
      </c>
      <c r="I1646" s="1">
        <v>0</v>
      </c>
      <c r="J1646" s="20">
        <v>-1</v>
      </c>
      <c r="K1646" s="1">
        <v>0</v>
      </c>
      <c r="L1646" s="1">
        <v>0</v>
      </c>
      <c r="M1646" s="42" t="s">
        <v>2988</v>
      </c>
      <c r="N1646" s="1" t="s">
        <v>2616</v>
      </c>
      <c r="O1646" s="2" t="s">
        <v>2443</v>
      </c>
      <c r="Q1646" t="s">
        <v>963</v>
      </c>
    </row>
    <row r="1647" spans="1:17" ht="15" customHeight="1" x14ac:dyDescent="0.25">
      <c r="A1647" s="41" t="s">
        <v>2004</v>
      </c>
      <c r="B1647" s="3" t="s">
        <v>2993</v>
      </c>
      <c r="C1647" s="41" t="s">
        <v>1855</v>
      </c>
      <c r="D1647">
        <v>4</v>
      </c>
      <c r="E1647" t="s">
        <v>1018</v>
      </c>
      <c r="F1647" t="s">
        <v>975</v>
      </c>
      <c r="G1647" t="s">
        <v>976</v>
      </c>
      <c r="H1647" s="1" t="s">
        <v>976</v>
      </c>
      <c r="I1647" s="1">
        <v>0</v>
      </c>
      <c r="J1647" s="20">
        <v>1</v>
      </c>
      <c r="K1647" s="1">
        <v>0</v>
      </c>
      <c r="L1647" s="1">
        <v>0</v>
      </c>
      <c r="M1647" s="42" t="s">
        <v>2988</v>
      </c>
      <c r="N1647" s="1" t="s">
        <v>2616</v>
      </c>
      <c r="O1647" s="2" t="s">
        <v>2443</v>
      </c>
      <c r="Q1647" t="s">
        <v>963</v>
      </c>
    </row>
    <row r="1648" spans="1:17" ht="15" customHeight="1" x14ac:dyDescent="0.25">
      <c r="A1648" s="3" t="s">
        <v>2005</v>
      </c>
      <c r="B1648" s="4" t="s">
        <v>2992</v>
      </c>
      <c r="C1648" t="s">
        <v>1855</v>
      </c>
      <c r="D1648">
        <v>1</v>
      </c>
      <c r="E1648" t="s">
        <v>974</v>
      </c>
      <c r="F1648" t="s">
        <v>975</v>
      </c>
      <c r="G1648" t="s">
        <v>976</v>
      </c>
      <c r="H1648" s="1" t="s">
        <v>976</v>
      </c>
      <c r="I1648" s="1">
        <v>1560</v>
      </c>
      <c r="J1648" s="20">
        <v>2</v>
      </c>
      <c r="K1648" s="1">
        <v>280</v>
      </c>
      <c r="L1648" s="1">
        <v>560</v>
      </c>
      <c r="M1648" s="42" t="s">
        <v>2988</v>
      </c>
      <c r="O1648" s="2" t="s">
        <v>2443</v>
      </c>
      <c r="P1648" t="s">
        <v>21</v>
      </c>
      <c r="Q1648" t="s">
        <v>962</v>
      </c>
    </row>
    <row r="1649" spans="1:17" ht="15" customHeight="1" x14ac:dyDescent="0.25">
      <c r="A1649" s="3" t="s">
        <v>2006</v>
      </c>
      <c r="B1649" s="4" t="s">
        <v>465</v>
      </c>
      <c r="C1649" t="s">
        <v>1855</v>
      </c>
      <c r="D1649">
        <v>1</v>
      </c>
      <c r="E1649" t="s">
        <v>974</v>
      </c>
      <c r="F1649" t="s">
        <v>975</v>
      </c>
      <c r="G1649" t="s">
        <v>976</v>
      </c>
      <c r="H1649" s="1" t="s">
        <v>976</v>
      </c>
      <c r="I1649" s="1">
        <v>1950</v>
      </c>
      <c r="J1649" s="20">
        <v>2</v>
      </c>
      <c r="K1649" s="1">
        <v>396</v>
      </c>
      <c r="L1649" s="1">
        <v>792</v>
      </c>
      <c r="M1649" s="42" t="s">
        <v>2988</v>
      </c>
      <c r="P1649" t="s">
        <v>24</v>
      </c>
      <c r="Q1649" t="s">
        <v>465</v>
      </c>
    </row>
    <row r="1650" spans="1:17" ht="15" customHeight="1" x14ac:dyDescent="0.25">
      <c r="A1650" s="41" t="s">
        <v>2006</v>
      </c>
      <c r="B1650" s="3" t="s">
        <v>465</v>
      </c>
      <c r="C1650" s="41" t="s">
        <v>1855</v>
      </c>
      <c r="D1650">
        <v>4</v>
      </c>
      <c r="E1650" t="s">
        <v>1018</v>
      </c>
      <c r="F1650" t="s">
        <v>975</v>
      </c>
      <c r="G1650" t="s">
        <v>976</v>
      </c>
      <c r="H1650" s="1" t="s">
        <v>976</v>
      </c>
      <c r="I1650" s="1">
        <v>1950</v>
      </c>
      <c r="J1650" s="20">
        <v>0</v>
      </c>
      <c r="K1650" s="1">
        <v>0</v>
      </c>
      <c r="L1650" s="1">
        <v>0</v>
      </c>
      <c r="M1650" s="42" t="s">
        <v>2988</v>
      </c>
      <c r="P1650" t="s">
        <v>24</v>
      </c>
      <c r="Q1650" t="s">
        <v>465</v>
      </c>
    </row>
    <row r="1651" spans="1:17" ht="15" customHeight="1" x14ac:dyDescent="0.25">
      <c r="A1651" s="3" t="s">
        <v>2007</v>
      </c>
      <c r="B1651" s="4" t="s">
        <v>466</v>
      </c>
      <c r="C1651" t="s">
        <v>1855</v>
      </c>
      <c r="D1651">
        <v>1</v>
      </c>
      <c r="E1651" t="s">
        <v>974</v>
      </c>
      <c r="F1651" t="s">
        <v>975</v>
      </c>
      <c r="G1651" t="s">
        <v>976</v>
      </c>
      <c r="H1651" s="1" t="s">
        <v>976</v>
      </c>
      <c r="I1651" s="1">
        <v>1950</v>
      </c>
      <c r="J1651" s="20">
        <v>1</v>
      </c>
      <c r="K1651" s="1">
        <v>396</v>
      </c>
      <c r="L1651" s="1">
        <v>396</v>
      </c>
      <c r="M1651" s="42" t="s">
        <v>2988</v>
      </c>
      <c r="P1651" t="s">
        <v>25</v>
      </c>
      <c r="Q1651" t="s">
        <v>466</v>
      </c>
    </row>
    <row r="1652" spans="1:17" ht="15" customHeight="1" x14ac:dyDescent="0.25">
      <c r="A1652" s="3" t="s">
        <v>2008</v>
      </c>
      <c r="B1652" s="4" t="s">
        <v>467</v>
      </c>
      <c r="C1652" t="s">
        <v>1855</v>
      </c>
      <c r="D1652">
        <v>1</v>
      </c>
      <c r="E1652" t="s">
        <v>974</v>
      </c>
      <c r="F1652" t="s">
        <v>975</v>
      </c>
      <c r="G1652" t="s">
        <v>976</v>
      </c>
      <c r="H1652" s="1" t="s">
        <v>976</v>
      </c>
      <c r="I1652" s="1">
        <v>1950</v>
      </c>
      <c r="J1652" s="20">
        <v>3</v>
      </c>
      <c r="K1652" s="1">
        <v>396</v>
      </c>
      <c r="L1652" s="1">
        <v>1188</v>
      </c>
      <c r="M1652" s="42" t="s">
        <v>2988</v>
      </c>
      <c r="P1652" t="s">
        <v>23</v>
      </c>
      <c r="Q1652" t="s">
        <v>467</v>
      </c>
    </row>
    <row r="1653" spans="1:17" ht="15" customHeight="1" x14ac:dyDescent="0.25">
      <c r="A1653" s="41" t="s">
        <v>2008</v>
      </c>
      <c r="B1653" s="3" t="s">
        <v>467</v>
      </c>
      <c r="C1653" s="41" t="s">
        <v>1855</v>
      </c>
      <c r="D1653">
        <v>3</v>
      </c>
      <c r="E1653" t="s">
        <v>1179</v>
      </c>
      <c r="F1653" t="s">
        <v>1180</v>
      </c>
      <c r="G1653" t="s">
        <v>976</v>
      </c>
      <c r="H1653" s="1" t="s">
        <v>976</v>
      </c>
      <c r="I1653" s="1">
        <v>1950</v>
      </c>
      <c r="J1653" s="20">
        <v>0</v>
      </c>
      <c r="K1653" s="1">
        <v>1950</v>
      </c>
      <c r="L1653" s="1">
        <v>0</v>
      </c>
      <c r="M1653" s="42" t="s">
        <v>2988</v>
      </c>
      <c r="P1653" t="s">
        <v>23</v>
      </c>
      <c r="Q1653" t="s">
        <v>467</v>
      </c>
    </row>
    <row r="1654" spans="1:17" ht="15" customHeight="1" x14ac:dyDescent="0.25">
      <c r="A1654" s="3" t="s">
        <v>2009</v>
      </c>
      <c r="B1654" s="4" t="s">
        <v>468</v>
      </c>
      <c r="C1654" t="s">
        <v>1855</v>
      </c>
      <c r="D1654">
        <v>1</v>
      </c>
      <c r="E1654" t="s">
        <v>974</v>
      </c>
      <c r="F1654" t="s">
        <v>975</v>
      </c>
      <c r="G1654" t="s">
        <v>976</v>
      </c>
      <c r="H1654" s="1" t="s">
        <v>976</v>
      </c>
      <c r="I1654" s="1">
        <v>1950</v>
      </c>
      <c r="J1654" s="20">
        <v>4</v>
      </c>
      <c r="K1654" s="1">
        <v>396</v>
      </c>
      <c r="L1654" s="1">
        <v>1584</v>
      </c>
      <c r="M1654" s="42" t="s">
        <v>2988</v>
      </c>
      <c r="P1654" t="s">
        <v>22</v>
      </c>
      <c r="Q1654" t="s">
        <v>468</v>
      </c>
    </row>
    <row r="1655" spans="1:17" ht="15" customHeight="1" x14ac:dyDescent="0.25">
      <c r="A1655" s="3" t="s">
        <v>2010</v>
      </c>
      <c r="B1655" s="4" t="s">
        <v>469</v>
      </c>
      <c r="C1655" t="s">
        <v>1855</v>
      </c>
      <c r="D1655">
        <v>1</v>
      </c>
      <c r="E1655" t="s">
        <v>974</v>
      </c>
      <c r="F1655" t="s">
        <v>975</v>
      </c>
      <c r="G1655" t="s">
        <v>976</v>
      </c>
      <c r="H1655" s="1" t="s">
        <v>976</v>
      </c>
      <c r="I1655" s="1">
        <v>1950</v>
      </c>
      <c r="J1655" s="20">
        <v>0</v>
      </c>
      <c r="K1655" s="1">
        <v>396</v>
      </c>
      <c r="L1655" s="1">
        <v>0</v>
      </c>
      <c r="M1655" s="42" t="s">
        <v>2988</v>
      </c>
      <c r="P1655" t="s">
        <v>21</v>
      </c>
      <c r="Q1655" t="s">
        <v>469</v>
      </c>
    </row>
    <row r="1656" spans="1:17" ht="15" customHeight="1" x14ac:dyDescent="0.25">
      <c r="A1656" s="3" t="s">
        <v>2011</v>
      </c>
      <c r="B1656" s="4" t="s">
        <v>2994</v>
      </c>
      <c r="C1656" t="s">
        <v>1855</v>
      </c>
      <c r="D1656">
        <v>1</v>
      </c>
      <c r="E1656" t="s">
        <v>974</v>
      </c>
      <c r="F1656" t="s">
        <v>975</v>
      </c>
      <c r="G1656" t="s">
        <v>976</v>
      </c>
      <c r="H1656" s="1" t="s">
        <v>976</v>
      </c>
      <c r="I1656" s="1">
        <v>1950</v>
      </c>
      <c r="J1656" s="20">
        <v>2</v>
      </c>
      <c r="K1656" s="1">
        <v>0</v>
      </c>
      <c r="L1656" s="1">
        <v>0</v>
      </c>
      <c r="M1656" s="42" t="s">
        <v>2988</v>
      </c>
      <c r="O1656" s="2" t="s">
        <v>2482</v>
      </c>
      <c r="P1656" t="s">
        <v>24</v>
      </c>
      <c r="Q1656" t="s">
        <v>964</v>
      </c>
    </row>
    <row r="1657" spans="1:17" ht="15" customHeight="1" x14ac:dyDescent="0.25">
      <c r="A1657" s="41" t="s">
        <v>2011</v>
      </c>
      <c r="B1657" s="3" t="s">
        <v>2994</v>
      </c>
      <c r="C1657" s="41" t="s">
        <v>1855</v>
      </c>
      <c r="D1657">
        <v>4</v>
      </c>
      <c r="E1657" t="s">
        <v>1018</v>
      </c>
      <c r="F1657" t="s">
        <v>975</v>
      </c>
      <c r="G1657" t="s">
        <v>976</v>
      </c>
      <c r="H1657" s="1" t="s">
        <v>976</v>
      </c>
      <c r="I1657" s="1">
        <v>1950</v>
      </c>
      <c r="J1657" s="20">
        <v>0</v>
      </c>
      <c r="K1657" s="1">
        <v>0</v>
      </c>
      <c r="L1657" s="1">
        <v>0</v>
      </c>
      <c r="M1657" s="42" t="s">
        <v>2988</v>
      </c>
      <c r="O1657" s="2" t="s">
        <v>2482</v>
      </c>
      <c r="P1657" t="s">
        <v>24</v>
      </c>
      <c r="Q1657" t="s">
        <v>964</v>
      </c>
    </row>
    <row r="1658" spans="1:17" ht="15" customHeight="1" x14ac:dyDescent="0.25">
      <c r="A1658" s="3" t="s">
        <v>2012</v>
      </c>
      <c r="B1658" s="4" t="s">
        <v>2994</v>
      </c>
      <c r="C1658" t="s">
        <v>1855</v>
      </c>
      <c r="D1658">
        <v>1</v>
      </c>
      <c r="E1658" t="s">
        <v>974</v>
      </c>
      <c r="F1658" t="s">
        <v>975</v>
      </c>
      <c r="G1658" t="s">
        <v>976</v>
      </c>
      <c r="H1658" s="1" t="s">
        <v>976</v>
      </c>
      <c r="I1658" s="1">
        <v>1950</v>
      </c>
      <c r="J1658" s="20">
        <v>1</v>
      </c>
      <c r="K1658" s="1">
        <v>396</v>
      </c>
      <c r="L1658" s="1">
        <v>396</v>
      </c>
      <c r="M1658" s="42" t="s">
        <v>2988</v>
      </c>
      <c r="O1658" s="2" t="s">
        <v>2482</v>
      </c>
      <c r="P1658" t="s">
        <v>25</v>
      </c>
      <c r="Q1658" t="s">
        <v>964</v>
      </c>
    </row>
    <row r="1659" spans="1:17" ht="15" customHeight="1" x14ac:dyDescent="0.25">
      <c r="A1659" s="3" t="s">
        <v>2013</v>
      </c>
      <c r="B1659" s="4" t="s">
        <v>2994</v>
      </c>
      <c r="C1659" t="s">
        <v>1855</v>
      </c>
      <c r="D1659">
        <v>1</v>
      </c>
      <c r="E1659" t="s">
        <v>974</v>
      </c>
      <c r="F1659" t="s">
        <v>975</v>
      </c>
      <c r="G1659" t="s">
        <v>976</v>
      </c>
      <c r="H1659" s="1" t="s">
        <v>976</v>
      </c>
      <c r="I1659" s="1">
        <v>1950</v>
      </c>
      <c r="J1659" s="20">
        <v>3</v>
      </c>
      <c r="K1659" s="1">
        <v>396</v>
      </c>
      <c r="L1659" s="1">
        <v>1188</v>
      </c>
      <c r="M1659" s="42" t="s">
        <v>2988</v>
      </c>
      <c r="O1659" s="2" t="s">
        <v>2482</v>
      </c>
      <c r="P1659" t="s">
        <v>23</v>
      </c>
      <c r="Q1659" t="s">
        <v>964</v>
      </c>
    </row>
    <row r="1660" spans="1:17" ht="15" customHeight="1" x14ac:dyDescent="0.25">
      <c r="A1660" s="41" t="s">
        <v>2013</v>
      </c>
      <c r="B1660" s="3" t="s">
        <v>2994</v>
      </c>
      <c r="C1660" s="41" t="s">
        <v>1855</v>
      </c>
      <c r="D1660">
        <v>3</v>
      </c>
      <c r="E1660" t="s">
        <v>1179</v>
      </c>
      <c r="F1660" t="s">
        <v>1180</v>
      </c>
      <c r="G1660" t="s">
        <v>976</v>
      </c>
      <c r="H1660" s="1" t="s">
        <v>976</v>
      </c>
      <c r="I1660" s="1">
        <v>1950</v>
      </c>
      <c r="J1660" s="20">
        <v>1</v>
      </c>
      <c r="K1660" s="1">
        <v>1950</v>
      </c>
      <c r="L1660" s="1">
        <v>1950</v>
      </c>
      <c r="M1660" s="42" t="s">
        <v>2988</v>
      </c>
      <c r="O1660" s="2" t="s">
        <v>2482</v>
      </c>
      <c r="P1660" t="s">
        <v>23</v>
      </c>
      <c r="Q1660" t="s">
        <v>964</v>
      </c>
    </row>
    <row r="1661" spans="1:17" ht="15" customHeight="1" x14ac:dyDescent="0.25">
      <c r="A1661" s="3" t="s">
        <v>2014</v>
      </c>
      <c r="B1661" s="4" t="s">
        <v>2994</v>
      </c>
      <c r="C1661" t="s">
        <v>1855</v>
      </c>
      <c r="D1661">
        <v>1</v>
      </c>
      <c r="E1661" t="s">
        <v>974</v>
      </c>
      <c r="F1661" t="s">
        <v>975</v>
      </c>
      <c r="G1661" t="s">
        <v>976</v>
      </c>
      <c r="H1661" s="1" t="s">
        <v>976</v>
      </c>
      <c r="I1661" s="1">
        <v>1950</v>
      </c>
      <c r="J1661" s="20">
        <v>2</v>
      </c>
      <c r="K1661" s="1">
        <v>396</v>
      </c>
      <c r="L1661" s="1">
        <v>792</v>
      </c>
      <c r="M1661" s="42" t="s">
        <v>2988</v>
      </c>
      <c r="O1661" s="2" t="s">
        <v>2482</v>
      </c>
      <c r="P1661" t="s">
        <v>22</v>
      </c>
      <c r="Q1661" t="s">
        <v>964</v>
      </c>
    </row>
    <row r="1662" spans="1:17" ht="15" customHeight="1" x14ac:dyDescent="0.25">
      <c r="A1662" s="41" t="s">
        <v>2014</v>
      </c>
      <c r="B1662" s="3" t="s">
        <v>2994</v>
      </c>
      <c r="C1662" s="41" t="s">
        <v>1855</v>
      </c>
      <c r="D1662">
        <v>3</v>
      </c>
      <c r="E1662" t="s">
        <v>1179</v>
      </c>
      <c r="F1662" t="s">
        <v>1180</v>
      </c>
      <c r="G1662" t="s">
        <v>976</v>
      </c>
      <c r="H1662" s="1" t="s">
        <v>976</v>
      </c>
      <c r="I1662" s="1">
        <v>1950</v>
      </c>
      <c r="J1662" s="20">
        <v>1</v>
      </c>
      <c r="K1662" s="1">
        <v>1950</v>
      </c>
      <c r="L1662" s="1">
        <v>1950</v>
      </c>
      <c r="M1662" s="42" t="s">
        <v>2988</v>
      </c>
      <c r="O1662" s="2" t="s">
        <v>2482</v>
      </c>
      <c r="P1662" t="s">
        <v>22</v>
      </c>
      <c r="Q1662" t="s">
        <v>964</v>
      </c>
    </row>
    <row r="1663" spans="1:17" ht="15" customHeight="1" x14ac:dyDescent="0.25">
      <c r="A1663" s="3" t="s">
        <v>2015</v>
      </c>
      <c r="B1663" s="4" t="s">
        <v>2994</v>
      </c>
      <c r="C1663" t="s">
        <v>1855</v>
      </c>
      <c r="D1663">
        <v>1</v>
      </c>
      <c r="E1663" t="s">
        <v>974</v>
      </c>
      <c r="F1663" t="s">
        <v>975</v>
      </c>
      <c r="G1663" t="s">
        <v>976</v>
      </c>
      <c r="H1663" s="1" t="s">
        <v>976</v>
      </c>
      <c r="I1663" s="1">
        <v>1950</v>
      </c>
      <c r="J1663" s="20">
        <v>2</v>
      </c>
      <c r="K1663" s="1">
        <v>396</v>
      </c>
      <c r="L1663" s="1">
        <v>792</v>
      </c>
      <c r="M1663" s="42" t="s">
        <v>2988</v>
      </c>
      <c r="O1663" s="2" t="s">
        <v>2482</v>
      </c>
      <c r="P1663" t="s">
        <v>21</v>
      </c>
      <c r="Q1663" t="s">
        <v>964</v>
      </c>
    </row>
    <row r="1664" spans="1:17" ht="15" customHeight="1" x14ac:dyDescent="0.25">
      <c r="A1664" s="3" t="s">
        <v>2016</v>
      </c>
      <c r="B1664" s="4" t="s">
        <v>2995</v>
      </c>
      <c r="C1664" t="s">
        <v>1855</v>
      </c>
      <c r="D1664">
        <v>1</v>
      </c>
      <c r="E1664" t="s">
        <v>974</v>
      </c>
      <c r="F1664" t="s">
        <v>975</v>
      </c>
      <c r="G1664" t="s">
        <v>180</v>
      </c>
      <c r="H1664" s="1" t="s">
        <v>976</v>
      </c>
      <c r="I1664" s="1">
        <v>790</v>
      </c>
      <c r="J1664" s="20">
        <v>0</v>
      </c>
      <c r="K1664" s="1">
        <v>150</v>
      </c>
      <c r="L1664" s="1">
        <v>0</v>
      </c>
      <c r="M1664" s="42" t="s">
        <v>2988</v>
      </c>
      <c r="O1664" s="2" t="s">
        <v>2467</v>
      </c>
      <c r="P1664" t="s">
        <v>23</v>
      </c>
      <c r="Q1664" t="s">
        <v>965</v>
      </c>
    </row>
    <row r="1665" spans="1:17" ht="15" customHeight="1" x14ac:dyDescent="0.25">
      <c r="A1665" s="3" t="s">
        <v>2197</v>
      </c>
      <c r="B1665" s="4" t="s">
        <v>2996</v>
      </c>
      <c r="C1665" t="s">
        <v>1855</v>
      </c>
      <c r="D1665">
        <v>1</v>
      </c>
      <c r="E1665" t="s">
        <v>974</v>
      </c>
      <c r="F1665" t="s">
        <v>975</v>
      </c>
      <c r="G1665" t="s">
        <v>180</v>
      </c>
      <c r="H1665" s="1" t="s">
        <v>976</v>
      </c>
      <c r="I1665" s="1">
        <v>490</v>
      </c>
      <c r="J1665" s="20">
        <v>2</v>
      </c>
      <c r="K1665" s="1">
        <v>84.73</v>
      </c>
      <c r="L1665" s="1">
        <v>169.46</v>
      </c>
      <c r="M1665" s="42" t="s">
        <v>2988</v>
      </c>
      <c r="O1665" s="2" t="s">
        <v>2447</v>
      </c>
      <c r="Q1665" t="s">
        <v>966</v>
      </c>
    </row>
    <row r="1666" spans="1:17" ht="15" customHeight="1" x14ac:dyDescent="0.25">
      <c r="A1666" s="41" t="s">
        <v>2197</v>
      </c>
      <c r="B1666" s="3" t="s">
        <v>2996</v>
      </c>
      <c r="C1666" s="41" t="s">
        <v>1855</v>
      </c>
      <c r="D1666">
        <v>3</v>
      </c>
      <c r="E1666" t="s">
        <v>1179</v>
      </c>
      <c r="F1666" t="s">
        <v>1180</v>
      </c>
      <c r="G1666" t="s">
        <v>180</v>
      </c>
      <c r="H1666" s="1" t="s">
        <v>976</v>
      </c>
      <c r="I1666" s="1">
        <v>490</v>
      </c>
      <c r="J1666" s="20">
        <v>1</v>
      </c>
      <c r="K1666" s="1">
        <v>490</v>
      </c>
      <c r="L1666" s="1">
        <v>490</v>
      </c>
      <c r="M1666" s="42" t="s">
        <v>2988</v>
      </c>
      <c r="O1666" s="2" t="s">
        <v>2447</v>
      </c>
      <c r="Q1666" t="s">
        <v>966</v>
      </c>
    </row>
    <row r="1667" spans="1:17" ht="15" customHeight="1" x14ac:dyDescent="0.25">
      <c r="A1667" s="3" t="s">
        <v>2198</v>
      </c>
      <c r="B1667" s="4" t="s">
        <v>2996</v>
      </c>
      <c r="C1667" t="s">
        <v>1855</v>
      </c>
      <c r="D1667">
        <v>1</v>
      </c>
      <c r="E1667" t="s">
        <v>974</v>
      </c>
      <c r="F1667" t="s">
        <v>975</v>
      </c>
      <c r="G1667" t="s">
        <v>180</v>
      </c>
      <c r="H1667" s="1" t="s">
        <v>976</v>
      </c>
      <c r="I1667" s="1">
        <v>490</v>
      </c>
      <c r="J1667" s="20">
        <v>2</v>
      </c>
      <c r="K1667" s="1">
        <v>84.73</v>
      </c>
      <c r="L1667" s="1">
        <v>169.46</v>
      </c>
      <c r="M1667" s="42" t="s">
        <v>2988</v>
      </c>
      <c r="O1667" s="2" t="s">
        <v>2447</v>
      </c>
      <c r="Q1667" t="s">
        <v>966</v>
      </c>
    </row>
    <row r="1668" spans="1:17" ht="15" customHeight="1" x14ac:dyDescent="0.25">
      <c r="A1668" s="3" t="s">
        <v>2199</v>
      </c>
      <c r="B1668" s="4" t="s">
        <v>2996</v>
      </c>
      <c r="C1668" t="s">
        <v>1855</v>
      </c>
      <c r="D1668">
        <v>1</v>
      </c>
      <c r="E1668" t="s">
        <v>974</v>
      </c>
      <c r="F1668" t="s">
        <v>975</v>
      </c>
      <c r="G1668" t="s">
        <v>180</v>
      </c>
      <c r="H1668" s="1" t="s">
        <v>976</v>
      </c>
      <c r="I1668" s="1">
        <v>490</v>
      </c>
      <c r="J1668" s="20">
        <v>2</v>
      </c>
      <c r="K1668" s="1">
        <v>84.73</v>
      </c>
      <c r="L1668" s="1">
        <v>169.46</v>
      </c>
      <c r="M1668" s="42" t="s">
        <v>2988</v>
      </c>
      <c r="O1668" s="2" t="s">
        <v>2447</v>
      </c>
      <c r="Q1668" t="s">
        <v>966</v>
      </c>
    </row>
    <row r="1669" spans="1:17" ht="15" customHeight="1" x14ac:dyDescent="0.25">
      <c r="A1669" s="41" t="s">
        <v>2199</v>
      </c>
      <c r="B1669" s="3" t="s">
        <v>2996</v>
      </c>
      <c r="C1669" s="41" t="s">
        <v>1855</v>
      </c>
      <c r="D1669">
        <v>3</v>
      </c>
      <c r="E1669" t="s">
        <v>1179</v>
      </c>
      <c r="F1669" t="s">
        <v>1180</v>
      </c>
      <c r="G1669" t="s">
        <v>180</v>
      </c>
      <c r="H1669" s="1" t="s">
        <v>976</v>
      </c>
      <c r="I1669" s="1">
        <v>490</v>
      </c>
      <c r="J1669" s="20">
        <v>1</v>
      </c>
      <c r="K1669" s="1">
        <v>490</v>
      </c>
      <c r="L1669" s="1">
        <v>490</v>
      </c>
      <c r="M1669" s="42" t="s">
        <v>2988</v>
      </c>
      <c r="O1669" s="2" t="s">
        <v>2447</v>
      </c>
      <c r="Q1669" t="s">
        <v>966</v>
      </c>
    </row>
    <row r="1670" spans="1:17" ht="15" customHeight="1" x14ac:dyDescent="0.25">
      <c r="A1670" s="3" t="s">
        <v>2200</v>
      </c>
      <c r="B1670" s="4" t="s">
        <v>2996</v>
      </c>
      <c r="C1670" t="s">
        <v>1855</v>
      </c>
      <c r="D1670">
        <v>1</v>
      </c>
      <c r="E1670" t="s">
        <v>974</v>
      </c>
      <c r="F1670" t="s">
        <v>975</v>
      </c>
      <c r="G1670" t="s">
        <v>180</v>
      </c>
      <c r="H1670" s="1" t="s">
        <v>976</v>
      </c>
      <c r="I1670" s="1">
        <v>490</v>
      </c>
      <c r="J1670" s="20">
        <v>2</v>
      </c>
      <c r="K1670" s="1">
        <v>84.73</v>
      </c>
      <c r="L1670" s="1">
        <v>169.46</v>
      </c>
      <c r="M1670" s="42" t="s">
        <v>2988</v>
      </c>
      <c r="O1670" s="2" t="s">
        <v>2447</v>
      </c>
      <c r="Q1670" t="s">
        <v>966</v>
      </c>
    </row>
    <row r="1671" spans="1:17" ht="15" customHeight="1" x14ac:dyDescent="0.25">
      <c r="A1671" s="41" t="s">
        <v>2200</v>
      </c>
      <c r="B1671" s="3" t="s">
        <v>2996</v>
      </c>
      <c r="C1671" s="41" t="s">
        <v>1855</v>
      </c>
      <c r="D1671">
        <v>3</v>
      </c>
      <c r="E1671" t="s">
        <v>1179</v>
      </c>
      <c r="F1671" t="s">
        <v>1180</v>
      </c>
      <c r="G1671" t="s">
        <v>180</v>
      </c>
      <c r="H1671" s="1" t="s">
        <v>976</v>
      </c>
      <c r="I1671" s="1">
        <v>490</v>
      </c>
      <c r="J1671" s="20">
        <v>1</v>
      </c>
      <c r="K1671" s="1">
        <v>490</v>
      </c>
      <c r="L1671" s="1">
        <v>490</v>
      </c>
      <c r="M1671" s="42" t="s">
        <v>2988</v>
      </c>
      <c r="O1671" s="2" t="s">
        <v>2447</v>
      </c>
      <c r="Q1671" t="s">
        <v>966</v>
      </c>
    </row>
    <row r="1672" spans="1:17" ht="15" customHeight="1" x14ac:dyDescent="0.25">
      <c r="A1672" s="3" t="s">
        <v>2201</v>
      </c>
      <c r="B1672" s="4" t="s">
        <v>2996</v>
      </c>
      <c r="C1672" t="s">
        <v>1855</v>
      </c>
      <c r="D1672">
        <v>1</v>
      </c>
      <c r="E1672" t="s">
        <v>974</v>
      </c>
      <c r="F1672" t="s">
        <v>975</v>
      </c>
      <c r="G1672" t="s">
        <v>180</v>
      </c>
      <c r="H1672" s="1" t="s">
        <v>976</v>
      </c>
      <c r="I1672" s="1">
        <v>490</v>
      </c>
      <c r="J1672" s="20">
        <v>1</v>
      </c>
      <c r="K1672" s="1">
        <v>84.73</v>
      </c>
      <c r="L1672" s="1">
        <v>84.73</v>
      </c>
      <c r="M1672" s="42" t="s">
        <v>2988</v>
      </c>
      <c r="O1672" s="2" t="s">
        <v>2447</v>
      </c>
      <c r="Q1672" t="s">
        <v>966</v>
      </c>
    </row>
    <row r="1673" spans="1:17" ht="15" customHeight="1" x14ac:dyDescent="0.25">
      <c r="A1673" s="3" t="s">
        <v>2202</v>
      </c>
      <c r="B1673" s="4" t="s">
        <v>538</v>
      </c>
      <c r="C1673" t="s">
        <v>1855</v>
      </c>
      <c r="D1673">
        <v>1</v>
      </c>
      <c r="E1673" t="s">
        <v>974</v>
      </c>
      <c r="F1673" t="s">
        <v>975</v>
      </c>
      <c r="G1673" t="s">
        <v>180</v>
      </c>
      <c r="H1673" s="1" t="s">
        <v>976</v>
      </c>
      <c r="I1673" s="1">
        <v>490</v>
      </c>
      <c r="J1673" s="20">
        <v>0</v>
      </c>
      <c r="K1673" s="1">
        <v>84.73</v>
      </c>
      <c r="L1673" s="1">
        <v>0</v>
      </c>
      <c r="M1673" s="42" t="s">
        <v>2988</v>
      </c>
      <c r="Q1673" t="s">
        <v>538</v>
      </c>
    </row>
    <row r="1674" spans="1:17" ht="15" customHeight="1" x14ac:dyDescent="0.25">
      <c r="A1674" s="41" t="s">
        <v>2202</v>
      </c>
      <c r="B1674" s="3" t="s">
        <v>538</v>
      </c>
      <c r="C1674" s="41" t="s">
        <v>1855</v>
      </c>
      <c r="D1674">
        <v>3</v>
      </c>
      <c r="E1674" t="s">
        <v>1179</v>
      </c>
      <c r="F1674" t="s">
        <v>1180</v>
      </c>
      <c r="G1674" t="s">
        <v>180</v>
      </c>
      <c r="H1674" s="1" t="s">
        <v>976</v>
      </c>
      <c r="I1674" s="1">
        <v>490</v>
      </c>
      <c r="J1674" s="20">
        <v>1</v>
      </c>
      <c r="K1674" s="1">
        <v>490</v>
      </c>
      <c r="L1674" s="1">
        <v>490</v>
      </c>
      <c r="M1674" s="42" t="s">
        <v>2988</v>
      </c>
      <c r="Q1674" t="s">
        <v>538</v>
      </c>
    </row>
    <row r="1675" spans="1:17" ht="15" customHeight="1" x14ac:dyDescent="0.25">
      <c r="A1675" s="3" t="s">
        <v>2203</v>
      </c>
      <c r="B1675" s="4" t="s">
        <v>539</v>
      </c>
      <c r="C1675" t="s">
        <v>1855</v>
      </c>
      <c r="D1675">
        <v>1</v>
      </c>
      <c r="E1675" t="s">
        <v>974</v>
      </c>
      <c r="F1675" t="s">
        <v>975</v>
      </c>
      <c r="G1675" t="s">
        <v>180</v>
      </c>
      <c r="H1675" s="1" t="s">
        <v>976</v>
      </c>
      <c r="I1675" s="1">
        <v>490</v>
      </c>
      <c r="J1675" s="20">
        <v>2</v>
      </c>
      <c r="K1675" s="1">
        <v>84.73</v>
      </c>
      <c r="L1675" s="1">
        <v>169.46</v>
      </c>
      <c r="M1675" s="42" t="s">
        <v>2988</v>
      </c>
      <c r="Q1675" t="s">
        <v>539</v>
      </c>
    </row>
    <row r="1676" spans="1:17" ht="15" customHeight="1" x14ac:dyDescent="0.25">
      <c r="A1676" s="3" t="s">
        <v>2204</v>
      </c>
      <c r="B1676" s="4" t="s">
        <v>540</v>
      </c>
      <c r="C1676" t="s">
        <v>1855</v>
      </c>
      <c r="D1676">
        <v>1</v>
      </c>
      <c r="E1676" t="s">
        <v>974</v>
      </c>
      <c r="F1676" t="s">
        <v>975</v>
      </c>
      <c r="G1676" t="s">
        <v>180</v>
      </c>
      <c r="H1676" s="1" t="s">
        <v>976</v>
      </c>
      <c r="I1676" s="1">
        <v>490</v>
      </c>
      <c r="J1676" s="20">
        <v>1</v>
      </c>
      <c r="K1676" s="1">
        <v>84.73</v>
      </c>
      <c r="L1676" s="1">
        <v>84.73</v>
      </c>
      <c r="M1676" s="42" t="s">
        <v>2988</v>
      </c>
      <c r="Q1676" t="s">
        <v>540</v>
      </c>
    </row>
    <row r="1677" spans="1:17" ht="15" customHeight="1" x14ac:dyDescent="0.25">
      <c r="A1677" s="41" t="s">
        <v>2204</v>
      </c>
      <c r="B1677" s="3" t="s">
        <v>540</v>
      </c>
      <c r="C1677" s="41" t="s">
        <v>1855</v>
      </c>
      <c r="D1677">
        <v>3</v>
      </c>
      <c r="E1677" t="s">
        <v>1179</v>
      </c>
      <c r="F1677" t="s">
        <v>1180</v>
      </c>
      <c r="G1677" t="s">
        <v>180</v>
      </c>
      <c r="H1677" s="1" t="s">
        <v>976</v>
      </c>
      <c r="I1677" s="1">
        <v>490</v>
      </c>
      <c r="J1677" s="20">
        <v>1</v>
      </c>
      <c r="K1677" s="1">
        <v>490</v>
      </c>
      <c r="L1677" s="1">
        <v>490</v>
      </c>
      <c r="M1677" s="42" t="s">
        <v>2988</v>
      </c>
      <c r="Q1677" t="s">
        <v>540</v>
      </c>
    </row>
    <row r="1678" spans="1:17" ht="15" customHeight="1" x14ac:dyDescent="0.25">
      <c r="A1678" s="3" t="s">
        <v>2205</v>
      </c>
      <c r="B1678" s="4" t="s">
        <v>541</v>
      </c>
      <c r="C1678" t="s">
        <v>1855</v>
      </c>
      <c r="D1678">
        <v>1</v>
      </c>
      <c r="E1678" t="s">
        <v>974</v>
      </c>
      <c r="F1678" t="s">
        <v>975</v>
      </c>
      <c r="G1678" t="s">
        <v>180</v>
      </c>
      <c r="H1678" s="1" t="s">
        <v>976</v>
      </c>
      <c r="I1678" s="1">
        <v>490</v>
      </c>
      <c r="J1678" s="20">
        <v>0</v>
      </c>
      <c r="K1678" s="1">
        <v>84.73</v>
      </c>
      <c r="L1678" s="1">
        <v>0</v>
      </c>
      <c r="M1678" s="42" t="s">
        <v>2988</v>
      </c>
      <c r="Q1678" t="s">
        <v>541</v>
      </c>
    </row>
    <row r="1679" spans="1:17" ht="15" customHeight="1" x14ac:dyDescent="0.25">
      <c r="A1679" s="41" t="s">
        <v>2205</v>
      </c>
      <c r="B1679" s="3" t="s">
        <v>541</v>
      </c>
      <c r="C1679" s="41" t="s">
        <v>1855</v>
      </c>
      <c r="D1679">
        <v>3</v>
      </c>
      <c r="E1679" t="s">
        <v>1179</v>
      </c>
      <c r="F1679" t="s">
        <v>1180</v>
      </c>
      <c r="G1679" t="s">
        <v>180</v>
      </c>
      <c r="H1679" s="1" t="s">
        <v>976</v>
      </c>
      <c r="I1679" s="1">
        <v>490</v>
      </c>
      <c r="J1679" s="20">
        <v>1</v>
      </c>
      <c r="K1679" s="1">
        <v>490</v>
      </c>
      <c r="L1679" s="1">
        <v>490</v>
      </c>
      <c r="M1679" s="42" t="s">
        <v>2988</v>
      </c>
      <c r="Q1679" t="s">
        <v>541</v>
      </c>
    </row>
    <row r="1680" spans="1:17" ht="15" customHeight="1" x14ac:dyDescent="0.25">
      <c r="A1680" s="3" t="s">
        <v>2206</v>
      </c>
      <c r="B1680" s="4" t="s">
        <v>542</v>
      </c>
      <c r="C1680" t="s">
        <v>1855</v>
      </c>
      <c r="D1680">
        <v>1</v>
      </c>
      <c r="E1680" t="s">
        <v>974</v>
      </c>
      <c r="F1680" t="s">
        <v>975</v>
      </c>
      <c r="G1680" t="s">
        <v>180</v>
      </c>
      <c r="H1680" s="1" t="s">
        <v>976</v>
      </c>
      <c r="I1680" s="1">
        <v>490</v>
      </c>
      <c r="J1680" s="20">
        <v>1</v>
      </c>
      <c r="K1680" s="1">
        <v>84.73</v>
      </c>
      <c r="L1680" s="1">
        <v>84.73</v>
      </c>
      <c r="M1680" s="42" t="s">
        <v>2988</v>
      </c>
      <c r="Q1680" t="s">
        <v>542</v>
      </c>
    </row>
    <row r="1681" spans="1:17" ht="15" customHeight="1" x14ac:dyDescent="0.25">
      <c r="A1681" s="3" t="s">
        <v>2017</v>
      </c>
      <c r="B1681" s="4" t="s">
        <v>470</v>
      </c>
      <c r="C1681" t="s">
        <v>1855</v>
      </c>
      <c r="D1681">
        <v>1</v>
      </c>
      <c r="E1681" t="s">
        <v>974</v>
      </c>
      <c r="F1681" t="s">
        <v>975</v>
      </c>
      <c r="G1681" t="s">
        <v>180</v>
      </c>
      <c r="H1681" s="1" t="s">
        <v>976</v>
      </c>
      <c r="I1681" s="1">
        <v>940</v>
      </c>
      <c r="J1681" s="20">
        <v>0</v>
      </c>
      <c r="K1681" s="1">
        <v>0</v>
      </c>
      <c r="L1681" s="1">
        <v>0</v>
      </c>
      <c r="M1681" s="42" t="s">
        <v>2988</v>
      </c>
      <c r="Q1681" t="s">
        <v>470</v>
      </c>
    </row>
    <row r="1682" spans="1:17" ht="15" customHeight="1" x14ac:dyDescent="0.25">
      <c r="A1682" s="41" t="s">
        <v>2017</v>
      </c>
      <c r="B1682" s="3" t="s">
        <v>470</v>
      </c>
      <c r="C1682" s="41" t="s">
        <v>1855</v>
      </c>
      <c r="D1682">
        <v>4</v>
      </c>
      <c r="E1682" t="s">
        <v>1018</v>
      </c>
      <c r="F1682" t="s">
        <v>975</v>
      </c>
      <c r="G1682" t="s">
        <v>180</v>
      </c>
      <c r="H1682" s="1" t="s">
        <v>976</v>
      </c>
      <c r="I1682" s="1">
        <v>940</v>
      </c>
      <c r="J1682" s="20">
        <v>0</v>
      </c>
      <c r="K1682" s="1">
        <v>0</v>
      </c>
      <c r="L1682" s="1">
        <v>0</v>
      </c>
      <c r="M1682" s="42" t="s">
        <v>2988</v>
      </c>
      <c r="Q1682" t="s">
        <v>470</v>
      </c>
    </row>
    <row r="1683" spans="1:17" ht="15" customHeight="1" x14ac:dyDescent="0.25">
      <c r="A1683" s="3" t="s">
        <v>2018</v>
      </c>
      <c r="B1683" s="4" t="s">
        <v>1855</v>
      </c>
      <c r="C1683" t="s">
        <v>1855</v>
      </c>
      <c r="D1683">
        <v>1</v>
      </c>
      <c r="E1683" t="s">
        <v>974</v>
      </c>
      <c r="F1683" t="s">
        <v>975</v>
      </c>
      <c r="G1683" t="s">
        <v>180</v>
      </c>
      <c r="H1683" s="1" t="s">
        <v>976</v>
      </c>
      <c r="I1683" s="1">
        <v>1760</v>
      </c>
      <c r="J1683" s="20">
        <v>0</v>
      </c>
      <c r="K1683" s="1">
        <v>1760</v>
      </c>
      <c r="L1683" s="1">
        <v>0</v>
      </c>
      <c r="M1683" s="42" t="s">
        <v>2988</v>
      </c>
      <c r="O1683" s="2" t="s">
        <v>2528</v>
      </c>
      <c r="Q1683" t="s">
        <v>956</v>
      </c>
    </row>
    <row r="1684" spans="1:17" ht="15" customHeight="1" x14ac:dyDescent="0.25">
      <c r="A1684" s="41" t="s">
        <v>2018</v>
      </c>
      <c r="B1684" s="3" t="s">
        <v>1855</v>
      </c>
      <c r="C1684" s="41" t="s">
        <v>1855</v>
      </c>
      <c r="D1684">
        <v>4</v>
      </c>
      <c r="E1684" t="s">
        <v>1018</v>
      </c>
      <c r="F1684" t="s">
        <v>975</v>
      </c>
      <c r="G1684" t="s">
        <v>180</v>
      </c>
      <c r="H1684" s="1" t="s">
        <v>976</v>
      </c>
      <c r="I1684" s="1">
        <v>1760</v>
      </c>
      <c r="J1684" s="20">
        <v>0</v>
      </c>
      <c r="K1684" s="1">
        <v>1760</v>
      </c>
      <c r="L1684" s="1">
        <v>0</v>
      </c>
      <c r="M1684" s="42" t="s">
        <v>2988</v>
      </c>
      <c r="O1684" s="2" t="s">
        <v>2528</v>
      </c>
      <c r="Q1684" t="s">
        <v>956</v>
      </c>
    </row>
    <row r="1685" spans="1:17" ht="15" customHeight="1" x14ac:dyDescent="0.25">
      <c r="A1685" s="3" t="s">
        <v>2019</v>
      </c>
      <c r="B1685" s="4" t="s">
        <v>471</v>
      </c>
      <c r="C1685" t="s">
        <v>1855</v>
      </c>
      <c r="D1685">
        <v>1</v>
      </c>
      <c r="E1685" t="s">
        <v>974</v>
      </c>
      <c r="F1685" t="s">
        <v>975</v>
      </c>
      <c r="G1685" t="s">
        <v>180</v>
      </c>
      <c r="H1685" s="1" t="s">
        <v>976</v>
      </c>
      <c r="I1685" s="1">
        <v>810</v>
      </c>
      <c r="J1685" s="20">
        <v>3</v>
      </c>
      <c r="K1685" s="1">
        <v>145</v>
      </c>
      <c r="L1685" s="1">
        <v>435</v>
      </c>
      <c r="M1685" s="42" t="s">
        <v>2988</v>
      </c>
      <c r="P1685" t="s">
        <v>24</v>
      </c>
      <c r="Q1685" t="s">
        <v>471</v>
      </c>
    </row>
    <row r="1686" spans="1:17" ht="15" customHeight="1" x14ac:dyDescent="0.25">
      <c r="A1686" s="3" t="s">
        <v>2020</v>
      </c>
      <c r="B1686" s="4" t="s">
        <v>472</v>
      </c>
      <c r="C1686" t="s">
        <v>1855</v>
      </c>
      <c r="D1686">
        <v>1</v>
      </c>
      <c r="E1686" t="s">
        <v>974</v>
      </c>
      <c r="F1686" t="s">
        <v>975</v>
      </c>
      <c r="G1686" t="s">
        <v>180</v>
      </c>
      <c r="H1686" s="1" t="s">
        <v>976</v>
      </c>
      <c r="I1686" s="1">
        <v>810</v>
      </c>
      <c r="J1686" s="20">
        <v>7</v>
      </c>
      <c r="K1686" s="1">
        <v>145</v>
      </c>
      <c r="L1686" s="1">
        <v>1015</v>
      </c>
      <c r="M1686" s="42" t="s">
        <v>2988</v>
      </c>
      <c r="P1686" t="s">
        <v>23</v>
      </c>
      <c r="Q1686" t="s">
        <v>472</v>
      </c>
    </row>
    <row r="1687" spans="1:17" ht="15" customHeight="1" x14ac:dyDescent="0.25">
      <c r="A1687" s="3" t="s">
        <v>2021</v>
      </c>
      <c r="B1687" s="4" t="s">
        <v>473</v>
      </c>
      <c r="C1687" t="s">
        <v>1855</v>
      </c>
      <c r="D1687">
        <v>1</v>
      </c>
      <c r="E1687" t="s">
        <v>974</v>
      </c>
      <c r="F1687" t="s">
        <v>975</v>
      </c>
      <c r="G1687" t="s">
        <v>180</v>
      </c>
      <c r="H1687" s="1" t="s">
        <v>976</v>
      </c>
      <c r="I1687" s="1">
        <v>810</v>
      </c>
      <c r="J1687" s="20">
        <v>6</v>
      </c>
      <c r="K1687" s="1">
        <v>145</v>
      </c>
      <c r="L1687" s="1">
        <v>870</v>
      </c>
      <c r="M1687" s="42" t="s">
        <v>2988</v>
      </c>
      <c r="P1687" t="s">
        <v>22</v>
      </c>
      <c r="Q1687" t="s">
        <v>473</v>
      </c>
    </row>
    <row r="1688" spans="1:17" ht="15" customHeight="1" x14ac:dyDescent="0.25">
      <c r="A1688" s="3" t="s">
        <v>2022</v>
      </c>
      <c r="B1688" s="4" t="s">
        <v>2997</v>
      </c>
      <c r="C1688" t="s">
        <v>1855</v>
      </c>
      <c r="D1688">
        <v>1</v>
      </c>
      <c r="E1688" t="s">
        <v>974</v>
      </c>
      <c r="F1688" t="s">
        <v>975</v>
      </c>
      <c r="G1688" t="s">
        <v>180</v>
      </c>
      <c r="H1688" s="1" t="s">
        <v>976</v>
      </c>
      <c r="I1688" s="1">
        <v>810</v>
      </c>
      <c r="J1688" s="20">
        <v>3</v>
      </c>
      <c r="K1688" s="1">
        <v>145</v>
      </c>
      <c r="L1688" s="1">
        <v>435</v>
      </c>
      <c r="M1688" s="42" t="s">
        <v>2988</v>
      </c>
      <c r="O1688" s="2" t="s">
        <v>2528</v>
      </c>
      <c r="P1688" t="s">
        <v>24</v>
      </c>
      <c r="Q1688" t="s">
        <v>967</v>
      </c>
    </row>
    <row r="1689" spans="1:17" ht="15" customHeight="1" x14ac:dyDescent="0.25">
      <c r="A1689" s="3" t="s">
        <v>2023</v>
      </c>
      <c r="B1689" s="4" t="s">
        <v>2997</v>
      </c>
      <c r="C1689" t="s">
        <v>1855</v>
      </c>
      <c r="D1689">
        <v>1</v>
      </c>
      <c r="E1689" t="s">
        <v>974</v>
      </c>
      <c r="F1689" t="s">
        <v>975</v>
      </c>
      <c r="G1689" t="s">
        <v>180</v>
      </c>
      <c r="H1689" s="1" t="s">
        <v>976</v>
      </c>
      <c r="I1689" s="1">
        <v>810</v>
      </c>
      <c r="J1689" s="20">
        <v>8</v>
      </c>
      <c r="K1689" s="1">
        <v>145</v>
      </c>
      <c r="L1689" s="1">
        <v>1160</v>
      </c>
      <c r="M1689" s="42" t="s">
        <v>2988</v>
      </c>
      <c r="O1689" s="2" t="s">
        <v>2528</v>
      </c>
      <c r="P1689" t="s">
        <v>23</v>
      </c>
      <c r="Q1689" t="s">
        <v>967</v>
      </c>
    </row>
    <row r="1690" spans="1:17" ht="15" customHeight="1" x14ac:dyDescent="0.25">
      <c r="A1690" s="3" t="s">
        <v>2024</v>
      </c>
      <c r="B1690" s="4" t="s">
        <v>2997</v>
      </c>
      <c r="C1690" t="s">
        <v>1855</v>
      </c>
      <c r="D1690">
        <v>1</v>
      </c>
      <c r="E1690" t="s">
        <v>974</v>
      </c>
      <c r="F1690" t="s">
        <v>975</v>
      </c>
      <c r="G1690" t="s">
        <v>180</v>
      </c>
      <c r="H1690" s="1" t="s">
        <v>976</v>
      </c>
      <c r="I1690" s="1">
        <v>810</v>
      </c>
      <c r="J1690" s="20">
        <v>7</v>
      </c>
      <c r="K1690" s="1">
        <v>145</v>
      </c>
      <c r="L1690" s="1">
        <v>1015</v>
      </c>
      <c r="M1690" s="42" t="s">
        <v>2988</v>
      </c>
      <c r="O1690" s="2" t="s">
        <v>2528</v>
      </c>
      <c r="P1690" t="s">
        <v>22</v>
      </c>
      <c r="Q1690" t="s">
        <v>967</v>
      </c>
    </row>
    <row r="1691" spans="1:17" ht="15" customHeight="1" x14ac:dyDescent="0.25">
      <c r="A1691" s="3" t="s">
        <v>2244</v>
      </c>
      <c r="B1691" s="4" t="s">
        <v>554</v>
      </c>
      <c r="C1691" t="s">
        <v>1855</v>
      </c>
      <c r="D1691">
        <v>1</v>
      </c>
      <c r="E1691" t="s">
        <v>974</v>
      </c>
      <c r="F1691" t="s">
        <v>975</v>
      </c>
      <c r="G1691" t="s">
        <v>180</v>
      </c>
      <c r="H1691" s="1" t="s">
        <v>976</v>
      </c>
      <c r="I1691" s="1">
        <v>4700</v>
      </c>
      <c r="J1691" s="20">
        <v>0</v>
      </c>
      <c r="K1691" s="1">
        <v>0</v>
      </c>
      <c r="L1691" s="1">
        <v>0</v>
      </c>
      <c r="M1691" s="42" t="s">
        <v>2988</v>
      </c>
      <c r="Q1691" t="s">
        <v>554</v>
      </c>
    </row>
    <row r="1692" spans="1:17" ht="15" customHeight="1" x14ac:dyDescent="0.25">
      <c r="A1692" s="41" t="s">
        <v>2244</v>
      </c>
      <c r="B1692" s="3" t="s">
        <v>554</v>
      </c>
      <c r="C1692" s="41" t="s">
        <v>1855</v>
      </c>
      <c r="D1692">
        <v>4</v>
      </c>
      <c r="E1692" t="s">
        <v>1018</v>
      </c>
      <c r="F1692" t="s">
        <v>975</v>
      </c>
      <c r="G1692" t="s">
        <v>180</v>
      </c>
      <c r="H1692" s="1" t="s">
        <v>976</v>
      </c>
      <c r="I1692" s="1">
        <v>4700</v>
      </c>
      <c r="J1692" s="20">
        <v>0</v>
      </c>
      <c r="K1692" s="1">
        <v>0</v>
      </c>
      <c r="L1692" s="1">
        <v>0</v>
      </c>
      <c r="M1692" s="42" t="s">
        <v>2988</v>
      </c>
      <c r="Q1692" t="s">
        <v>554</v>
      </c>
    </row>
    <row r="1693" spans="1:17" ht="15" customHeight="1" x14ac:dyDescent="0.25">
      <c r="A1693" s="3" t="s">
        <v>2025</v>
      </c>
      <c r="B1693" s="4" t="s">
        <v>2998</v>
      </c>
      <c r="C1693" t="s">
        <v>1855</v>
      </c>
      <c r="D1693">
        <v>1</v>
      </c>
      <c r="E1693" t="s">
        <v>974</v>
      </c>
      <c r="F1693" t="s">
        <v>975</v>
      </c>
      <c r="G1693" t="s">
        <v>180</v>
      </c>
      <c r="H1693" s="1" t="s">
        <v>976</v>
      </c>
      <c r="I1693" s="1">
        <v>0</v>
      </c>
      <c r="J1693" s="20">
        <v>0</v>
      </c>
      <c r="K1693" s="1">
        <v>0</v>
      </c>
      <c r="L1693" s="1">
        <v>0</v>
      </c>
      <c r="M1693" s="42" t="s">
        <v>2988</v>
      </c>
      <c r="O1693" s="2" t="s">
        <v>2472</v>
      </c>
      <c r="P1693" t="s">
        <v>23</v>
      </c>
      <c r="Q1693" t="s">
        <v>968</v>
      </c>
    </row>
    <row r="1694" spans="1:17" ht="15" customHeight="1" x14ac:dyDescent="0.25">
      <c r="A1694" s="3" t="s">
        <v>2026</v>
      </c>
      <c r="B1694" s="4" t="s">
        <v>2998</v>
      </c>
      <c r="C1694" t="s">
        <v>1855</v>
      </c>
      <c r="D1694">
        <v>1</v>
      </c>
      <c r="E1694" t="s">
        <v>974</v>
      </c>
      <c r="F1694" t="s">
        <v>975</v>
      </c>
      <c r="G1694" t="s">
        <v>180</v>
      </c>
      <c r="H1694" s="1" t="s">
        <v>976</v>
      </c>
      <c r="I1694" s="1">
        <v>870</v>
      </c>
      <c r="J1694" s="20">
        <v>1</v>
      </c>
      <c r="K1694" s="1">
        <v>160</v>
      </c>
      <c r="L1694" s="1">
        <v>160</v>
      </c>
      <c r="M1694" s="42" t="s">
        <v>2988</v>
      </c>
      <c r="O1694" s="2" t="s">
        <v>2482</v>
      </c>
      <c r="P1694" t="s">
        <v>23</v>
      </c>
      <c r="Q1694" t="s">
        <v>969</v>
      </c>
    </row>
    <row r="1695" spans="1:17" ht="15" customHeight="1" x14ac:dyDescent="0.25">
      <c r="A1695" s="3" t="s">
        <v>2027</v>
      </c>
      <c r="B1695" s="4" t="s">
        <v>1855</v>
      </c>
      <c r="C1695" t="s">
        <v>1855</v>
      </c>
      <c r="D1695">
        <v>1</v>
      </c>
      <c r="E1695" t="s">
        <v>974</v>
      </c>
      <c r="F1695" t="s">
        <v>975</v>
      </c>
      <c r="G1695" t="s">
        <v>180</v>
      </c>
      <c r="H1695" s="1" t="s">
        <v>976</v>
      </c>
      <c r="I1695" s="1">
        <v>910</v>
      </c>
      <c r="J1695" s="20">
        <v>0</v>
      </c>
      <c r="K1695" s="1">
        <v>0</v>
      </c>
      <c r="L1695" s="1">
        <v>0</v>
      </c>
      <c r="M1695" s="42" t="s">
        <v>2988</v>
      </c>
      <c r="O1695" s="2" t="s">
        <v>2447</v>
      </c>
      <c r="Q1695" t="s">
        <v>958</v>
      </c>
    </row>
    <row r="1696" spans="1:17" ht="15" customHeight="1" x14ac:dyDescent="0.25">
      <c r="A1696" s="3" t="s">
        <v>2028</v>
      </c>
      <c r="B1696" s="4" t="s">
        <v>1855</v>
      </c>
      <c r="C1696" t="s">
        <v>1855</v>
      </c>
      <c r="D1696">
        <v>4</v>
      </c>
      <c r="E1696" t="s">
        <v>1018</v>
      </c>
      <c r="F1696" t="s">
        <v>975</v>
      </c>
      <c r="G1696" t="s">
        <v>180</v>
      </c>
      <c r="H1696" s="1" t="s">
        <v>976</v>
      </c>
      <c r="I1696" s="1">
        <v>1400</v>
      </c>
      <c r="J1696" s="20">
        <v>1</v>
      </c>
      <c r="K1696" s="1">
        <v>200</v>
      </c>
      <c r="L1696" s="1">
        <v>200</v>
      </c>
      <c r="M1696" s="42" t="s">
        <v>2988</v>
      </c>
      <c r="O1696" s="2" t="s">
        <v>2472</v>
      </c>
      <c r="Q1696" t="s">
        <v>970</v>
      </c>
    </row>
    <row r="1697" spans="1:17" ht="15" customHeight="1" x14ac:dyDescent="0.25">
      <c r="A1697" s="3" t="s">
        <v>2029</v>
      </c>
      <c r="B1697" s="4" t="s">
        <v>1855</v>
      </c>
      <c r="C1697" t="s">
        <v>1855</v>
      </c>
      <c r="D1697">
        <v>4</v>
      </c>
      <c r="E1697" t="s">
        <v>1018</v>
      </c>
      <c r="F1697" t="s">
        <v>975</v>
      </c>
      <c r="G1697" t="s">
        <v>180</v>
      </c>
      <c r="H1697" s="1" t="s">
        <v>976</v>
      </c>
      <c r="I1697" s="1">
        <v>1600</v>
      </c>
      <c r="J1697" s="20">
        <v>1</v>
      </c>
      <c r="K1697" s="1">
        <v>256</v>
      </c>
      <c r="L1697" s="1">
        <v>256</v>
      </c>
      <c r="M1697" s="42" t="s">
        <v>2988</v>
      </c>
      <c r="O1697" s="2" t="s">
        <v>2472</v>
      </c>
      <c r="Q1697" t="s">
        <v>970</v>
      </c>
    </row>
  </sheetData>
  <autoFilter ref="A5:Q1697" xr:uid="{B8911534-292A-4259-A118-70718ADF1B8B}"/>
  <mergeCells count="1">
    <mergeCell ref="C2:C3"/>
  </mergeCells>
  <conditionalFormatting sqref="A6:A32 A1693:A1697 A1685:A1691 A1683 A1680:A1681 A1678 A1675:A1676 A1672:A1673 A1670 A1667:A1668 A1663:A1665 A1661 A1658:A1659 A1654:A1656 A1651:A1652 A1648:A1649 A1645:A1646 A1637:A1643 A1634:A1635 A1632 A1630 A1627:A1628 A1622:A1625 A1620 A1618 A1613:A1616 A1611 A1607:A1609 A1605 A1600:A1603 A1596:A1598 A1594 A1588:A1592 A1586 A1582:A1584 A1580 A1577:A1578 A1575 A1573 A1570 A1567:A1568 A1563:A1565 A1535:A1561 A1506:A1533 A1493:A1504 A1489:A1491 A1481:A1487 A1479 A1474:A1477 A1467:A1471 A1465 A1462:A1463 A1459:A1460 A1457 A1444:A1455 A1435:A1442 A1418:A1433 A1410:A1416 A1398:A1408 A1394:A1396 A1390:A1392 A1388 A1377:A1386 A1375 A1372:A1373 A1357:A1370 A1333:A1355 A1318:A1331 A1315 A1313 A1307:A1311 A1305 A1303 A1300 A1298 A1296 A1293:A1294 A1290 A1287:A1288 A1281:A1285 A1278:A1279 A1276 A1274 A1272 A1270 A1268 A1266 A1264 A1262 A1260 A1258 A1232:A1256 A1225:A1230 A1223 A1219:A1221 A1217 A1214:A1215 A1212 A1210 A1207:A1208 A1201:A1205 A1198:A1199 A1196 A1193:A1194 A1187:A1190 A1172:A1185 A1169:A1170 A1159:A1167 A1157 A1154:A1155 A1125:A1152 A1123 A1121 A1119 A1117 A1108:A1115 A1103:A1106 A1101 A1099 A1095:A1097 A1093 A1090:A1091 A1085:A1088 A1078:A1083 A1062:A1076 A1053:A1060 A1022:A1051 A1011:A1019 A1004:A1009 A981:A1002 A975:A979 A962:A973 A960 A957:A958 A954:A955 A952 A948:A950 A943:A946 A936:A941 A934 A930:A931 A927:A928 A925 A922:A923 A899:A920 A890:A897 A888 A886 A884 A869:A882 A867 A842:A865 A839 A775:A837 A770:A773 A740:A768 A738 A736 A687:A734 A685 A673:A683 A662:A671 A656:A660 A654 A651:A652 A649 A627:A647 A617:A625 A615 A600:A613 A595:A598 A593 A591 A589 A587 A585 A583 A581 A579 A576:A577 A571:A574 A555:A569 A551:A553 A546:A549 A537:A544 A535 A530:A533 A527 A524 A518:A522 A514:A516 A504:A512 A492:A502 A485:A488 A483 A481 A477:A479 A472:A475 A468:A469 A465 A462 A460 A458 A453:A456 A449:A451 A445:A446 A436:A442 A434 A428:A432 A413:A426 A381:A411 A379 A377 A368:A375 A343:A366 A341 A339 A337 A335 A333 A326:A330 A324 A322 A304:A320 A299:A302 A290:A297 A267:A288 A262:A265 A260 A240:A258 A238 A231:A236 A229 A225:A227 A221:A223 A218:A219 A215:A216 A211:A213 A209 A207 A204:A205 A199:A202 A196:A197 A194 A192 A190 A183:A188 A178:A181 A172:A176 A166:A170 A164 A158:A162 A154:A156 A152 A149:A150 A147 A145 A143 A137:A141 A133:A135 A131 A127:A129 A125 A121:A123 A118:A119 A111:A116 A107:A109 A102:A105 A100 A98 A96 A89:A94 A85:A87 A52:A83 A39:A50 A35:A37">
    <cfRule type="duplicateValues" dxfId="0" priority="1"/>
    <cfRule type="uniqueValues" priority="2"/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65CC0-11AA-412F-B8FA-B09BFB492A12}">
  <sheetPr codeName="Planilha4"/>
  <dimension ref="A2:B1988"/>
  <sheetViews>
    <sheetView zoomScaleNormal="100" workbookViewId="0"/>
  </sheetViews>
  <sheetFormatPr defaultRowHeight="15" customHeight="1" x14ac:dyDescent="0.25"/>
  <cols>
    <col min="1" max="3" width="25.7109375" customWidth="1"/>
  </cols>
  <sheetData>
    <row r="2" spans="1:2" ht="15" customHeight="1" x14ac:dyDescent="0.25">
      <c r="A2" s="43" t="s">
        <v>180</v>
      </c>
      <c r="B2" s="43"/>
    </row>
    <row r="3" spans="1:2" ht="15" customHeight="1" x14ac:dyDescent="0.25">
      <c r="A3" s="43"/>
      <c r="B3" s="43"/>
    </row>
    <row r="5" spans="1:2" ht="15" customHeight="1" x14ac:dyDescent="0.25">
      <c r="A5" s="16" t="s">
        <v>45</v>
      </c>
      <c r="B5" s="16" t="s">
        <v>75</v>
      </c>
    </row>
    <row r="6" spans="1:2" ht="15" customHeight="1" x14ac:dyDescent="0.25">
      <c r="A6" t="s">
        <v>972</v>
      </c>
      <c r="B6" s="32"/>
    </row>
    <row r="7" spans="1:2" ht="15" customHeight="1" x14ac:dyDescent="0.25">
      <c r="A7" t="s">
        <v>2435</v>
      </c>
      <c r="B7" s="32"/>
    </row>
    <row r="8" spans="1:2" ht="15" customHeight="1" x14ac:dyDescent="0.25">
      <c r="A8" t="s">
        <v>2439</v>
      </c>
      <c r="B8" s="32"/>
    </row>
    <row r="9" spans="1:2" ht="15" customHeight="1" x14ac:dyDescent="0.25">
      <c r="A9" t="s">
        <v>981</v>
      </c>
      <c r="B9" s="32"/>
    </row>
    <row r="10" spans="1:2" ht="15" customHeight="1" x14ac:dyDescent="0.25">
      <c r="A10" t="s">
        <v>983</v>
      </c>
      <c r="B10" s="32"/>
    </row>
    <row r="11" spans="1:2" ht="15" customHeight="1" x14ac:dyDescent="0.25">
      <c r="A11" t="s">
        <v>2444</v>
      </c>
      <c r="B11" s="32"/>
    </row>
    <row r="12" spans="1:2" ht="15" customHeight="1" x14ac:dyDescent="0.25">
      <c r="A12" t="s">
        <v>2031</v>
      </c>
      <c r="B12" s="32"/>
    </row>
    <row r="13" spans="1:2" ht="15" customHeight="1" x14ac:dyDescent="0.25">
      <c r="A13" t="s">
        <v>2449</v>
      </c>
      <c r="B13" s="32"/>
    </row>
    <row r="14" spans="1:2" ht="15" customHeight="1" x14ac:dyDescent="0.25">
      <c r="A14" t="s">
        <v>988</v>
      </c>
      <c r="B14" s="32"/>
    </row>
    <row r="15" spans="1:2" ht="15" customHeight="1" x14ac:dyDescent="0.25">
      <c r="A15" t="s">
        <v>991</v>
      </c>
      <c r="B15" s="32"/>
    </row>
    <row r="16" spans="1:2" ht="15" customHeight="1" x14ac:dyDescent="0.25">
      <c r="A16" t="s">
        <v>993</v>
      </c>
      <c r="B16" s="32"/>
    </row>
    <row r="17" spans="1:2" ht="15" customHeight="1" x14ac:dyDescent="0.25">
      <c r="A17" t="s">
        <v>995</v>
      </c>
      <c r="B17" s="32"/>
    </row>
    <row r="18" spans="1:2" ht="15" customHeight="1" x14ac:dyDescent="0.25">
      <c r="A18" t="s">
        <v>2457</v>
      </c>
      <c r="B18" s="32"/>
    </row>
    <row r="19" spans="1:2" ht="15" customHeight="1" x14ac:dyDescent="0.25">
      <c r="A19" t="s">
        <v>2461</v>
      </c>
      <c r="B19" s="32"/>
    </row>
    <row r="20" spans="1:2" ht="15" customHeight="1" x14ac:dyDescent="0.25">
      <c r="A20" t="s">
        <v>2465</v>
      </c>
      <c r="B20" s="32"/>
    </row>
    <row r="21" spans="1:2" ht="15" customHeight="1" x14ac:dyDescent="0.25">
      <c r="A21" t="s">
        <v>2469</v>
      </c>
      <c r="B21" s="32"/>
    </row>
    <row r="22" spans="1:2" ht="15" customHeight="1" x14ac:dyDescent="0.25">
      <c r="A22" t="s">
        <v>1003</v>
      </c>
      <c r="B22" s="32"/>
    </row>
    <row r="23" spans="1:2" ht="15" customHeight="1" x14ac:dyDescent="0.25">
      <c r="A23" t="s">
        <v>2474</v>
      </c>
      <c r="B23" s="32"/>
    </row>
    <row r="24" spans="1:2" ht="15" customHeight="1" x14ac:dyDescent="0.25">
      <c r="A24" t="s">
        <v>2477</v>
      </c>
      <c r="B24" s="32"/>
    </row>
    <row r="25" spans="1:2" ht="15" customHeight="1" x14ac:dyDescent="0.25">
      <c r="A25" t="s">
        <v>2480</v>
      </c>
      <c r="B25" s="32"/>
    </row>
    <row r="26" spans="1:2" ht="15" customHeight="1" x14ac:dyDescent="0.25">
      <c r="A26" t="s">
        <v>2484</v>
      </c>
      <c r="B26" s="32"/>
    </row>
    <row r="27" spans="1:2" ht="15" customHeight="1" x14ac:dyDescent="0.25">
      <c r="A27" t="s">
        <v>2487</v>
      </c>
      <c r="B27" s="32"/>
    </row>
    <row r="28" spans="1:2" ht="15" customHeight="1" x14ac:dyDescent="0.25">
      <c r="A28" t="s">
        <v>2490</v>
      </c>
      <c r="B28" s="32"/>
    </row>
    <row r="29" spans="1:2" ht="15" customHeight="1" x14ac:dyDescent="0.25">
      <c r="A29" t="s">
        <v>2493</v>
      </c>
      <c r="B29" s="32"/>
    </row>
    <row r="30" spans="1:2" ht="15" customHeight="1" x14ac:dyDescent="0.25">
      <c r="A30" t="s">
        <v>2497</v>
      </c>
      <c r="B30" s="32"/>
    </row>
    <row r="31" spans="1:2" ht="15" customHeight="1" x14ac:dyDescent="0.25">
      <c r="A31" t="s">
        <v>1014</v>
      </c>
      <c r="B31" s="32"/>
    </row>
    <row r="32" spans="1:2" ht="15" customHeight="1" x14ac:dyDescent="0.25">
      <c r="A32" t="s">
        <v>2501</v>
      </c>
      <c r="B32" s="32"/>
    </row>
    <row r="33" spans="1:2" ht="15" customHeight="1" x14ac:dyDescent="0.25">
      <c r="A33" t="s">
        <v>2501</v>
      </c>
      <c r="B33" s="32"/>
    </row>
    <row r="34" spans="1:2" ht="15" customHeight="1" x14ac:dyDescent="0.25">
      <c r="A34" t="s">
        <v>2501</v>
      </c>
      <c r="B34" s="32"/>
    </row>
    <row r="35" spans="1:2" ht="15" customHeight="1" x14ac:dyDescent="0.25">
      <c r="A35" t="s">
        <v>604</v>
      </c>
      <c r="B35" s="32"/>
    </row>
    <row r="36" spans="1:2" ht="15" customHeight="1" x14ac:dyDescent="0.25">
      <c r="A36" t="s">
        <v>605</v>
      </c>
      <c r="B36" s="32"/>
    </row>
    <row r="37" spans="1:2" ht="15" customHeight="1" x14ac:dyDescent="0.25">
      <c r="A37" t="s">
        <v>606</v>
      </c>
      <c r="B37" s="32"/>
    </row>
    <row r="38" spans="1:2" ht="15" customHeight="1" x14ac:dyDescent="0.25">
      <c r="A38" t="s">
        <v>606</v>
      </c>
      <c r="B38" s="32"/>
    </row>
    <row r="39" spans="1:2" ht="15" customHeight="1" x14ac:dyDescent="0.25">
      <c r="A39" t="s">
        <v>181</v>
      </c>
      <c r="B39" s="32"/>
    </row>
    <row r="40" spans="1:2" ht="15" customHeight="1" x14ac:dyDescent="0.25">
      <c r="A40" t="s">
        <v>182</v>
      </c>
      <c r="B40" s="32"/>
    </row>
    <row r="41" spans="1:2" ht="15" customHeight="1" x14ac:dyDescent="0.25">
      <c r="A41" t="s">
        <v>607</v>
      </c>
      <c r="B41" s="32"/>
    </row>
    <row r="42" spans="1:2" ht="15" customHeight="1" x14ac:dyDescent="0.25">
      <c r="A42" t="s">
        <v>183</v>
      </c>
      <c r="B42" s="32"/>
    </row>
    <row r="43" spans="1:2" ht="15" customHeight="1" x14ac:dyDescent="0.25">
      <c r="A43" t="s">
        <v>608</v>
      </c>
      <c r="B43" s="32"/>
    </row>
    <row r="44" spans="1:2" ht="15" customHeight="1" x14ac:dyDescent="0.25">
      <c r="A44" t="s">
        <v>609</v>
      </c>
      <c r="B44" s="32"/>
    </row>
    <row r="45" spans="1:2" ht="15" customHeight="1" x14ac:dyDescent="0.25">
      <c r="A45" t="s">
        <v>610</v>
      </c>
      <c r="B45" s="32"/>
    </row>
    <row r="46" spans="1:2" ht="15" customHeight="1" x14ac:dyDescent="0.25">
      <c r="A46" t="s">
        <v>611</v>
      </c>
      <c r="B46" s="32"/>
    </row>
    <row r="47" spans="1:2" ht="15" customHeight="1" x14ac:dyDescent="0.25">
      <c r="A47" t="s">
        <v>184</v>
      </c>
      <c r="B47" s="32"/>
    </row>
    <row r="48" spans="1:2" ht="15" customHeight="1" x14ac:dyDescent="0.25">
      <c r="A48" t="s">
        <v>612</v>
      </c>
      <c r="B48" s="32"/>
    </row>
    <row r="49" spans="1:2" ht="15" customHeight="1" x14ac:dyDescent="0.25">
      <c r="A49" t="s">
        <v>185</v>
      </c>
      <c r="B49" s="32"/>
    </row>
    <row r="50" spans="1:2" ht="15" customHeight="1" x14ac:dyDescent="0.25">
      <c r="A50" t="s">
        <v>186</v>
      </c>
      <c r="B50" s="32"/>
    </row>
    <row r="51" spans="1:2" ht="15" customHeight="1" x14ac:dyDescent="0.25">
      <c r="A51" t="s">
        <v>186</v>
      </c>
      <c r="B51" s="32"/>
    </row>
    <row r="52" spans="1:2" ht="15" customHeight="1" x14ac:dyDescent="0.25">
      <c r="A52" t="s">
        <v>613</v>
      </c>
      <c r="B52" s="32"/>
    </row>
    <row r="53" spans="1:2" ht="15" customHeight="1" x14ac:dyDescent="0.25">
      <c r="A53" t="s">
        <v>614</v>
      </c>
      <c r="B53" s="32"/>
    </row>
    <row r="54" spans="1:2" ht="15" customHeight="1" x14ac:dyDescent="0.25">
      <c r="A54" t="s">
        <v>615</v>
      </c>
      <c r="B54" s="32"/>
    </row>
    <row r="55" spans="1:2" ht="15" customHeight="1" x14ac:dyDescent="0.25">
      <c r="A55" t="s">
        <v>187</v>
      </c>
      <c r="B55" s="32"/>
    </row>
    <row r="56" spans="1:2" ht="15" customHeight="1" x14ac:dyDescent="0.25">
      <c r="A56" t="s">
        <v>616</v>
      </c>
      <c r="B56" s="32"/>
    </row>
    <row r="57" spans="1:2" ht="15" customHeight="1" x14ac:dyDescent="0.25">
      <c r="A57" t="s">
        <v>617</v>
      </c>
      <c r="B57" s="32"/>
    </row>
    <row r="58" spans="1:2" ht="15" customHeight="1" x14ac:dyDescent="0.25">
      <c r="A58" t="s">
        <v>618</v>
      </c>
      <c r="B58" s="32"/>
    </row>
    <row r="59" spans="1:2" ht="15" customHeight="1" x14ac:dyDescent="0.25">
      <c r="A59" t="s">
        <v>544</v>
      </c>
      <c r="B59" s="32"/>
    </row>
    <row r="60" spans="1:2" ht="15" customHeight="1" x14ac:dyDescent="0.25">
      <c r="A60" t="s">
        <v>619</v>
      </c>
      <c r="B60" s="32"/>
    </row>
    <row r="61" spans="1:2" ht="15" customHeight="1" x14ac:dyDescent="0.25">
      <c r="A61" t="s">
        <v>188</v>
      </c>
      <c r="B61" s="32"/>
    </row>
    <row r="62" spans="1:2" ht="15" customHeight="1" x14ac:dyDescent="0.25">
      <c r="A62" t="s">
        <v>620</v>
      </c>
      <c r="B62" s="32"/>
    </row>
    <row r="63" spans="1:2" ht="15" customHeight="1" x14ac:dyDescent="0.25">
      <c r="A63" t="s">
        <v>621</v>
      </c>
      <c r="B63" s="32"/>
    </row>
    <row r="64" spans="1:2" ht="15" customHeight="1" x14ac:dyDescent="0.25">
      <c r="A64" t="s">
        <v>622</v>
      </c>
      <c r="B64" s="32"/>
    </row>
    <row r="65" spans="1:2" ht="15" customHeight="1" x14ac:dyDescent="0.25">
      <c r="A65" t="s">
        <v>623</v>
      </c>
      <c r="B65" s="32"/>
    </row>
    <row r="66" spans="1:2" ht="15" customHeight="1" x14ac:dyDescent="0.25">
      <c r="A66" t="s">
        <v>624</v>
      </c>
      <c r="B66" s="32"/>
    </row>
    <row r="67" spans="1:2" ht="15" customHeight="1" x14ac:dyDescent="0.25">
      <c r="A67" t="s">
        <v>189</v>
      </c>
      <c r="B67" s="32"/>
    </row>
    <row r="68" spans="1:2" ht="15" customHeight="1" x14ac:dyDescent="0.25">
      <c r="A68" t="s">
        <v>625</v>
      </c>
      <c r="B68" s="32"/>
    </row>
    <row r="69" spans="1:2" ht="15" customHeight="1" x14ac:dyDescent="0.25">
      <c r="A69" t="s">
        <v>626</v>
      </c>
      <c r="B69" s="32"/>
    </row>
    <row r="70" spans="1:2" ht="15" customHeight="1" x14ac:dyDescent="0.25">
      <c r="A70" t="s">
        <v>627</v>
      </c>
      <c r="B70" s="32"/>
    </row>
    <row r="71" spans="1:2" ht="15" customHeight="1" x14ac:dyDescent="0.25">
      <c r="A71" t="s">
        <v>628</v>
      </c>
      <c r="B71" s="32"/>
    </row>
    <row r="72" spans="1:2" ht="15" customHeight="1" x14ac:dyDescent="0.25">
      <c r="A72" t="s">
        <v>629</v>
      </c>
      <c r="B72" s="32"/>
    </row>
    <row r="73" spans="1:2" ht="15" customHeight="1" x14ac:dyDescent="0.25">
      <c r="A73" t="s">
        <v>630</v>
      </c>
      <c r="B73" s="32"/>
    </row>
    <row r="74" spans="1:2" ht="15" customHeight="1" x14ac:dyDescent="0.25">
      <c r="A74" t="s">
        <v>474</v>
      </c>
      <c r="B74" s="32"/>
    </row>
    <row r="75" spans="1:2" ht="15" customHeight="1" x14ac:dyDescent="0.25">
      <c r="A75" t="s">
        <v>475</v>
      </c>
      <c r="B75" s="32"/>
    </row>
    <row r="76" spans="1:2" ht="15" customHeight="1" x14ac:dyDescent="0.25">
      <c r="A76" t="s">
        <v>631</v>
      </c>
      <c r="B76" s="32"/>
    </row>
    <row r="77" spans="1:2" ht="15" customHeight="1" x14ac:dyDescent="0.25">
      <c r="A77" t="s">
        <v>631</v>
      </c>
      <c r="B77" s="32"/>
    </row>
    <row r="78" spans="1:2" ht="15" customHeight="1" x14ac:dyDescent="0.25">
      <c r="A78" t="s">
        <v>632</v>
      </c>
      <c r="B78" s="32"/>
    </row>
    <row r="79" spans="1:2" ht="15" customHeight="1" x14ac:dyDescent="0.25">
      <c r="A79" t="s">
        <v>633</v>
      </c>
      <c r="B79" s="32"/>
    </row>
    <row r="80" spans="1:2" ht="15" customHeight="1" x14ac:dyDescent="0.25">
      <c r="A80" t="s">
        <v>632</v>
      </c>
      <c r="B80" s="32"/>
    </row>
    <row r="81" spans="1:2" ht="15" customHeight="1" x14ac:dyDescent="0.25">
      <c r="A81" t="s">
        <v>634</v>
      </c>
      <c r="B81" s="32"/>
    </row>
    <row r="82" spans="1:2" ht="15" customHeight="1" x14ac:dyDescent="0.25">
      <c r="A82" t="s">
        <v>635</v>
      </c>
      <c r="B82" s="32"/>
    </row>
    <row r="83" spans="1:2" ht="15" customHeight="1" x14ac:dyDescent="0.25">
      <c r="A83" t="s">
        <v>636</v>
      </c>
      <c r="B83" s="32"/>
    </row>
    <row r="84" spans="1:2" ht="15" customHeight="1" x14ac:dyDescent="0.25">
      <c r="A84" t="s">
        <v>636</v>
      </c>
      <c r="B84" s="32"/>
    </row>
    <row r="85" spans="1:2" ht="15" customHeight="1" x14ac:dyDescent="0.25">
      <c r="A85" t="s">
        <v>190</v>
      </c>
      <c r="B85" s="32"/>
    </row>
    <row r="86" spans="1:2" ht="15" customHeight="1" x14ac:dyDescent="0.25">
      <c r="A86" t="s">
        <v>476</v>
      </c>
      <c r="B86" s="32"/>
    </row>
    <row r="87" spans="1:2" ht="15" customHeight="1" x14ac:dyDescent="0.25">
      <c r="A87" t="s">
        <v>637</v>
      </c>
      <c r="B87" s="32"/>
    </row>
    <row r="88" spans="1:2" ht="15" customHeight="1" x14ac:dyDescent="0.25">
      <c r="A88" t="s">
        <v>637</v>
      </c>
      <c r="B88" s="32"/>
    </row>
    <row r="89" spans="1:2" ht="15" customHeight="1" x14ac:dyDescent="0.25">
      <c r="A89" t="s">
        <v>545</v>
      </c>
      <c r="B89" s="32"/>
    </row>
    <row r="90" spans="1:2" ht="15" customHeight="1" x14ac:dyDescent="0.25">
      <c r="A90" t="s">
        <v>638</v>
      </c>
      <c r="B90" s="32"/>
    </row>
    <row r="91" spans="1:2" ht="15" customHeight="1" x14ac:dyDescent="0.25">
      <c r="A91" t="s">
        <v>639</v>
      </c>
      <c r="B91" s="32"/>
    </row>
    <row r="92" spans="1:2" ht="15" customHeight="1" x14ac:dyDescent="0.25">
      <c r="A92" t="s">
        <v>639</v>
      </c>
      <c r="B92" s="32"/>
    </row>
    <row r="93" spans="1:2" ht="15" customHeight="1" x14ac:dyDescent="0.25">
      <c r="A93" t="s">
        <v>191</v>
      </c>
      <c r="B93" s="32"/>
    </row>
    <row r="94" spans="1:2" ht="15" customHeight="1" x14ac:dyDescent="0.25">
      <c r="A94" t="s">
        <v>640</v>
      </c>
      <c r="B94" s="32"/>
    </row>
    <row r="95" spans="1:2" ht="15" customHeight="1" x14ac:dyDescent="0.25">
      <c r="A95" t="s">
        <v>640</v>
      </c>
      <c r="B95" s="32"/>
    </row>
    <row r="96" spans="1:2" ht="15" customHeight="1" x14ac:dyDescent="0.25">
      <c r="A96" t="s">
        <v>641</v>
      </c>
      <c r="B96" s="32"/>
    </row>
    <row r="97" spans="1:2" ht="15" customHeight="1" x14ac:dyDescent="0.25">
      <c r="A97" t="s">
        <v>641</v>
      </c>
      <c r="B97" s="32"/>
    </row>
    <row r="98" spans="1:2" ht="15" customHeight="1" x14ac:dyDescent="0.25">
      <c r="A98" t="s">
        <v>642</v>
      </c>
      <c r="B98" s="32"/>
    </row>
    <row r="99" spans="1:2" ht="15" customHeight="1" x14ac:dyDescent="0.25">
      <c r="A99" t="s">
        <v>642</v>
      </c>
      <c r="B99" s="32"/>
    </row>
    <row r="100" spans="1:2" ht="15" customHeight="1" x14ac:dyDescent="0.25">
      <c r="A100" t="s">
        <v>192</v>
      </c>
      <c r="B100" s="32"/>
    </row>
    <row r="101" spans="1:2" ht="15" customHeight="1" x14ac:dyDescent="0.25">
      <c r="A101" t="s">
        <v>192</v>
      </c>
      <c r="B101" s="32"/>
    </row>
    <row r="102" spans="1:2" ht="15" customHeight="1" x14ac:dyDescent="0.25">
      <c r="A102" t="s">
        <v>643</v>
      </c>
      <c r="B102" s="32"/>
    </row>
    <row r="103" spans="1:2" ht="15" customHeight="1" x14ac:dyDescent="0.25">
      <c r="A103" t="s">
        <v>644</v>
      </c>
      <c r="B103" s="32"/>
    </row>
    <row r="104" spans="1:2" ht="15" customHeight="1" x14ac:dyDescent="0.25">
      <c r="A104" t="s">
        <v>477</v>
      </c>
      <c r="B104" s="32"/>
    </row>
    <row r="105" spans="1:2" ht="15" customHeight="1" x14ac:dyDescent="0.25">
      <c r="A105" t="s">
        <v>478</v>
      </c>
      <c r="B105" s="32"/>
    </row>
    <row r="106" spans="1:2" ht="15" customHeight="1" x14ac:dyDescent="0.25">
      <c r="A106" t="s">
        <v>478</v>
      </c>
      <c r="B106" s="32"/>
    </row>
    <row r="107" spans="1:2" ht="15" customHeight="1" x14ac:dyDescent="0.25">
      <c r="A107" t="s">
        <v>479</v>
      </c>
      <c r="B107" s="32"/>
    </row>
    <row r="108" spans="1:2" ht="15" customHeight="1" x14ac:dyDescent="0.25">
      <c r="A108" t="s">
        <v>645</v>
      </c>
      <c r="B108" s="32"/>
    </row>
    <row r="109" spans="1:2" ht="15" customHeight="1" x14ac:dyDescent="0.25">
      <c r="A109" t="s">
        <v>646</v>
      </c>
      <c r="B109" s="32"/>
    </row>
    <row r="110" spans="1:2" ht="15" customHeight="1" x14ac:dyDescent="0.25">
      <c r="A110" t="s">
        <v>646</v>
      </c>
      <c r="B110" s="32"/>
    </row>
    <row r="111" spans="1:2" ht="15" customHeight="1" x14ac:dyDescent="0.25">
      <c r="A111" t="s">
        <v>647</v>
      </c>
      <c r="B111" s="32"/>
    </row>
    <row r="112" spans="1:2" ht="15" customHeight="1" x14ac:dyDescent="0.25">
      <c r="A112" t="s">
        <v>648</v>
      </c>
      <c r="B112" s="32"/>
    </row>
    <row r="113" spans="1:2" ht="15" customHeight="1" x14ac:dyDescent="0.25">
      <c r="A113" t="s">
        <v>648</v>
      </c>
      <c r="B113" s="32"/>
    </row>
    <row r="114" spans="1:2" ht="15" customHeight="1" x14ac:dyDescent="0.25">
      <c r="A114" t="s">
        <v>649</v>
      </c>
      <c r="B114" s="32"/>
    </row>
    <row r="115" spans="1:2" ht="15" customHeight="1" x14ac:dyDescent="0.25">
      <c r="A115" t="s">
        <v>632</v>
      </c>
      <c r="B115" s="32"/>
    </row>
    <row r="116" spans="1:2" ht="15" customHeight="1" x14ac:dyDescent="0.25">
      <c r="A116" t="s">
        <v>632</v>
      </c>
      <c r="B116" s="32"/>
    </row>
    <row r="117" spans="1:2" ht="15" customHeight="1" x14ac:dyDescent="0.25">
      <c r="A117" t="s">
        <v>632</v>
      </c>
      <c r="B117" s="32"/>
    </row>
    <row r="118" spans="1:2" ht="15" customHeight="1" x14ac:dyDescent="0.25">
      <c r="A118" t="s">
        <v>632</v>
      </c>
      <c r="B118" s="32"/>
    </row>
    <row r="119" spans="1:2" ht="15" customHeight="1" x14ac:dyDescent="0.25">
      <c r="A119" t="s">
        <v>650</v>
      </c>
      <c r="B119" s="32"/>
    </row>
    <row r="120" spans="1:2" ht="15" customHeight="1" x14ac:dyDescent="0.25">
      <c r="A120" t="s">
        <v>650</v>
      </c>
      <c r="B120" s="32"/>
    </row>
    <row r="121" spans="1:2" ht="15" customHeight="1" x14ac:dyDescent="0.25">
      <c r="A121" t="s">
        <v>480</v>
      </c>
      <c r="B121" s="32"/>
    </row>
    <row r="122" spans="1:2" ht="15" customHeight="1" x14ac:dyDescent="0.25">
      <c r="A122" t="s">
        <v>193</v>
      </c>
      <c r="B122" s="32"/>
    </row>
    <row r="123" spans="1:2" ht="15" customHeight="1" x14ac:dyDescent="0.25">
      <c r="A123" t="s">
        <v>194</v>
      </c>
      <c r="B123" s="32"/>
    </row>
    <row r="124" spans="1:2" ht="15" customHeight="1" x14ac:dyDescent="0.25">
      <c r="A124" t="s">
        <v>194</v>
      </c>
      <c r="B124" s="32"/>
    </row>
    <row r="125" spans="1:2" ht="15" customHeight="1" x14ac:dyDescent="0.25">
      <c r="A125" t="s">
        <v>651</v>
      </c>
      <c r="B125" s="32"/>
    </row>
    <row r="126" spans="1:2" ht="15" customHeight="1" x14ac:dyDescent="0.25">
      <c r="A126" t="s">
        <v>651</v>
      </c>
      <c r="B126" s="32"/>
    </row>
    <row r="127" spans="1:2" ht="15" customHeight="1" x14ac:dyDescent="0.25">
      <c r="A127" t="s">
        <v>195</v>
      </c>
      <c r="B127" s="32"/>
    </row>
    <row r="128" spans="1:2" ht="15" customHeight="1" x14ac:dyDescent="0.25">
      <c r="A128" t="s">
        <v>652</v>
      </c>
      <c r="B128" s="32"/>
    </row>
    <row r="129" spans="1:2" ht="15" customHeight="1" x14ac:dyDescent="0.25">
      <c r="A129" t="s">
        <v>653</v>
      </c>
      <c r="B129" s="32"/>
    </row>
    <row r="130" spans="1:2" ht="15" customHeight="1" x14ac:dyDescent="0.25">
      <c r="A130" t="s">
        <v>653</v>
      </c>
      <c r="B130" s="32"/>
    </row>
    <row r="131" spans="1:2" ht="15" customHeight="1" x14ac:dyDescent="0.25">
      <c r="A131" t="s">
        <v>654</v>
      </c>
      <c r="B131" s="32"/>
    </row>
    <row r="132" spans="1:2" ht="15" customHeight="1" x14ac:dyDescent="0.25">
      <c r="A132" t="s">
        <v>654</v>
      </c>
      <c r="B132" s="32"/>
    </row>
    <row r="133" spans="1:2" ht="15" customHeight="1" x14ac:dyDescent="0.25">
      <c r="A133" t="s">
        <v>655</v>
      </c>
      <c r="B133" s="32"/>
    </row>
    <row r="134" spans="1:2" ht="15" customHeight="1" x14ac:dyDescent="0.25">
      <c r="A134" t="s">
        <v>656</v>
      </c>
      <c r="B134" s="32"/>
    </row>
    <row r="135" spans="1:2" ht="15" customHeight="1" x14ac:dyDescent="0.25">
      <c r="A135" t="s">
        <v>657</v>
      </c>
      <c r="B135" s="32"/>
    </row>
    <row r="136" spans="1:2" ht="15" customHeight="1" x14ac:dyDescent="0.25">
      <c r="A136" t="s">
        <v>657</v>
      </c>
      <c r="B136" s="32"/>
    </row>
    <row r="137" spans="1:2" ht="15" customHeight="1" x14ac:dyDescent="0.25">
      <c r="A137" t="s">
        <v>196</v>
      </c>
      <c r="B137" s="32"/>
    </row>
    <row r="138" spans="1:2" ht="15" customHeight="1" x14ac:dyDescent="0.25">
      <c r="A138" t="s">
        <v>658</v>
      </c>
      <c r="B138" s="32"/>
    </row>
    <row r="139" spans="1:2" ht="15" customHeight="1" x14ac:dyDescent="0.25">
      <c r="A139" t="s">
        <v>197</v>
      </c>
      <c r="B139" s="32"/>
    </row>
    <row r="140" spans="1:2" ht="15" customHeight="1" x14ac:dyDescent="0.25">
      <c r="A140" t="s">
        <v>659</v>
      </c>
      <c r="B140" s="32"/>
    </row>
    <row r="141" spans="1:2" ht="15" customHeight="1" x14ac:dyDescent="0.25">
      <c r="A141" t="s">
        <v>660</v>
      </c>
      <c r="B141" s="32"/>
    </row>
    <row r="142" spans="1:2" ht="15" customHeight="1" x14ac:dyDescent="0.25">
      <c r="A142" t="s">
        <v>660</v>
      </c>
      <c r="B142" s="32"/>
    </row>
    <row r="143" spans="1:2" ht="15" customHeight="1" x14ac:dyDescent="0.25">
      <c r="A143" t="s">
        <v>661</v>
      </c>
      <c r="B143" s="32"/>
    </row>
    <row r="144" spans="1:2" ht="15" customHeight="1" x14ac:dyDescent="0.25">
      <c r="A144" t="s">
        <v>661</v>
      </c>
      <c r="B144" s="32"/>
    </row>
    <row r="145" spans="1:2" ht="15" customHeight="1" x14ac:dyDescent="0.25">
      <c r="A145" t="s">
        <v>555</v>
      </c>
      <c r="B145" s="32"/>
    </row>
    <row r="146" spans="1:2" ht="15" customHeight="1" x14ac:dyDescent="0.25">
      <c r="A146" t="s">
        <v>555</v>
      </c>
      <c r="B146" s="32"/>
    </row>
    <row r="147" spans="1:2" ht="15" customHeight="1" x14ac:dyDescent="0.25">
      <c r="A147" t="s">
        <v>198</v>
      </c>
      <c r="B147" s="32"/>
    </row>
    <row r="148" spans="1:2" ht="15" customHeight="1" x14ac:dyDescent="0.25">
      <c r="A148" t="s">
        <v>198</v>
      </c>
      <c r="B148" s="32"/>
    </row>
    <row r="149" spans="1:2" ht="15" customHeight="1" x14ac:dyDescent="0.25">
      <c r="A149" t="s">
        <v>662</v>
      </c>
      <c r="B149" s="32"/>
    </row>
    <row r="150" spans="1:2" ht="15" customHeight="1" x14ac:dyDescent="0.25">
      <c r="A150" t="s">
        <v>663</v>
      </c>
      <c r="B150" s="32"/>
    </row>
    <row r="151" spans="1:2" ht="15" customHeight="1" x14ac:dyDescent="0.25">
      <c r="A151" t="s">
        <v>663</v>
      </c>
      <c r="B151" s="32"/>
    </row>
    <row r="152" spans="1:2" ht="15" customHeight="1" x14ac:dyDescent="0.25">
      <c r="A152" t="s">
        <v>199</v>
      </c>
      <c r="B152" s="32"/>
    </row>
    <row r="153" spans="1:2" ht="15" customHeight="1" x14ac:dyDescent="0.25">
      <c r="A153" t="s">
        <v>199</v>
      </c>
      <c r="B153" s="32"/>
    </row>
    <row r="154" spans="1:2" ht="15" customHeight="1" x14ac:dyDescent="0.25">
      <c r="A154" t="s">
        <v>664</v>
      </c>
      <c r="B154" s="32"/>
    </row>
    <row r="155" spans="1:2" ht="15" customHeight="1" x14ac:dyDescent="0.25">
      <c r="B155" s="32"/>
    </row>
    <row r="156" spans="1:2" ht="15" customHeight="1" x14ac:dyDescent="0.25">
      <c r="A156" t="s">
        <v>200</v>
      </c>
      <c r="B156" s="32"/>
    </row>
    <row r="157" spans="1:2" ht="15" customHeight="1" x14ac:dyDescent="0.25">
      <c r="A157" t="s">
        <v>200</v>
      </c>
      <c r="B157" s="32"/>
    </row>
    <row r="158" spans="1:2" ht="15" customHeight="1" x14ac:dyDescent="0.25">
      <c r="A158" t="s">
        <v>481</v>
      </c>
      <c r="B158" s="32"/>
    </row>
    <row r="159" spans="1:2" ht="15" customHeight="1" x14ac:dyDescent="0.25">
      <c r="A159" t="s">
        <v>665</v>
      </c>
      <c r="B159" s="32"/>
    </row>
    <row r="160" spans="1:2" ht="15" customHeight="1" x14ac:dyDescent="0.25">
      <c r="A160" t="s">
        <v>666</v>
      </c>
      <c r="B160" s="32"/>
    </row>
    <row r="161" spans="1:2" ht="15" customHeight="1" x14ac:dyDescent="0.25">
      <c r="A161" t="s">
        <v>667</v>
      </c>
      <c r="B161" s="32"/>
    </row>
    <row r="162" spans="1:2" ht="15" customHeight="1" x14ac:dyDescent="0.25">
      <c r="A162" t="s">
        <v>668</v>
      </c>
      <c r="B162" s="32"/>
    </row>
    <row r="163" spans="1:2" ht="15" customHeight="1" x14ac:dyDescent="0.25">
      <c r="A163" t="s">
        <v>668</v>
      </c>
      <c r="B163" s="32"/>
    </row>
    <row r="164" spans="1:2" ht="15" customHeight="1" x14ac:dyDescent="0.25">
      <c r="A164" t="s">
        <v>669</v>
      </c>
      <c r="B164" s="32"/>
    </row>
    <row r="165" spans="1:2" ht="15" customHeight="1" x14ac:dyDescent="0.25">
      <c r="A165" t="s">
        <v>669</v>
      </c>
      <c r="B165" s="32"/>
    </row>
    <row r="166" spans="1:2" ht="15" customHeight="1" x14ac:dyDescent="0.25">
      <c r="A166" t="s">
        <v>670</v>
      </c>
      <c r="B166" s="32"/>
    </row>
    <row r="167" spans="1:2" ht="15" customHeight="1" x14ac:dyDescent="0.25">
      <c r="A167" t="s">
        <v>671</v>
      </c>
      <c r="B167" s="32"/>
    </row>
    <row r="168" spans="1:2" ht="15" customHeight="1" x14ac:dyDescent="0.25">
      <c r="A168" t="s">
        <v>201</v>
      </c>
      <c r="B168" s="32"/>
    </row>
    <row r="169" spans="1:2" ht="15" customHeight="1" x14ac:dyDescent="0.25">
      <c r="A169" t="s">
        <v>202</v>
      </c>
      <c r="B169" s="32"/>
    </row>
    <row r="170" spans="1:2" ht="15" customHeight="1" x14ac:dyDescent="0.25">
      <c r="A170" t="s">
        <v>556</v>
      </c>
      <c r="B170" s="32"/>
    </row>
    <row r="171" spans="1:2" ht="15" customHeight="1" x14ac:dyDescent="0.25">
      <c r="A171" t="s">
        <v>556</v>
      </c>
      <c r="B171" s="32"/>
    </row>
    <row r="172" spans="1:2" ht="15" customHeight="1" x14ac:dyDescent="0.25">
      <c r="A172" t="s">
        <v>672</v>
      </c>
      <c r="B172" s="32"/>
    </row>
    <row r="173" spans="1:2" ht="15" customHeight="1" x14ac:dyDescent="0.25">
      <c r="A173" t="s">
        <v>673</v>
      </c>
      <c r="B173" s="32"/>
    </row>
    <row r="174" spans="1:2" ht="15" customHeight="1" x14ac:dyDescent="0.25">
      <c r="A174" t="s">
        <v>674</v>
      </c>
      <c r="B174" s="32"/>
    </row>
    <row r="175" spans="1:2" ht="15" customHeight="1" x14ac:dyDescent="0.25">
      <c r="A175" t="s">
        <v>675</v>
      </c>
      <c r="B175" s="32"/>
    </row>
    <row r="176" spans="1:2" ht="15" customHeight="1" x14ac:dyDescent="0.25">
      <c r="A176" t="s">
        <v>676</v>
      </c>
      <c r="B176" s="32"/>
    </row>
    <row r="177" spans="1:2" ht="15" customHeight="1" x14ac:dyDescent="0.25">
      <c r="A177" t="s">
        <v>676</v>
      </c>
      <c r="B177" s="32"/>
    </row>
    <row r="178" spans="1:2" ht="15" customHeight="1" x14ac:dyDescent="0.25">
      <c r="A178" t="s">
        <v>677</v>
      </c>
      <c r="B178" s="32"/>
    </row>
    <row r="179" spans="1:2" ht="15" customHeight="1" x14ac:dyDescent="0.25">
      <c r="A179" t="s">
        <v>678</v>
      </c>
      <c r="B179" s="32"/>
    </row>
    <row r="180" spans="1:2" ht="15" customHeight="1" x14ac:dyDescent="0.25">
      <c r="A180" t="s">
        <v>482</v>
      </c>
      <c r="B180" s="32"/>
    </row>
    <row r="181" spans="1:2" ht="15" customHeight="1" x14ac:dyDescent="0.25">
      <c r="A181" t="s">
        <v>679</v>
      </c>
      <c r="B181" s="32"/>
    </row>
    <row r="182" spans="1:2" ht="15" customHeight="1" x14ac:dyDescent="0.25">
      <c r="A182" t="s">
        <v>679</v>
      </c>
      <c r="B182" s="32"/>
    </row>
    <row r="183" spans="1:2" ht="15" customHeight="1" x14ac:dyDescent="0.25">
      <c r="A183" t="s">
        <v>680</v>
      </c>
      <c r="B183" s="32"/>
    </row>
    <row r="184" spans="1:2" ht="15" customHeight="1" x14ac:dyDescent="0.25">
      <c r="A184" t="s">
        <v>680</v>
      </c>
      <c r="B184" s="32"/>
    </row>
    <row r="185" spans="1:2" ht="15" customHeight="1" x14ac:dyDescent="0.25">
      <c r="A185" t="s">
        <v>681</v>
      </c>
      <c r="B185" s="32"/>
    </row>
    <row r="186" spans="1:2" ht="15" customHeight="1" x14ac:dyDescent="0.25">
      <c r="A186" t="s">
        <v>680</v>
      </c>
      <c r="B186" s="32"/>
    </row>
    <row r="187" spans="1:2" ht="15" customHeight="1" x14ac:dyDescent="0.25">
      <c r="A187" t="s">
        <v>682</v>
      </c>
      <c r="B187" s="32"/>
    </row>
    <row r="188" spans="1:2" ht="15" customHeight="1" x14ac:dyDescent="0.25">
      <c r="A188" t="s">
        <v>203</v>
      </c>
      <c r="B188" s="32"/>
    </row>
    <row r="189" spans="1:2" ht="15" customHeight="1" x14ac:dyDescent="0.25">
      <c r="A189" t="s">
        <v>203</v>
      </c>
      <c r="B189" s="32">
        <f t="shared" ref="B189:B198" ca="1" si="0">TODAY()-150</f>
        <v>44450</v>
      </c>
    </row>
    <row r="190" spans="1:2" ht="15" customHeight="1" x14ac:dyDescent="0.25">
      <c r="A190" t="s">
        <v>204</v>
      </c>
      <c r="B190" s="32">
        <f t="shared" ca="1" si="0"/>
        <v>44450</v>
      </c>
    </row>
    <row r="191" spans="1:2" ht="15" customHeight="1" x14ac:dyDescent="0.25">
      <c r="A191" t="s">
        <v>204</v>
      </c>
      <c r="B191" s="32">
        <f t="shared" ca="1" si="0"/>
        <v>44450</v>
      </c>
    </row>
    <row r="192" spans="1:2" ht="15" customHeight="1" x14ac:dyDescent="0.25">
      <c r="A192" t="s">
        <v>546</v>
      </c>
      <c r="B192" s="32">
        <f t="shared" ca="1" si="0"/>
        <v>44450</v>
      </c>
    </row>
    <row r="193" spans="1:2" ht="15" customHeight="1" x14ac:dyDescent="0.25">
      <c r="A193" t="s">
        <v>546</v>
      </c>
      <c r="B193" s="32">
        <f t="shared" ca="1" si="0"/>
        <v>44450</v>
      </c>
    </row>
    <row r="194" spans="1:2" ht="15" customHeight="1" x14ac:dyDescent="0.25">
      <c r="A194" t="s">
        <v>205</v>
      </c>
      <c r="B194" s="32">
        <f t="shared" ca="1" si="0"/>
        <v>44450</v>
      </c>
    </row>
    <row r="195" spans="1:2" ht="15" customHeight="1" x14ac:dyDescent="0.25">
      <c r="A195" t="s">
        <v>205</v>
      </c>
      <c r="B195" s="32">
        <f t="shared" ca="1" si="0"/>
        <v>44450</v>
      </c>
    </row>
    <row r="196" spans="1:2" ht="15" customHeight="1" x14ac:dyDescent="0.25">
      <c r="A196" t="s">
        <v>683</v>
      </c>
      <c r="B196" s="32">
        <f t="shared" ca="1" si="0"/>
        <v>44450</v>
      </c>
    </row>
    <row r="197" spans="1:2" ht="15" customHeight="1" x14ac:dyDescent="0.25">
      <c r="A197" t="s">
        <v>206</v>
      </c>
      <c r="B197" s="32">
        <f t="shared" ca="1" si="0"/>
        <v>44450</v>
      </c>
    </row>
    <row r="198" spans="1:2" ht="15" customHeight="1" x14ac:dyDescent="0.25">
      <c r="A198" t="s">
        <v>206</v>
      </c>
      <c r="B198" s="32">
        <f t="shared" ca="1" si="0"/>
        <v>44450</v>
      </c>
    </row>
    <row r="199" spans="1:2" ht="15" customHeight="1" x14ac:dyDescent="0.25">
      <c r="A199" t="s">
        <v>684</v>
      </c>
      <c r="B199" s="32">
        <f t="shared" ref="B199:B262" ca="1" si="1">TODAY()-150</f>
        <v>44450</v>
      </c>
    </row>
    <row r="200" spans="1:2" ht="15" customHeight="1" x14ac:dyDescent="0.25">
      <c r="A200" t="s">
        <v>207</v>
      </c>
      <c r="B200" s="32">
        <f t="shared" ca="1" si="1"/>
        <v>44450</v>
      </c>
    </row>
    <row r="201" spans="1:2" ht="15" customHeight="1" x14ac:dyDescent="0.25">
      <c r="A201" t="s">
        <v>685</v>
      </c>
      <c r="B201" s="32">
        <f t="shared" ca="1" si="1"/>
        <v>44450</v>
      </c>
    </row>
    <row r="202" spans="1:2" ht="15" customHeight="1" x14ac:dyDescent="0.25">
      <c r="A202" t="s">
        <v>686</v>
      </c>
      <c r="B202" s="32">
        <f t="shared" ca="1" si="1"/>
        <v>44450</v>
      </c>
    </row>
    <row r="203" spans="1:2" ht="15" customHeight="1" x14ac:dyDescent="0.25">
      <c r="A203" t="s">
        <v>686</v>
      </c>
      <c r="B203" s="32">
        <f t="shared" ca="1" si="1"/>
        <v>44450</v>
      </c>
    </row>
    <row r="204" spans="1:2" ht="15" customHeight="1" x14ac:dyDescent="0.25">
      <c r="A204" t="s">
        <v>687</v>
      </c>
      <c r="B204" s="32">
        <f t="shared" ca="1" si="1"/>
        <v>44450</v>
      </c>
    </row>
    <row r="205" spans="1:2" ht="15" customHeight="1" x14ac:dyDescent="0.25">
      <c r="A205" t="s">
        <v>483</v>
      </c>
      <c r="B205" s="32">
        <f t="shared" ca="1" si="1"/>
        <v>44450</v>
      </c>
    </row>
    <row r="206" spans="1:2" ht="15" customHeight="1" x14ac:dyDescent="0.25">
      <c r="A206" t="s">
        <v>483</v>
      </c>
      <c r="B206" s="32">
        <f t="shared" ca="1" si="1"/>
        <v>44450</v>
      </c>
    </row>
    <row r="207" spans="1:2" ht="15" customHeight="1" x14ac:dyDescent="0.25">
      <c r="A207" t="s">
        <v>688</v>
      </c>
      <c r="B207" s="32">
        <f t="shared" ca="1" si="1"/>
        <v>44450</v>
      </c>
    </row>
    <row r="208" spans="1:2" ht="15" customHeight="1" x14ac:dyDescent="0.25">
      <c r="A208" t="s">
        <v>688</v>
      </c>
      <c r="B208" s="32">
        <f t="shared" ca="1" si="1"/>
        <v>44450</v>
      </c>
    </row>
    <row r="209" spans="1:2" ht="15" customHeight="1" x14ac:dyDescent="0.25">
      <c r="A209" t="s">
        <v>689</v>
      </c>
      <c r="B209" s="32">
        <f t="shared" ca="1" si="1"/>
        <v>44450</v>
      </c>
    </row>
    <row r="210" spans="1:2" ht="15" customHeight="1" x14ac:dyDescent="0.25">
      <c r="A210" t="s">
        <v>689</v>
      </c>
      <c r="B210" s="32">
        <f t="shared" ca="1" si="1"/>
        <v>44450</v>
      </c>
    </row>
    <row r="211" spans="1:2" ht="15" customHeight="1" x14ac:dyDescent="0.25">
      <c r="A211" t="s">
        <v>680</v>
      </c>
      <c r="B211" s="32">
        <f t="shared" ca="1" si="1"/>
        <v>44450</v>
      </c>
    </row>
    <row r="212" spans="1:2" ht="15" customHeight="1" x14ac:dyDescent="0.25">
      <c r="B212" s="32">
        <f t="shared" ca="1" si="1"/>
        <v>44450</v>
      </c>
    </row>
    <row r="213" spans="1:2" ht="15" customHeight="1" x14ac:dyDescent="0.25">
      <c r="A213" t="s">
        <v>690</v>
      </c>
      <c r="B213" s="32">
        <f t="shared" ca="1" si="1"/>
        <v>44450</v>
      </c>
    </row>
    <row r="214" spans="1:2" ht="15" customHeight="1" x14ac:dyDescent="0.25">
      <c r="A214" t="s">
        <v>690</v>
      </c>
      <c r="B214" s="32">
        <f t="shared" ca="1" si="1"/>
        <v>44450</v>
      </c>
    </row>
    <row r="215" spans="1:2" ht="15" customHeight="1" x14ac:dyDescent="0.25">
      <c r="A215" t="s">
        <v>691</v>
      </c>
      <c r="B215" s="32">
        <f t="shared" ca="1" si="1"/>
        <v>44450</v>
      </c>
    </row>
    <row r="216" spans="1:2" ht="15" customHeight="1" x14ac:dyDescent="0.25">
      <c r="A216" t="s">
        <v>692</v>
      </c>
      <c r="B216" s="32">
        <f t="shared" ca="1" si="1"/>
        <v>44450</v>
      </c>
    </row>
    <row r="217" spans="1:2" ht="15" customHeight="1" x14ac:dyDescent="0.25">
      <c r="A217" t="s">
        <v>692</v>
      </c>
      <c r="B217" s="32">
        <f t="shared" ca="1" si="1"/>
        <v>44450</v>
      </c>
    </row>
    <row r="218" spans="1:2" ht="15" customHeight="1" x14ac:dyDescent="0.25">
      <c r="A218" t="s">
        <v>208</v>
      </c>
      <c r="B218" s="32">
        <f t="shared" ca="1" si="1"/>
        <v>44450</v>
      </c>
    </row>
    <row r="219" spans="1:2" ht="15" customHeight="1" x14ac:dyDescent="0.25">
      <c r="A219" t="s">
        <v>693</v>
      </c>
      <c r="B219" s="32">
        <f t="shared" ca="1" si="1"/>
        <v>44450</v>
      </c>
    </row>
    <row r="220" spans="1:2" ht="15" customHeight="1" x14ac:dyDescent="0.25">
      <c r="A220" t="s">
        <v>693</v>
      </c>
      <c r="B220" s="32">
        <f t="shared" ca="1" si="1"/>
        <v>44450</v>
      </c>
    </row>
    <row r="221" spans="1:2" ht="15" customHeight="1" x14ac:dyDescent="0.25">
      <c r="B221" s="32">
        <f t="shared" ca="1" si="1"/>
        <v>44450</v>
      </c>
    </row>
    <row r="222" spans="1:2" ht="15" customHeight="1" x14ac:dyDescent="0.25">
      <c r="A222" t="s">
        <v>680</v>
      </c>
      <c r="B222" s="32">
        <f t="shared" ca="1" si="1"/>
        <v>44450</v>
      </c>
    </row>
    <row r="223" spans="1:2" ht="15" customHeight="1" x14ac:dyDescent="0.25">
      <c r="A223" t="s">
        <v>694</v>
      </c>
      <c r="B223" s="32">
        <f t="shared" ca="1" si="1"/>
        <v>44450</v>
      </c>
    </row>
    <row r="224" spans="1:2" ht="15" customHeight="1" x14ac:dyDescent="0.25">
      <c r="A224" t="s">
        <v>694</v>
      </c>
      <c r="B224" s="32">
        <f t="shared" ca="1" si="1"/>
        <v>44450</v>
      </c>
    </row>
    <row r="225" spans="1:2" ht="15" customHeight="1" x14ac:dyDescent="0.25">
      <c r="A225" t="s">
        <v>695</v>
      </c>
      <c r="B225" s="32">
        <f t="shared" ca="1" si="1"/>
        <v>44450</v>
      </c>
    </row>
    <row r="226" spans="1:2" ht="15" customHeight="1" x14ac:dyDescent="0.25">
      <c r="A226" t="s">
        <v>696</v>
      </c>
      <c r="B226" s="32">
        <f t="shared" ca="1" si="1"/>
        <v>44450</v>
      </c>
    </row>
    <row r="227" spans="1:2" ht="15" customHeight="1" x14ac:dyDescent="0.25">
      <c r="A227" t="s">
        <v>697</v>
      </c>
      <c r="B227" s="32">
        <f t="shared" ca="1" si="1"/>
        <v>44450</v>
      </c>
    </row>
    <row r="228" spans="1:2" ht="15" customHeight="1" x14ac:dyDescent="0.25">
      <c r="A228" t="s">
        <v>697</v>
      </c>
      <c r="B228" s="32">
        <f t="shared" ca="1" si="1"/>
        <v>44450</v>
      </c>
    </row>
    <row r="229" spans="1:2" ht="15" customHeight="1" x14ac:dyDescent="0.25">
      <c r="A229" t="s">
        <v>484</v>
      </c>
      <c r="B229" s="32">
        <f t="shared" ca="1" si="1"/>
        <v>44450</v>
      </c>
    </row>
    <row r="230" spans="1:2" ht="15" customHeight="1" x14ac:dyDescent="0.25">
      <c r="A230" t="s">
        <v>484</v>
      </c>
      <c r="B230" s="32">
        <f t="shared" ca="1" si="1"/>
        <v>44450</v>
      </c>
    </row>
    <row r="231" spans="1:2" ht="15" customHeight="1" x14ac:dyDescent="0.25">
      <c r="A231" t="s">
        <v>698</v>
      </c>
      <c r="B231" s="32">
        <f t="shared" ca="1" si="1"/>
        <v>44450</v>
      </c>
    </row>
    <row r="232" spans="1:2" ht="15" customHeight="1" x14ac:dyDescent="0.25">
      <c r="A232" t="s">
        <v>209</v>
      </c>
      <c r="B232" s="32">
        <f t="shared" ca="1" si="1"/>
        <v>44450</v>
      </c>
    </row>
    <row r="233" spans="1:2" ht="15" customHeight="1" x14ac:dyDescent="0.25">
      <c r="A233" t="s">
        <v>699</v>
      </c>
      <c r="B233" s="32">
        <f t="shared" ca="1" si="1"/>
        <v>44450</v>
      </c>
    </row>
    <row r="234" spans="1:2" ht="15" customHeight="1" x14ac:dyDescent="0.25">
      <c r="A234" t="s">
        <v>700</v>
      </c>
      <c r="B234" s="32">
        <f t="shared" ca="1" si="1"/>
        <v>44450</v>
      </c>
    </row>
    <row r="235" spans="1:2" ht="15" customHeight="1" x14ac:dyDescent="0.25">
      <c r="A235" t="s">
        <v>701</v>
      </c>
      <c r="B235" s="32">
        <f t="shared" ca="1" si="1"/>
        <v>44450</v>
      </c>
    </row>
    <row r="236" spans="1:2" ht="15" customHeight="1" x14ac:dyDescent="0.25">
      <c r="A236" t="s">
        <v>702</v>
      </c>
      <c r="B236" s="32">
        <f t="shared" ca="1" si="1"/>
        <v>44450</v>
      </c>
    </row>
    <row r="237" spans="1:2" ht="15" customHeight="1" x14ac:dyDescent="0.25">
      <c r="A237" t="s">
        <v>702</v>
      </c>
      <c r="B237" s="32">
        <f t="shared" ca="1" si="1"/>
        <v>44450</v>
      </c>
    </row>
    <row r="238" spans="1:2" ht="15" customHeight="1" x14ac:dyDescent="0.25">
      <c r="A238" t="s">
        <v>703</v>
      </c>
      <c r="B238" s="32">
        <f t="shared" ca="1" si="1"/>
        <v>44450</v>
      </c>
    </row>
    <row r="239" spans="1:2" ht="15" customHeight="1" x14ac:dyDescent="0.25">
      <c r="A239" t="s">
        <v>703</v>
      </c>
      <c r="B239" s="32">
        <f t="shared" ca="1" si="1"/>
        <v>44450</v>
      </c>
    </row>
    <row r="240" spans="1:2" ht="15" customHeight="1" x14ac:dyDescent="0.25">
      <c r="A240" t="s">
        <v>543</v>
      </c>
      <c r="B240" s="32">
        <f t="shared" ca="1" si="1"/>
        <v>44450</v>
      </c>
    </row>
    <row r="241" spans="1:2" ht="15" customHeight="1" x14ac:dyDescent="0.25">
      <c r="A241" t="s">
        <v>210</v>
      </c>
      <c r="B241" s="32">
        <f t="shared" ca="1" si="1"/>
        <v>44450</v>
      </c>
    </row>
    <row r="242" spans="1:2" ht="15" customHeight="1" x14ac:dyDescent="0.25">
      <c r="A242" t="s">
        <v>704</v>
      </c>
      <c r="B242" s="32">
        <f t="shared" ca="1" si="1"/>
        <v>44450</v>
      </c>
    </row>
    <row r="243" spans="1:2" ht="15" customHeight="1" x14ac:dyDescent="0.25">
      <c r="B243" s="32">
        <f t="shared" ca="1" si="1"/>
        <v>44450</v>
      </c>
    </row>
    <row r="244" spans="1:2" ht="15" customHeight="1" x14ac:dyDescent="0.25">
      <c r="B244" s="32">
        <f t="shared" ca="1" si="1"/>
        <v>44450</v>
      </c>
    </row>
    <row r="245" spans="1:2" ht="15" customHeight="1" x14ac:dyDescent="0.25">
      <c r="A245" t="s">
        <v>705</v>
      </c>
      <c r="B245" s="32">
        <f t="shared" ca="1" si="1"/>
        <v>44450</v>
      </c>
    </row>
    <row r="246" spans="1:2" ht="15" customHeight="1" x14ac:dyDescent="0.25">
      <c r="A246" t="s">
        <v>706</v>
      </c>
      <c r="B246" s="32">
        <f t="shared" ca="1" si="1"/>
        <v>44450</v>
      </c>
    </row>
    <row r="247" spans="1:2" ht="15" customHeight="1" x14ac:dyDescent="0.25">
      <c r="A247" t="s">
        <v>707</v>
      </c>
      <c r="B247" s="32">
        <f t="shared" ca="1" si="1"/>
        <v>44450</v>
      </c>
    </row>
    <row r="248" spans="1:2" ht="15" customHeight="1" x14ac:dyDescent="0.25">
      <c r="A248" t="s">
        <v>708</v>
      </c>
      <c r="B248" s="32">
        <f t="shared" ca="1" si="1"/>
        <v>44450</v>
      </c>
    </row>
    <row r="249" spans="1:2" ht="15" customHeight="1" x14ac:dyDescent="0.25">
      <c r="A249" t="s">
        <v>709</v>
      </c>
      <c r="B249" s="32">
        <f t="shared" ca="1" si="1"/>
        <v>44450</v>
      </c>
    </row>
    <row r="250" spans="1:2" ht="15" customHeight="1" x14ac:dyDescent="0.25">
      <c r="A250" t="s">
        <v>710</v>
      </c>
      <c r="B250" s="32">
        <f t="shared" ca="1" si="1"/>
        <v>44450</v>
      </c>
    </row>
    <row r="251" spans="1:2" ht="15" customHeight="1" x14ac:dyDescent="0.25">
      <c r="A251" t="s">
        <v>711</v>
      </c>
      <c r="B251" s="32">
        <f t="shared" ca="1" si="1"/>
        <v>44450</v>
      </c>
    </row>
    <row r="252" spans="1:2" ht="15" customHeight="1" x14ac:dyDescent="0.25">
      <c r="B252" s="32">
        <f t="shared" ca="1" si="1"/>
        <v>44450</v>
      </c>
    </row>
    <row r="253" spans="1:2" ht="15" customHeight="1" x14ac:dyDescent="0.25">
      <c r="A253" t="s">
        <v>712</v>
      </c>
      <c r="B253" s="32">
        <f t="shared" ca="1" si="1"/>
        <v>44450</v>
      </c>
    </row>
    <row r="254" spans="1:2" ht="15" customHeight="1" x14ac:dyDescent="0.25">
      <c r="A254" t="s">
        <v>713</v>
      </c>
      <c r="B254" s="32">
        <f t="shared" ca="1" si="1"/>
        <v>44450</v>
      </c>
    </row>
    <row r="255" spans="1:2" ht="15" customHeight="1" x14ac:dyDescent="0.25">
      <c r="A255" t="s">
        <v>714</v>
      </c>
      <c r="B255" s="32">
        <f t="shared" ca="1" si="1"/>
        <v>44450</v>
      </c>
    </row>
    <row r="256" spans="1:2" ht="15" customHeight="1" x14ac:dyDescent="0.25">
      <c r="A256" t="s">
        <v>715</v>
      </c>
      <c r="B256" s="32">
        <f t="shared" ca="1" si="1"/>
        <v>44450</v>
      </c>
    </row>
    <row r="257" spans="1:2" ht="15" customHeight="1" x14ac:dyDescent="0.25">
      <c r="A257" t="s">
        <v>211</v>
      </c>
      <c r="B257" s="32">
        <f t="shared" ca="1" si="1"/>
        <v>44450</v>
      </c>
    </row>
    <row r="258" spans="1:2" ht="15" customHeight="1" x14ac:dyDescent="0.25">
      <c r="A258" t="s">
        <v>212</v>
      </c>
      <c r="B258" s="32">
        <f t="shared" ca="1" si="1"/>
        <v>44450</v>
      </c>
    </row>
    <row r="259" spans="1:2" ht="15" customHeight="1" x14ac:dyDescent="0.25">
      <c r="A259" t="s">
        <v>212</v>
      </c>
      <c r="B259" s="32">
        <f t="shared" ca="1" si="1"/>
        <v>44450</v>
      </c>
    </row>
    <row r="260" spans="1:2" ht="15" customHeight="1" x14ac:dyDescent="0.25">
      <c r="A260" t="s">
        <v>213</v>
      </c>
      <c r="B260" s="32">
        <f t="shared" ca="1" si="1"/>
        <v>44450</v>
      </c>
    </row>
    <row r="261" spans="1:2" ht="15" customHeight="1" x14ac:dyDescent="0.25">
      <c r="A261" t="s">
        <v>213</v>
      </c>
      <c r="B261" s="32">
        <f t="shared" ca="1" si="1"/>
        <v>44450</v>
      </c>
    </row>
    <row r="262" spans="1:2" ht="15" customHeight="1" x14ac:dyDescent="0.25">
      <c r="A262" t="s">
        <v>214</v>
      </c>
      <c r="B262" s="32">
        <f t="shared" ca="1" si="1"/>
        <v>44450</v>
      </c>
    </row>
    <row r="263" spans="1:2" ht="15" customHeight="1" x14ac:dyDescent="0.25">
      <c r="A263" t="s">
        <v>716</v>
      </c>
      <c r="B263" s="32">
        <f t="shared" ref="B263:B326" ca="1" si="2">TODAY()-150</f>
        <v>44450</v>
      </c>
    </row>
    <row r="264" spans="1:2" ht="15" customHeight="1" x14ac:dyDescent="0.25">
      <c r="A264" t="s">
        <v>215</v>
      </c>
      <c r="B264" s="32">
        <f t="shared" ca="1" si="2"/>
        <v>44450</v>
      </c>
    </row>
    <row r="265" spans="1:2" ht="15" customHeight="1" x14ac:dyDescent="0.25">
      <c r="A265" t="s">
        <v>216</v>
      </c>
      <c r="B265" s="32">
        <f t="shared" ca="1" si="2"/>
        <v>44450</v>
      </c>
    </row>
    <row r="266" spans="1:2" ht="15" customHeight="1" x14ac:dyDescent="0.25">
      <c r="A266" t="s">
        <v>216</v>
      </c>
      <c r="B266" s="32">
        <f t="shared" ca="1" si="2"/>
        <v>44450</v>
      </c>
    </row>
    <row r="267" spans="1:2" ht="15" customHeight="1" x14ac:dyDescent="0.25">
      <c r="A267" t="s">
        <v>717</v>
      </c>
      <c r="B267" s="32">
        <f t="shared" ca="1" si="2"/>
        <v>44450</v>
      </c>
    </row>
    <row r="268" spans="1:2" ht="15" customHeight="1" x14ac:dyDescent="0.25">
      <c r="A268" t="s">
        <v>718</v>
      </c>
      <c r="B268" s="32">
        <f t="shared" ca="1" si="2"/>
        <v>44450</v>
      </c>
    </row>
    <row r="269" spans="1:2" ht="15" customHeight="1" x14ac:dyDescent="0.25">
      <c r="A269" t="s">
        <v>217</v>
      </c>
      <c r="B269" s="32">
        <f t="shared" ca="1" si="2"/>
        <v>44450</v>
      </c>
    </row>
    <row r="270" spans="1:2" ht="15" customHeight="1" x14ac:dyDescent="0.25">
      <c r="A270" t="s">
        <v>719</v>
      </c>
      <c r="B270" s="32">
        <f t="shared" ca="1" si="2"/>
        <v>44450</v>
      </c>
    </row>
    <row r="271" spans="1:2" ht="15" customHeight="1" x14ac:dyDescent="0.25">
      <c r="A271" t="s">
        <v>218</v>
      </c>
      <c r="B271" s="32">
        <f t="shared" ca="1" si="2"/>
        <v>44450</v>
      </c>
    </row>
    <row r="272" spans="1:2" ht="15" customHeight="1" x14ac:dyDescent="0.25">
      <c r="A272" t="s">
        <v>219</v>
      </c>
      <c r="B272" s="32">
        <f t="shared" ca="1" si="2"/>
        <v>44450</v>
      </c>
    </row>
    <row r="273" spans="1:2" ht="15" customHeight="1" x14ac:dyDescent="0.25">
      <c r="A273" t="s">
        <v>220</v>
      </c>
      <c r="B273" s="32">
        <f t="shared" ca="1" si="2"/>
        <v>44450</v>
      </c>
    </row>
    <row r="274" spans="1:2" ht="15" customHeight="1" x14ac:dyDescent="0.25">
      <c r="A274" t="s">
        <v>221</v>
      </c>
      <c r="B274" s="32">
        <f t="shared" ca="1" si="2"/>
        <v>44450</v>
      </c>
    </row>
    <row r="275" spans="1:2" ht="15" customHeight="1" x14ac:dyDescent="0.25">
      <c r="A275" t="s">
        <v>222</v>
      </c>
      <c r="B275" s="32">
        <f t="shared" ca="1" si="2"/>
        <v>44450</v>
      </c>
    </row>
    <row r="276" spans="1:2" ht="15" customHeight="1" x14ac:dyDescent="0.25">
      <c r="A276" t="s">
        <v>720</v>
      </c>
      <c r="B276" s="32">
        <f t="shared" ca="1" si="2"/>
        <v>44450</v>
      </c>
    </row>
    <row r="277" spans="1:2" ht="15" customHeight="1" x14ac:dyDescent="0.25">
      <c r="A277" t="s">
        <v>720</v>
      </c>
      <c r="B277" s="32">
        <f t="shared" ca="1" si="2"/>
        <v>44450</v>
      </c>
    </row>
    <row r="278" spans="1:2" ht="15" customHeight="1" x14ac:dyDescent="0.25">
      <c r="A278" t="s">
        <v>721</v>
      </c>
      <c r="B278" s="32">
        <f t="shared" ca="1" si="2"/>
        <v>44450</v>
      </c>
    </row>
    <row r="279" spans="1:2" ht="15" customHeight="1" x14ac:dyDescent="0.25">
      <c r="A279" t="s">
        <v>223</v>
      </c>
      <c r="B279" s="32">
        <f t="shared" ca="1" si="2"/>
        <v>44450</v>
      </c>
    </row>
    <row r="280" spans="1:2" ht="15" customHeight="1" x14ac:dyDescent="0.25">
      <c r="A280" t="s">
        <v>722</v>
      </c>
      <c r="B280" s="32">
        <f t="shared" ca="1" si="2"/>
        <v>44450</v>
      </c>
    </row>
    <row r="281" spans="1:2" ht="15" customHeight="1" x14ac:dyDescent="0.25">
      <c r="A281" t="s">
        <v>723</v>
      </c>
      <c r="B281" s="32">
        <f t="shared" ca="1" si="2"/>
        <v>44450</v>
      </c>
    </row>
    <row r="282" spans="1:2" ht="15" customHeight="1" x14ac:dyDescent="0.25">
      <c r="A282" t="s">
        <v>724</v>
      </c>
      <c r="B282" s="32">
        <f t="shared" ca="1" si="2"/>
        <v>44450</v>
      </c>
    </row>
    <row r="283" spans="1:2" ht="15" customHeight="1" x14ac:dyDescent="0.25">
      <c r="A283" t="s">
        <v>724</v>
      </c>
      <c r="B283" s="32">
        <f t="shared" ca="1" si="2"/>
        <v>44450</v>
      </c>
    </row>
    <row r="284" spans="1:2" ht="15" customHeight="1" x14ac:dyDescent="0.25">
      <c r="A284" t="s">
        <v>724</v>
      </c>
      <c r="B284" s="32">
        <f t="shared" ca="1" si="2"/>
        <v>44450</v>
      </c>
    </row>
    <row r="285" spans="1:2" ht="15" customHeight="1" x14ac:dyDescent="0.25">
      <c r="A285" t="s">
        <v>724</v>
      </c>
      <c r="B285" s="32">
        <f t="shared" ca="1" si="2"/>
        <v>44450</v>
      </c>
    </row>
    <row r="286" spans="1:2" ht="15" customHeight="1" x14ac:dyDescent="0.25">
      <c r="A286" t="s">
        <v>724</v>
      </c>
      <c r="B286" s="32">
        <f t="shared" ca="1" si="2"/>
        <v>44450</v>
      </c>
    </row>
    <row r="287" spans="1:2" ht="15" customHeight="1" x14ac:dyDescent="0.25">
      <c r="A287" t="s">
        <v>724</v>
      </c>
      <c r="B287" s="32">
        <f t="shared" ca="1" si="2"/>
        <v>44450</v>
      </c>
    </row>
    <row r="288" spans="1:2" ht="15" customHeight="1" x14ac:dyDescent="0.25">
      <c r="A288" t="s">
        <v>224</v>
      </c>
      <c r="B288" s="32">
        <f t="shared" ca="1" si="2"/>
        <v>44450</v>
      </c>
    </row>
    <row r="289" spans="1:2" ht="15" customHeight="1" x14ac:dyDescent="0.25">
      <c r="A289" t="s">
        <v>224</v>
      </c>
      <c r="B289" s="32">
        <f t="shared" ca="1" si="2"/>
        <v>44450</v>
      </c>
    </row>
    <row r="290" spans="1:2" ht="15" customHeight="1" x14ac:dyDescent="0.25">
      <c r="A290" t="s">
        <v>225</v>
      </c>
      <c r="B290" s="32">
        <f t="shared" ca="1" si="2"/>
        <v>44450</v>
      </c>
    </row>
    <row r="291" spans="1:2" ht="15" customHeight="1" x14ac:dyDescent="0.25">
      <c r="A291" t="s">
        <v>226</v>
      </c>
      <c r="B291" s="32">
        <f t="shared" ca="1" si="2"/>
        <v>44450</v>
      </c>
    </row>
    <row r="292" spans="1:2" ht="15" customHeight="1" x14ac:dyDescent="0.25">
      <c r="A292" t="s">
        <v>227</v>
      </c>
      <c r="B292" s="32">
        <f t="shared" ca="1" si="2"/>
        <v>44450</v>
      </c>
    </row>
    <row r="293" spans="1:2" ht="15" customHeight="1" x14ac:dyDescent="0.25">
      <c r="A293" t="s">
        <v>725</v>
      </c>
      <c r="B293" s="32">
        <f t="shared" ca="1" si="2"/>
        <v>44450</v>
      </c>
    </row>
    <row r="294" spans="1:2" ht="15" customHeight="1" x14ac:dyDescent="0.25">
      <c r="A294" t="s">
        <v>725</v>
      </c>
      <c r="B294" s="32">
        <f t="shared" ca="1" si="2"/>
        <v>44450</v>
      </c>
    </row>
    <row r="295" spans="1:2" ht="15" customHeight="1" x14ac:dyDescent="0.25">
      <c r="A295" t="s">
        <v>725</v>
      </c>
      <c r="B295" s="32">
        <f t="shared" ca="1" si="2"/>
        <v>44450</v>
      </c>
    </row>
    <row r="296" spans="1:2" ht="15" customHeight="1" x14ac:dyDescent="0.25">
      <c r="A296" t="s">
        <v>725</v>
      </c>
      <c r="B296" s="32">
        <f t="shared" ca="1" si="2"/>
        <v>44450</v>
      </c>
    </row>
    <row r="297" spans="1:2" ht="15" customHeight="1" x14ac:dyDescent="0.25">
      <c r="A297" t="s">
        <v>726</v>
      </c>
      <c r="B297" s="32">
        <f t="shared" ca="1" si="2"/>
        <v>44450</v>
      </c>
    </row>
    <row r="298" spans="1:2" ht="15" customHeight="1" x14ac:dyDescent="0.25">
      <c r="A298" t="s">
        <v>726</v>
      </c>
      <c r="B298" s="32">
        <f t="shared" ca="1" si="2"/>
        <v>44450</v>
      </c>
    </row>
    <row r="299" spans="1:2" ht="15" customHeight="1" x14ac:dyDescent="0.25">
      <c r="A299" t="s">
        <v>726</v>
      </c>
      <c r="B299" s="32">
        <f t="shared" ca="1" si="2"/>
        <v>44450</v>
      </c>
    </row>
    <row r="300" spans="1:2" ht="15" customHeight="1" x14ac:dyDescent="0.25">
      <c r="A300" t="s">
        <v>726</v>
      </c>
      <c r="B300" s="32">
        <f t="shared" ca="1" si="2"/>
        <v>44450</v>
      </c>
    </row>
    <row r="301" spans="1:2" ht="15" customHeight="1" x14ac:dyDescent="0.25">
      <c r="A301" t="s">
        <v>726</v>
      </c>
      <c r="B301" s="32">
        <f t="shared" ca="1" si="2"/>
        <v>44450</v>
      </c>
    </row>
    <row r="302" spans="1:2" ht="15" customHeight="1" x14ac:dyDescent="0.25">
      <c r="A302" t="s">
        <v>727</v>
      </c>
      <c r="B302" s="32">
        <f t="shared" ca="1" si="2"/>
        <v>44450</v>
      </c>
    </row>
    <row r="303" spans="1:2" ht="15" customHeight="1" x14ac:dyDescent="0.25">
      <c r="A303" t="s">
        <v>727</v>
      </c>
      <c r="B303" s="32">
        <f t="shared" ca="1" si="2"/>
        <v>44450</v>
      </c>
    </row>
    <row r="304" spans="1:2" ht="15" customHeight="1" x14ac:dyDescent="0.25">
      <c r="A304" t="s">
        <v>728</v>
      </c>
      <c r="B304" s="32">
        <f t="shared" ca="1" si="2"/>
        <v>44450</v>
      </c>
    </row>
    <row r="305" spans="1:2" ht="15" customHeight="1" x14ac:dyDescent="0.25">
      <c r="A305" t="s">
        <v>729</v>
      </c>
      <c r="B305" s="32">
        <f t="shared" ca="1" si="2"/>
        <v>44450</v>
      </c>
    </row>
    <row r="306" spans="1:2" ht="15" customHeight="1" x14ac:dyDescent="0.25">
      <c r="A306" t="s">
        <v>729</v>
      </c>
      <c r="B306" s="32">
        <f t="shared" ca="1" si="2"/>
        <v>44450</v>
      </c>
    </row>
    <row r="307" spans="1:2" ht="15" customHeight="1" x14ac:dyDescent="0.25">
      <c r="A307" t="s">
        <v>730</v>
      </c>
      <c r="B307" s="32">
        <f t="shared" ca="1" si="2"/>
        <v>44450</v>
      </c>
    </row>
    <row r="308" spans="1:2" ht="15" customHeight="1" x14ac:dyDescent="0.25">
      <c r="A308" t="s">
        <v>722</v>
      </c>
      <c r="B308" s="32">
        <f t="shared" ca="1" si="2"/>
        <v>44450</v>
      </c>
    </row>
    <row r="309" spans="1:2" ht="15" customHeight="1" x14ac:dyDescent="0.25">
      <c r="A309" t="s">
        <v>722</v>
      </c>
      <c r="B309" s="32">
        <f t="shared" ca="1" si="2"/>
        <v>44450</v>
      </c>
    </row>
    <row r="310" spans="1:2" ht="15" customHeight="1" x14ac:dyDescent="0.25">
      <c r="A310" t="s">
        <v>722</v>
      </c>
      <c r="B310" s="32">
        <f t="shared" ca="1" si="2"/>
        <v>44450</v>
      </c>
    </row>
    <row r="311" spans="1:2" ht="15" customHeight="1" x14ac:dyDescent="0.25">
      <c r="A311" t="s">
        <v>722</v>
      </c>
      <c r="B311" s="32">
        <f t="shared" ca="1" si="2"/>
        <v>44450</v>
      </c>
    </row>
    <row r="312" spans="1:2" ht="15" customHeight="1" x14ac:dyDescent="0.25">
      <c r="A312" t="s">
        <v>722</v>
      </c>
      <c r="B312" s="32">
        <f t="shared" ca="1" si="2"/>
        <v>44450</v>
      </c>
    </row>
    <row r="313" spans="1:2" ht="15" customHeight="1" x14ac:dyDescent="0.25">
      <c r="A313" t="s">
        <v>730</v>
      </c>
      <c r="B313" s="32">
        <f t="shared" ca="1" si="2"/>
        <v>44450</v>
      </c>
    </row>
    <row r="314" spans="1:2" ht="15" customHeight="1" x14ac:dyDescent="0.25">
      <c r="A314" t="s">
        <v>730</v>
      </c>
      <c r="B314" s="32">
        <f t="shared" ca="1" si="2"/>
        <v>44450</v>
      </c>
    </row>
    <row r="315" spans="1:2" ht="15" customHeight="1" x14ac:dyDescent="0.25">
      <c r="A315" t="s">
        <v>730</v>
      </c>
      <c r="B315" s="32">
        <f t="shared" ca="1" si="2"/>
        <v>44450</v>
      </c>
    </row>
    <row r="316" spans="1:2" ht="15" customHeight="1" x14ac:dyDescent="0.25">
      <c r="A316" t="s">
        <v>730</v>
      </c>
      <c r="B316" s="32">
        <f t="shared" ca="1" si="2"/>
        <v>44450</v>
      </c>
    </row>
    <row r="317" spans="1:2" ht="15" customHeight="1" x14ac:dyDescent="0.25">
      <c r="A317" t="s">
        <v>730</v>
      </c>
      <c r="B317" s="32">
        <f t="shared" ca="1" si="2"/>
        <v>44450</v>
      </c>
    </row>
    <row r="318" spans="1:2" ht="15" customHeight="1" x14ac:dyDescent="0.25">
      <c r="A318" t="s">
        <v>731</v>
      </c>
      <c r="B318" s="32">
        <f t="shared" ca="1" si="2"/>
        <v>44450</v>
      </c>
    </row>
    <row r="319" spans="1:2" ht="15" customHeight="1" x14ac:dyDescent="0.25">
      <c r="A319" t="s">
        <v>732</v>
      </c>
      <c r="B319" s="32">
        <f t="shared" ca="1" si="2"/>
        <v>44450</v>
      </c>
    </row>
    <row r="320" spans="1:2" ht="15" customHeight="1" x14ac:dyDescent="0.25">
      <c r="A320" t="s">
        <v>733</v>
      </c>
      <c r="B320" s="32">
        <f t="shared" ca="1" si="2"/>
        <v>44450</v>
      </c>
    </row>
    <row r="321" spans="1:2" ht="15" customHeight="1" x14ac:dyDescent="0.25">
      <c r="A321" t="s">
        <v>733</v>
      </c>
      <c r="B321" s="32">
        <f t="shared" ca="1" si="2"/>
        <v>44450</v>
      </c>
    </row>
    <row r="322" spans="1:2" ht="15" customHeight="1" x14ac:dyDescent="0.25">
      <c r="A322" t="s">
        <v>733</v>
      </c>
      <c r="B322" s="32">
        <f t="shared" ca="1" si="2"/>
        <v>44450</v>
      </c>
    </row>
    <row r="323" spans="1:2" ht="15" customHeight="1" x14ac:dyDescent="0.25">
      <c r="A323" t="s">
        <v>733</v>
      </c>
      <c r="B323" s="32">
        <f t="shared" ca="1" si="2"/>
        <v>44450</v>
      </c>
    </row>
    <row r="324" spans="1:2" ht="15" customHeight="1" x14ac:dyDescent="0.25">
      <c r="A324" t="s">
        <v>733</v>
      </c>
      <c r="B324" s="32">
        <f t="shared" ca="1" si="2"/>
        <v>44450</v>
      </c>
    </row>
    <row r="325" spans="1:2" ht="15" customHeight="1" x14ac:dyDescent="0.25">
      <c r="A325" t="s">
        <v>733</v>
      </c>
      <c r="B325" s="32">
        <f t="shared" ca="1" si="2"/>
        <v>44450</v>
      </c>
    </row>
    <row r="326" spans="1:2" ht="15" customHeight="1" x14ac:dyDescent="0.25">
      <c r="A326" t="s">
        <v>734</v>
      </c>
      <c r="B326" s="32">
        <f t="shared" ca="1" si="2"/>
        <v>44450</v>
      </c>
    </row>
    <row r="327" spans="1:2" ht="15" customHeight="1" x14ac:dyDescent="0.25">
      <c r="A327" t="s">
        <v>734</v>
      </c>
      <c r="B327" s="32">
        <f t="shared" ref="B327:B390" ca="1" si="3">TODAY()-150</f>
        <v>44450</v>
      </c>
    </row>
    <row r="328" spans="1:2" ht="15" customHeight="1" x14ac:dyDescent="0.25">
      <c r="A328" t="s">
        <v>734</v>
      </c>
      <c r="B328" s="32">
        <f t="shared" ca="1" si="3"/>
        <v>44450</v>
      </c>
    </row>
    <row r="329" spans="1:2" ht="15" customHeight="1" x14ac:dyDescent="0.25">
      <c r="A329" t="s">
        <v>734</v>
      </c>
      <c r="B329" s="32">
        <f t="shared" ca="1" si="3"/>
        <v>44450</v>
      </c>
    </row>
    <row r="330" spans="1:2" ht="15" customHeight="1" x14ac:dyDescent="0.25">
      <c r="A330" t="s">
        <v>228</v>
      </c>
      <c r="B330" s="32">
        <f t="shared" ca="1" si="3"/>
        <v>44450</v>
      </c>
    </row>
    <row r="331" spans="1:2" ht="15" customHeight="1" x14ac:dyDescent="0.25">
      <c r="A331" t="s">
        <v>228</v>
      </c>
      <c r="B331" s="32">
        <f t="shared" ca="1" si="3"/>
        <v>44450</v>
      </c>
    </row>
    <row r="332" spans="1:2" ht="15" customHeight="1" x14ac:dyDescent="0.25">
      <c r="A332" t="s">
        <v>228</v>
      </c>
      <c r="B332" s="32">
        <f t="shared" ca="1" si="3"/>
        <v>44450</v>
      </c>
    </row>
    <row r="333" spans="1:2" ht="15" customHeight="1" x14ac:dyDescent="0.25">
      <c r="A333" t="s">
        <v>229</v>
      </c>
      <c r="B333" s="32">
        <f t="shared" ca="1" si="3"/>
        <v>44450</v>
      </c>
    </row>
    <row r="334" spans="1:2" ht="15" customHeight="1" x14ac:dyDescent="0.25">
      <c r="A334" t="s">
        <v>229</v>
      </c>
      <c r="B334" s="32">
        <f t="shared" ca="1" si="3"/>
        <v>44450</v>
      </c>
    </row>
    <row r="335" spans="1:2" ht="15" customHeight="1" x14ac:dyDescent="0.25">
      <c r="A335" t="s">
        <v>230</v>
      </c>
      <c r="B335" s="32">
        <f t="shared" ca="1" si="3"/>
        <v>44450</v>
      </c>
    </row>
    <row r="336" spans="1:2" ht="15" customHeight="1" x14ac:dyDescent="0.25">
      <c r="A336" t="s">
        <v>230</v>
      </c>
      <c r="B336" s="32">
        <f t="shared" ca="1" si="3"/>
        <v>44450</v>
      </c>
    </row>
    <row r="337" spans="1:2" ht="15" customHeight="1" x14ac:dyDescent="0.25">
      <c r="A337" t="s">
        <v>735</v>
      </c>
      <c r="B337" s="32">
        <f t="shared" ca="1" si="3"/>
        <v>44450</v>
      </c>
    </row>
    <row r="338" spans="1:2" ht="15" customHeight="1" x14ac:dyDescent="0.25">
      <c r="A338" t="s">
        <v>735</v>
      </c>
      <c r="B338" s="32">
        <f t="shared" ca="1" si="3"/>
        <v>44450</v>
      </c>
    </row>
    <row r="339" spans="1:2" ht="15" customHeight="1" x14ac:dyDescent="0.25">
      <c r="A339" t="s">
        <v>735</v>
      </c>
      <c r="B339" s="32">
        <f t="shared" ca="1" si="3"/>
        <v>44450</v>
      </c>
    </row>
    <row r="340" spans="1:2" ht="15" customHeight="1" x14ac:dyDescent="0.25">
      <c r="A340" t="s">
        <v>735</v>
      </c>
      <c r="B340" s="32">
        <f t="shared" ca="1" si="3"/>
        <v>44450</v>
      </c>
    </row>
    <row r="341" spans="1:2" ht="15" customHeight="1" x14ac:dyDescent="0.25">
      <c r="A341" t="s">
        <v>735</v>
      </c>
      <c r="B341" s="32">
        <f t="shared" ca="1" si="3"/>
        <v>44450</v>
      </c>
    </row>
    <row r="342" spans="1:2" ht="15" customHeight="1" x14ac:dyDescent="0.25">
      <c r="A342" t="s">
        <v>735</v>
      </c>
      <c r="B342" s="32">
        <f t="shared" ca="1" si="3"/>
        <v>44450</v>
      </c>
    </row>
    <row r="343" spans="1:2" ht="15" customHeight="1" x14ac:dyDescent="0.25">
      <c r="A343" t="s">
        <v>736</v>
      </c>
      <c r="B343" s="32">
        <f t="shared" ca="1" si="3"/>
        <v>44450</v>
      </c>
    </row>
    <row r="344" spans="1:2" ht="15" customHeight="1" x14ac:dyDescent="0.25">
      <c r="A344" t="s">
        <v>737</v>
      </c>
      <c r="B344" s="32">
        <f t="shared" ca="1" si="3"/>
        <v>44450</v>
      </c>
    </row>
    <row r="345" spans="1:2" ht="15" customHeight="1" x14ac:dyDescent="0.25">
      <c r="A345" t="s">
        <v>738</v>
      </c>
      <c r="B345" s="32">
        <f t="shared" ca="1" si="3"/>
        <v>44450</v>
      </c>
    </row>
    <row r="346" spans="1:2" ht="15" customHeight="1" x14ac:dyDescent="0.25">
      <c r="A346" t="s">
        <v>729</v>
      </c>
      <c r="B346" s="32">
        <f t="shared" ca="1" si="3"/>
        <v>44450</v>
      </c>
    </row>
    <row r="347" spans="1:2" ht="15" customHeight="1" x14ac:dyDescent="0.25">
      <c r="A347" t="s">
        <v>729</v>
      </c>
      <c r="B347" s="32">
        <f t="shared" ca="1" si="3"/>
        <v>44450</v>
      </c>
    </row>
    <row r="348" spans="1:2" ht="15" customHeight="1" x14ac:dyDescent="0.25">
      <c r="A348" t="s">
        <v>729</v>
      </c>
      <c r="B348" s="32">
        <f t="shared" ca="1" si="3"/>
        <v>44450</v>
      </c>
    </row>
    <row r="349" spans="1:2" ht="15" customHeight="1" x14ac:dyDescent="0.25">
      <c r="A349" t="s">
        <v>729</v>
      </c>
      <c r="B349" s="32">
        <f t="shared" ca="1" si="3"/>
        <v>44450</v>
      </c>
    </row>
    <row r="350" spans="1:2" ht="15" customHeight="1" x14ac:dyDescent="0.25">
      <c r="A350" t="s">
        <v>739</v>
      </c>
      <c r="B350" s="32">
        <f t="shared" ca="1" si="3"/>
        <v>44450</v>
      </c>
    </row>
    <row r="351" spans="1:2" ht="15" customHeight="1" x14ac:dyDescent="0.25">
      <c r="A351" t="s">
        <v>739</v>
      </c>
      <c r="B351" s="32">
        <f t="shared" ca="1" si="3"/>
        <v>44450</v>
      </c>
    </row>
    <row r="352" spans="1:2" ht="15" customHeight="1" x14ac:dyDescent="0.25">
      <c r="A352" t="s">
        <v>739</v>
      </c>
      <c r="B352" s="32">
        <f t="shared" ca="1" si="3"/>
        <v>44450</v>
      </c>
    </row>
    <row r="353" spans="1:2" ht="15" customHeight="1" x14ac:dyDescent="0.25">
      <c r="A353" t="s">
        <v>739</v>
      </c>
      <c r="B353" s="32">
        <f t="shared" ca="1" si="3"/>
        <v>44450</v>
      </c>
    </row>
    <row r="354" spans="1:2" ht="15" customHeight="1" x14ac:dyDescent="0.25">
      <c r="A354" t="s">
        <v>740</v>
      </c>
      <c r="B354" s="32">
        <f t="shared" ca="1" si="3"/>
        <v>44450</v>
      </c>
    </row>
    <row r="355" spans="1:2" ht="15" customHeight="1" x14ac:dyDescent="0.25">
      <c r="A355" t="s">
        <v>740</v>
      </c>
      <c r="B355" s="32">
        <f t="shared" ca="1" si="3"/>
        <v>44450</v>
      </c>
    </row>
    <row r="356" spans="1:2" ht="15" customHeight="1" x14ac:dyDescent="0.25">
      <c r="A356" t="s">
        <v>740</v>
      </c>
      <c r="B356" s="32">
        <f t="shared" ca="1" si="3"/>
        <v>44450</v>
      </c>
    </row>
    <row r="357" spans="1:2" ht="15" customHeight="1" x14ac:dyDescent="0.25">
      <c r="A357" t="s">
        <v>740</v>
      </c>
      <c r="B357" s="32">
        <f t="shared" ca="1" si="3"/>
        <v>44450</v>
      </c>
    </row>
    <row r="358" spans="1:2" ht="15" customHeight="1" x14ac:dyDescent="0.25">
      <c r="A358" t="s">
        <v>741</v>
      </c>
      <c r="B358" s="32">
        <f t="shared" ca="1" si="3"/>
        <v>44450</v>
      </c>
    </row>
    <row r="359" spans="1:2" ht="15" customHeight="1" x14ac:dyDescent="0.25">
      <c r="A359" t="s">
        <v>729</v>
      </c>
      <c r="B359" s="32">
        <f t="shared" ca="1" si="3"/>
        <v>44450</v>
      </c>
    </row>
    <row r="360" spans="1:2" ht="15" customHeight="1" x14ac:dyDescent="0.25">
      <c r="A360" t="s">
        <v>729</v>
      </c>
      <c r="B360" s="32">
        <f t="shared" ca="1" si="3"/>
        <v>44450</v>
      </c>
    </row>
    <row r="361" spans="1:2" ht="15" customHeight="1" x14ac:dyDescent="0.25">
      <c r="A361" t="s">
        <v>729</v>
      </c>
      <c r="B361" s="32">
        <f t="shared" ca="1" si="3"/>
        <v>44450</v>
      </c>
    </row>
    <row r="362" spans="1:2" ht="15" customHeight="1" x14ac:dyDescent="0.25">
      <c r="A362" t="s">
        <v>742</v>
      </c>
      <c r="B362" s="32">
        <f t="shared" ca="1" si="3"/>
        <v>44450</v>
      </c>
    </row>
    <row r="363" spans="1:2" ht="15" customHeight="1" x14ac:dyDescent="0.25">
      <c r="A363" t="s">
        <v>743</v>
      </c>
      <c r="B363" s="32">
        <f t="shared" ca="1" si="3"/>
        <v>44450</v>
      </c>
    </row>
    <row r="364" spans="1:2" ht="15" customHeight="1" x14ac:dyDescent="0.25">
      <c r="A364" t="s">
        <v>744</v>
      </c>
      <c r="B364" s="32">
        <f t="shared" ca="1" si="3"/>
        <v>44450</v>
      </c>
    </row>
    <row r="365" spans="1:2" ht="15" customHeight="1" x14ac:dyDescent="0.25">
      <c r="A365" t="s">
        <v>744</v>
      </c>
      <c r="B365" s="32">
        <f t="shared" ca="1" si="3"/>
        <v>44450</v>
      </c>
    </row>
    <row r="366" spans="1:2" ht="15" customHeight="1" x14ac:dyDescent="0.25">
      <c r="A366" t="s">
        <v>744</v>
      </c>
      <c r="B366" s="32">
        <f t="shared" ca="1" si="3"/>
        <v>44450</v>
      </c>
    </row>
    <row r="367" spans="1:2" ht="15" customHeight="1" x14ac:dyDescent="0.25">
      <c r="A367" t="s">
        <v>744</v>
      </c>
      <c r="B367" s="32">
        <f t="shared" ca="1" si="3"/>
        <v>44450</v>
      </c>
    </row>
    <row r="368" spans="1:2" ht="15" customHeight="1" x14ac:dyDescent="0.25">
      <c r="A368" t="s">
        <v>745</v>
      </c>
      <c r="B368" s="32">
        <f t="shared" ca="1" si="3"/>
        <v>44450</v>
      </c>
    </row>
    <row r="369" spans="1:2" ht="15" customHeight="1" x14ac:dyDescent="0.25">
      <c r="A369" t="s">
        <v>745</v>
      </c>
      <c r="B369" s="32">
        <f t="shared" ca="1" si="3"/>
        <v>44450</v>
      </c>
    </row>
    <row r="370" spans="1:2" ht="15" customHeight="1" x14ac:dyDescent="0.25">
      <c r="A370" t="s">
        <v>745</v>
      </c>
      <c r="B370" s="32">
        <f t="shared" ca="1" si="3"/>
        <v>44450</v>
      </c>
    </row>
    <row r="371" spans="1:2" ht="15" customHeight="1" x14ac:dyDescent="0.25">
      <c r="A371" t="s">
        <v>746</v>
      </c>
      <c r="B371" s="32">
        <f t="shared" ca="1" si="3"/>
        <v>44450</v>
      </c>
    </row>
    <row r="372" spans="1:2" ht="15" customHeight="1" x14ac:dyDescent="0.25">
      <c r="A372" t="s">
        <v>746</v>
      </c>
      <c r="B372" s="32">
        <f t="shared" ca="1" si="3"/>
        <v>44450</v>
      </c>
    </row>
    <row r="373" spans="1:2" ht="15" customHeight="1" x14ac:dyDescent="0.25">
      <c r="A373" t="s">
        <v>746</v>
      </c>
      <c r="B373" s="32">
        <f t="shared" ca="1" si="3"/>
        <v>44450</v>
      </c>
    </row>
    <row r="374" spans="1:2" ht="15" customHeight="1" x14ac:dyDescent="0.25">
      <c r="A374" t="s">
        <v>746</v>
      </c>
      <c r="B374" s="32">
        <f t="shared" ca="1" si="3"/>
        <v>44450</v>
      </c>
    </row>
    <row r="375" spans="1:2" ht="15" customHeight="1" x14ac:dyDescent="0.25">
      <c r="A375" t="s">
        <v>747</v>
      </c>
      <c r="B375" s="32">
        <f t="shared" ca="1" si="3"/>
        <v>44450</v>
      </c>
    </row>
    <row r="376" spans="1:2" ht="15" customHeight="1" x14ac:dyDescent="0.25">
      <c r="A376" t="s">
        <v>747</v>
      </c>
      <c r="B376" s="32">
        <f t="shared" ca="1" si="3"/>
        <v>44450</v>
      </c>
    </row>
    <row r="377" spans="1:2" ht="15" customHeight="1" x14ac:dyDescent="0.25">
      <c r="A377" t="s">
        <v>747</v>
      </c>
      <c r="B377" s="32">
        <f t="shared" ca="1" si="3"/>
        <v>44450</v>
      </c>
    </row>
    <row r="378" spans="1:2" ht="15" customHeight="1" x14ac:dyDescent="0.25">
      <c r="A378" t="s">
        <v>747</v>
      </c>
      <c r="B378" s="32">
        <f t="shared" ca="1" si="3"/>
        <v>44450</v>
      </c>
    </row>
    <row r="379" spans="1:2" ht="15" customHeight="1" x14ac:dyDescent="0.25">
      <c r="A379" t="s">
        <v>747</v>
      </c>
      <c r="B379" s="32">
        <f t="shared" ca="1" si="3"/>
        <v>44450</v>
      </c>
    </row>
    <row r="380" spans="1:2" ht="15" customHeight="1" x14ac:dyDescent="0.25">
      <c r="A380" t="s">
        <v>747</v>
      </c>
      <c r="B380" s="32">
        <f t="shared" ca="1" si="3"/>
        <v>44450</v>
      </c>
    </row>
    <row r="381" spans="1:2" ht="15" customHeight="1" x14ac:dyDescent="0.25">
      <c r="A381" t="s">
        <v>231</v>
      </c>
      <c r="B381" s="32">
        <f t="shared" ca="1" si="3"/>
        <v>44450</v>
      </c>
    </row>
    <row r="382" spans="1:2" ht="15" customHeight="1" x14ac:dyDescent="0.25">
      <c r="A382" t="s">
        <v>232</v>
      </c>
      <c r="B382" s="32">
        <f t="shared" ca="1" si="3"/>
        <v>44450</v>
      </c>
    </row>
    <row r="383" spans="1:2" ht="15" customHeight="1" x14ac:dyDescent="0.25">
      <c r="A383" t="s">
        <v>233</v>
      </c>
      <c r="B383" s="32">
        <f t="shared" ca="1" si="3"/>
        <v>44450</v>
      </c>
    </row>
    <row r="384" spans="1:2" ht="15" customHeight="1" x14ac:dyDescent="0.25">
      <c r="A384" t="s">
        <v>234</v>
      </c>
      <c r="B384" s="32">
        <f t="shared" ca="1" si="3"/>
        <v>44450</v>
      </c>
    </row>
    <row r="385" spans="1:2" ht="15" customHeight="1" x14ac:dyDescent="0.25">
      <c r="A385" t="s">
        <v>748</v>
      </c>
      <c r="B385" s="32">
        <f t="shared" ca="1" si="3"/>
        <v>44450</v>
      </c>
    </row>
    <row r="386" spans="1:2" ht="15" customHeight="1" x14ac:dyDescent="0.25">
      <c r="A386" t="s">
        <v>748</v>
      </c>
      <c r="B386" s="32">
        <f t="shared" ca="1" si="3"/>
        <v>44450</v>
      </c>
    </row>
    <row r="387" spans="1:2" ht="15" customHeight="1" x14ac:dyDescent="0.25">
      <c r="A387" t="s">
        <v>748</v>
      </c>
      <c r="B387" s="32">
        <f t="shared" ca="1" si="3"/>
        <v>44450</v>
      </c>
    </row>
    <row r="388" spans="1:2" ht="15" customHeight="1" x14ac:dyDescent="0.25">
      <c r="A388" t="s">
        <v>748</v>
      </c>
      <c r="B388" s="32">
        <f t="shared" ca="1" si="3"/>
        <v>44450</v>
      </c>
    </row>
    <row r="389" spans="1:2" ht="15" customHeight="1" x14ac:dyDescent="0.25">
      <c r="A389" t="s">
        <v>748</v>
      </c>
      <c r="B389" s="32">
        <f t="shared" ca="1" si="3"/>
        <v>44450</v>
      </c>
    </row>
    <row r="390" spans="1:2" ht="15" customHeight="1" x14ac:dyDescent="0.25">
      <c r="A390" t="s">
        <v>748</v>
      </c>
      <c r="B390" s="32">
        <f t="shared" ca="1" si="3"/>
        <v>44450</v>
      </c>
    </row>
    <row r="391" spans="1:2" ht="15" customHeight="1" x14ac:dyDescent="0.25">
      <c r="A391" t="s">
        <v>749</v>
      </c>
      <c r="B391" s="32">
        <f t="shared" ref="B391:B454" ca="1" si="4">TODAY()-150</f>
        <v>44450</v>
      </c>
    </row>
    <row r="392" spans="1:2" ht="15" customHeight="1" x14ac:dyDescent="0.25">
      <c r="A392" t="s">
        <v>749</v>
      </c>
      <c r="B392" s="32">
        <f t="shared" ca="1" si="4"/>
        <v>44450</v>
      </c>
    </row>
    <row r="393" spans="1:2" ht="15" customHeight="1" x14ac:dyDescent="0.25">
      <c r="A393" t="s">
        <v>749</v>
      </c>
      <c r="B393" s="32">
        <f t="shared" ca="1" si="4"/>
        <v>44450</v>
      </c>
    </row>
    <row r="394" spans="1:2" ht="15" customHeight="1" x14ac:dyDescent="0.25">
      <c r="A394" t="s">
        <v>749</v>
      </c>
      <c r="B394" s="32">
        <f t="shared" ca="1" si="4"/>
        <v>44450</v>
      </c>
    </row>
    <row r="395" spans="1:2" ht="15" customHeight="1" x14ac:dyDescent="0.25">
      <c r="A395" t="s">
        <v>749</v>
      </c>
      <c r="B395" s="32">
        <f t="shared" ca="1" si="4"/>
        <v>44450</v>
      </c>
    </row>
    <row r="396" spans="1:2" ht="15" customHeight="1" x14ac:dyDescent="0.25">
      <c r="A396" t="s">
        <v>749</v>
      </c>
      <c r="B396" s="32">
        <f t="shared" ca="1" si="4"/>
        <v>44450</v>
      </c>
    </row>
    <row r="397" spans="1:2" ht="15" customHeight="1" x14ac:dyDescent="0.25">
      <c r="A397" t="s">
        <v>750</v>
      </c>
      <c r="B397" s="32">
        <f t="shared" ca="1" si="4"/>
        <v>44450</v>
      </c>
    </row>
    <row r="398" spans="1:2" ht="15" customHeight="1" x14ac:dyDescent="0.25">
      <c r="A398" t="s">
        <v>750</v>
      </c>
      <c r="B398" s="32">
        <f t="shared" ca="1" si="4"/>
        <v>44450</v>
      </c>
    </row>
    <row r="399" spans="1:2" ht="15" customHeight="1" x14ac:dyDescent="0.25">
      <c r="A399" t="s">
        <v>750</v>
      </c>
      <c r="B399" s="32">
        <f t="shared" ca="1" si="4"/>
        <v>44450</v>
      </c>
    </row>
    <row r="400" spans="1:2" ht="15" customHeight="1" x14ac:dyDescent="0.25">
      <c r="A400" t="s">
        <v>750</v>
      </c>
      <c r="B400" s="32">
        <f t="shared" ca="1" si="4"/>
        <v>44450</v>
      </c>
    </row>
    <row r="401" spans="1:2" ht="15" customHeight="1" x14ac:dyDescent="0.25">
      <c r="A401" t="s">
        <v>750</v>
      </c>
      <c r="B401" s="32">
        <f t="shared" ca="1" si="4"/>
        <v>44450</v>
      </c>
    </row>
    <row r="402" spans="1:2" ht="15" customHeight="1" x14ac:dyDescent="0.25">
      <c r="A402" t="s">
        <v>750</v>
      </c>
      <c r="B402" s="32">
        <f t="shared" ca="1" si="4"/>
        <v>44450</v>
      </c>
    </row>
    <row r="403" spans="1:2" ht="15" customHeight="1" x14ac:dyDescent="0.25">
      <c r="A403" t="s">
        <v>235</v>
      </c>
      <c r="B403" s="32">
        <f t="shared" ca="1" si="4"/>
        <v>44450</v>
      </c>
    </row>
    <row r="404" spans="1:2" ht="15" customHeight="1" x14ac:dyDescent="0.25">
      <c r="A404" t="s">
        <v>236</v>
      </c>
      <c r="B404" s="32">
        <f t="shared" ca="1" si="4"/>
        <v>44450</v>
      </c>
    </row>
    <row r="405" spans="1:2" ht="15" customHeight="1" x14ac:dyDescent="0.25">
      <c r="A405" t="s">
        <v>237</v>
      </c>
      <c r="B405" s="32">
        <f t="shared" ca="1" si="4"/>
        <v>44450</v>
      </c>
    </row>
    <row r="406" spans="1:2" ht="15" customHeight="1" x14ac:dyDescent="0.25">
      <c r="A406" t="s">
        <v>238</v>
      </c>
      <c r="B406" s="32">
        <f t="shared" ca="1" si="4"/>
        <v>44450</v>
      </c>
    </row>
    <row r="407" spans="1:2" ht="15" customHeight="1" x14ac:dyDescent="0.25">
      <c r="A407" t="s">
        <v>239</v>
      </c>
      <c r="B407" s="32">
        <f t="shared" ca="1" si="4"/>
        <v>44450</v>
      </c>
    </row>
    <row r="408" spans="1:2" ht="15" customHeight="1" x14ac:dyDescent="0.25">
      <c r="A408" t="s">
        <v>751</v>
      </c>
      <c r="B408" s="32">
        <f t="shared" ca="1" si="4"/>
        <v>44450</v>
      </c>
    </row>
    <row r="409" spans="1:2" ht="15" customHeight="1" x14ac:dyDescent="0.25">
      <c r="A409" t="s">
        <v>752</v>
      </c>
      <c r="B409" s="32">
        <f t="shared" ca="1" si="4"/>
        <v>44450</v>
      </c>
    </row>
    <row r="410" spans="1:2" ht="15" customHeight="1" x14ac:dyDescent="0.25">
      <c r="A410" t="s">
        <v>752</v>
      </c>
      <c r="B410" s="32">
        <f t="shared" ca="1" si="4"/>
        <v>44450</v>
      </c>
    </row>
    <row r="411" spans="1:2" ht="15" customHeight="1" x14ac:dyDescent="0.25">
      <c r="A411" t="s">
        <v>753</v>
      </c>
      <c r="B411" s="32">
        <f t="shared" ca="1" si="4"/>
        <v>44450</v>
      </c>
    </row>
    <row r="412" spans="1:2" ht="15" customHeight="1" x14ac:dyDescent="0.25">
      <c r="A412" t="s">
        <v>753</v>
      </c>
      <c r="B412" s="32">
        <f t="shared" ca="1" si="4"/>
        <v>44450</v>
      </c>
    </row>
    <row r="413" spans="1:2" ht="15" customHeight="1" x14ac:dyDescent="0.25">
      <c r="A413" t="s">
        <v>240</v>
      </c>
      <c r="B413" s="32">
        <f t="shared" ca="1" si="4"/>
        <v>44450</v>
      </c>
    </row>
    <row r="414" spans="1:2" ht="15" customHeight="1" x14ac:dyDescent="0.25">
      <c r="A414" t="s">
        <v>241</v>
      </c>
      <c r="B414" s="32">
        <f t="shared" ca="1" si="4"/>
        <v>44450</v>
      </c>
    </row>
    <row r="415" spans="1:2" ht="15" customHeight="1" x14ac:dyDescent="0.25">
      <c r="A415" t="s">
        <v>242</v>
      </c>
      <c r="B415" s="32">
        <f t="shared" ca="1" si="4"/>
        <v>44450</v>
      </c>
    </row>
    <row r="416" spans="1:2" ht="15" customHeight="1" x14ac:dyDescent="0.25">
      <c r="A416" t="s">
        <v>243</v>
      </c>
      <c r="B416" s="32">
        <f t="shared" ca="1" si="4"/>
        <v>44450</v>
      </c>
    </row>
    <row r="417" spans="1:2" ht="15" customHeight="1" x14ac:dyDescent="0.25">
      <c r="A417" t="s">
        <v>754</v>
      </c>
      <c r="B417" s="32">
        <f t="shared" ca="1" si="4"/>
        <v>44450</v>
      </c>
    </row>
    <row r="418" spans="1:2" ht="15" customHeight="1" x14ac:dyDescent="0.25">
      <c r="A418" t="s">
        <v>754</v>
      </c>
      <c r="B418" s="32">
        <f t="shared" ca="1" si="4"/>
        <v>44450</v>
      </c>
    </row>
    <row r="419" spans="1:2" ht="15" customHeight="1" x14ac:dyDescent="0.25">
      <c r="A419" t="s">
        <v>754</v>
      </c>
      <c r="B419" s="32">
        <f t="shared" ca="1" si="4"/>
        <v>44450</v>
      </c>
    </row>
    <row r="420" spans="1:2" ht="15" customHeight="1" x14ac:dyDescent="0.25">
      <c r="A420" t="s">
        <v>754</v>
      </c>
      <c r="B420" s="32">
        <f t="shared" ca="1" si="4"/>
        <v>44450</v>
      </c>
    </row>
    <row r="421" spans="1:2" ht="15" customHeight="1" x14ac:dyDescent="0.25">
      <c r="A421" t="s">
        <v>755</v>
      </c>
      <c r="B421" s="32">
        <f t="shared" ca="1" si="4"/>
        <v>44450</v>
      </c>
    </row>
    <row r="422" spans="1:2" ht="15" customHeight="1" x14ac:dyDescent="0.25">
      <c r="A422" t="s">
        <v>755</v>
      </c>
      <c r="B422" s="32">
        <f t="shared" ca="1" si="4"/>
        <v>44450</v>
      </c>
    </row>
    <row r="423" spans="1:2" ht="15" customHeight="1" x14ac:dyDescent="0.25">
      <c r="A423" t="s">
        <v>755</v>
      </c>
      <c r="B423" s="32">
        <f t="shared" ca="1" si="4"/>
        <v>44450</v>
      </c>
    </row>
    <row r="424" spans="1:2" ht="15" customHeight="1" x14ac:dyDescent="0.25">
      <c r="A424" t="s">
        <v>755</v>
      </c>
      <c r="B424" s="32">
        <f t="shared" ca="1" si="4"/>
        <v>44450</v>
      </c>
    </row>
    <row r="425" spans="1:2" ht="15" customHeight="1" x14ac:dyDescent="0.25">
      <c r="A425" t="s">
        <v>756</v>
      </c>
      <c r="B425" s="32">
        <f t="shared" ca="1" si="4"/>
        <v>44450</v>
      </c>
    </row>
    <row r="426" spans="1:2" ht="15" customHeight="1" x14ac:dyDescent="0.25">
      <c r="A426" t="s">
        <v>756</v>
      </c>
      <c r="B426" s="32">
        <f t="shared" ca="1" si="4"/>
        <v>44450</v>
      </c>
    </row>
    <row r="427" spans="1:2" ht="15" customHeight="1" x14ac:dyDescent="0.25">
      <c r="A427" t="s">
        <v>756</v>
      </c>
      <c r="B427" s="32">
        <f t="shared" ca="1" si="4"/>
        <v>44450</v>
      </c>
    </row>
    <row r="428" spans="1:2" ht="15" customHeight="1" x14ac:dyDescent="0.25">
      <c r="A428" t="s">
        <v>756</v>
      </c>
      <c r="B428" s="32">
        <f t="shared" ca="1" si="4"/>
        <v>44450</v>
      </c>
    </row>
    <row r="429" spans="1:2" ht="15" customHeight="1" x14ac:dyDescent="0.25">
      <c r="A429" t="s">
        <v>756</v>
      </c>
      <c r="B429" s="32">
        <f t="shared" ca="1" si="4"/>
        <v>44450</v>
      </c>
    </row>
    <row r="430" spans="1:2" ht="15" customHeight="1" x14ac:dyDescent="0.25">
      <c r="A430" t="s">
        <v>756</v>
      </c>
      <c r="B430" s="32">
        <f t="shared" ca="1" si="4"/>
        <v>44450</v>
      </c>
    </row>
    <row r="431" spans="1:2" ht="15" customHeight="1" x14ac:dyDescent="0.25">
      <c r="A431" t="s">
        <v>757</v>
      </c>
      <c r="B431" s="32">
        <f t="shared" ca="1" si="4"/>
        <v>44450</v>
      </c>
    </row>
    <row r="432" spans="1:2" ht="15" customHeight="1" x14ac:dyDescent="0.25">
      <c r="A432" t="s">
        <v>758</v>
      </c>
      <c r="B432" s="32">
        <f t="shared" ca="1" si="4"/>
        <v>44450</v>
      </c>
    </row>
    <row r="433" spans="1:2" ht="15" customHeight="1" x14ac:dyDescent="0.25">
      <c r="A433" t="s">
        <v>758</v>
      </c>
      <c r="B433" s="32">
        <f t="shared" ca="1" si="4"/>
        <v>44450</v>
      </c>
    </row>
    <row r="434" spans="1:2" ht="15" customHeight="1" x14ac:dyDescent="0.25">
      <c r="A434" t="s">
        <v>759</v>
      </c>
      <c r="B434" s="32">
        <f t="shared" ca="1" si="4"/>
        <v>44450</v>
      </c>
    </row>
    <row r="435" spans="1:2" ht="15" customHeight="1" x14ac:dyDescent="0.25">
      <c r="A435" t="s">
        <v>759</v>
      </c>
      <c r="B435" s="32">
        <f t="shared" ca="1" si="4"/>
        <v>44450</v>
      </c>
    </row>
    <row r="436" spans="1:2" ht="15" customHeight="1" x14ac:dyDescent="0.25">
      <c r="A436" t="s">
        <v>760</v>
      </c>
      <c r="B436" s="32">
        <f t="shared" ca="1" si="4"/>
        <v>44450</v>
      </c>
    </row>
    <row r="437" spans="1:2" ht="15" customHeight="1" x14ac:dyDescent="0.25">
      <c r="A437" t="s">
        <v>760</v>
      </c>
      <c r="B437" s="32">
        <f t="shared" ca="1" si="4"/>
        <v>44450</v>
      </c>
    </row>
    <row r="438" spans="1:2" ht="15" customHeight="1" x14ac:dyDescent="0.25">
      <c r="A438" t="s">
        <v>760</v>
      </c>
      <c r="B438" s="32">
        <f t="shared" ca="1" si="4"/>
        <v>44450</v>
      </c>
    </row>
    <row r="439" spans="1:2" ht="15" customHeight="1" x14ac:dyDescent="0.25">
      <c r="A439" t="s">
        <v>760</v>
      </c>
      <c r="B439" s="32">
        <f t="shared" ca="1" si="4"/>
        <v>44450</v>
      </c>
    </row>
    <row r="440" spans="1:2" ht="15" customHeight="1" x14ac:dyDescent="0.25">
      <c r="A440" t="s">
        <v>760</v>
      </c>
      <c r="B440" s="32">
        <f t="shared" ca="1" si="4"/>
        <v>44450</v>
      </c>
    </row>
    <row r="441" spans="1:2" ht="15" customHeight="1" x14ac:dyDescent="0.25">
      <c r="A441" t="s">
        <v>760</v>
      </c>
      <c r="B441" s="32">
        <f t="shared" ca="1" si="4"/>
        <v>44450</v>
      </c>
    </row>
    <row r="442" spans="1:2" ht="15" customHeight="1" x14ac:dyDescent="0.25">
      <c r="A442" t="s">
        <v>244</v>
      </c>
      <c r="B442" s="32">
        <f t="shared" ca="1" si="4"/>
        <v>44450</v>
      </c>
    </row>
    <row r="443" spans="1:2" ht="15" customHeight="1" x14ac:dyDescent="0.25">
      <c r="A443" t="s">
        <v>244</v>
      </c>
      <c r="B443" s="32">
        <f t="shared" ca="1" si="4"/>
        <v>44450</v>
      </c>
    </row>
    <row r="444" spans="1:2" ht="15" customHeight="1" x14ac:dyDescent="0.25">
      <c r="A444" t="s">
        <v>244</v>
      </c>
      <c r="B444" s="32">
        <f t="shared" ca="1" si="4"/>
        <v>44450</v>
      </c>
    </row>
    <row r="445" spans="1:2" ht="15" customHeight="1" x14ac:dyDescent="0.25">
      <c r="A445" t="s">
        <v>245</v>
      </c>
      <c r="B445" s="32">
        <f t="shared" ca="1" si="4"/>
        <v>44450</v>
      </c>
    </row>
    <row r="446" spans="1:2" ht="15" customHeight="1" x14ac:dyDescent="0.25">
      <c r="A446" t="s">
        <v>246</v>
      </c>
      <c r="B446" s="32">
        <f t="shared" ca="1" si="4"/>
        <v>44450</v>
      </c>
    </row>
    <row r="447" spans="1:2" ht="15" customHeight="1" x14ac:dyDescent="0.25">
      <c r="A447" t="s">
        <v>246</v>
      </c>
      <c r="B447" s="32">
        <f t="shared" ca="1" si="4"/>
        <v>44450</v>
      </c>
    </row>
    <row r="448" spans="1:2" ht="15" customHeight="1" x14ac:dyDescent="0.25">
      <c r="A448" t="s">
        <v>246</v>
      </c>
      <c r="B448" s="32">
        <f t="shared" ca="1" si="4"/>
        <v>44450</v>
      </c>
    </row>
    <row r="449" spans="1:2" ht="15" customHeight="1" x14ac:dyDescent="0.25">
      <c r="A449" t="s">
        <v>761</v>
      </c>
      <c r="B449" s="32">
        <f t="shared" ca="1" si="4"/>
        <v>44450</v>
      </c>
    </row>
    <row r="450" spans="1:2" ht="15" customHeight="1" x14ac:dyDescent="0.25">
      <c r="A450" t="s">
        <v>247</v>
      </c>
      <c r="B450" s="32">
        <f t="shared" ca="1" si="4"/>
        <v>44450</v>
      </c>
    </row>
    <row r="451" spans="1:2" ht="15" customHeight="1" x14ac:dyDescent="0.25">
      <c r="A451" t="s">
        <v>248</v>
      </c>
      <c r="B451" s="32">
        <f t="shared" ca="1" si="4"/>
        <v>44450</v>
      </c>
    </row>
    <row r="452" spans="1:2" ht="15" customHeight="1" x14ac:dyDescent="0.25">
      <c r="A452" t="s">
        <v>248</v>
      </c>
      <c r="B452" s="32">
        <f t="shared" ca="1" si="4"/>
        <v>44450</v>
      </c>
    </row>
    <row r="453" spans="1:2" ht="15" customHeight="1" x14ac:dyDescent="0.25">
      <c r="A453" t="s">
        <v>249</v>
      </c>
      <c r="B453" s="32">
        <f t="shared" ca="1" si="4"/>
        <v>44450</v>
      </c>
    </row>
    <row r="454" spans="1:2" ht="15" customHeight="1" x14ac:dyDescent="0.25">
      <c r="A454" t="s">
        <v>762</v>
      </c>
      <c r="B454" s="32">
        <f t="shared" ca="1" si="4"/>
        <v>44450</v>
      </c>
    </row>
    <row r="455" spans="1:2" ht="15" customHeight="1" x14ac:dyDescent="0.25">
      <c r="A455" t="s">
        <v>250</v>
      </c>
      <c r="B455" s="32">
        <f t="shared" ref="B455:B518" ca="1" si="5">TODAY()-150</f>
        <v>44450</v>
      </c>
    </row>
    <row r="456" spans="1:2" ht="15" customHeight="1" x14ac:dyDescent="0.25">
      <c r="A456" t="s">
        <v>763</v>
      </c>
      <c r="B456" s="32">
        <f t="shared" ca="1" si="5"/>
        <v>44450</v>
      </c>
    </row>
    <row r="457" spans="1:2" ht="15" customHeight="1" x14ac:dyDescent="0.25">
      <c r="A457" t="s">
        <v>763</v>
      </c>
      <c r="B457" s="32">
        <f t="shared" ca="1" si="5"/>
        <v>44450</v>
      </c>
    </row>
    <row r="458" spans="1:2" ht="15" customHeight="1" x14ac:dyDescent="0.25">
      <c r="A458" t="s">
        <v>763</v>
      </c>
      <c r="B458" s="32">
        <f t="shared" ca="1" si="5"/>
        <v>44450</v>
      </c>
    </row>
    <row r="459" spans="1:2" ht="15" customHeight="1" x14ac:dyDescent="0.25">
      <c r="A459" t="s">
        <v>763</v>
      </c>
      <c r="B459" s="32">
        <f t="shared" ca="1" si="5"/>
        <v>44450</v>
      </c>
    </row>
    <row r="460" spans="1:2" ht="15" customHeight="1" x14ac:dyDescent="0.25">
      <c r="A460" t="s">
        <v>251</v>
      </c>
      <c r="B460" s="32">
        <f t="shared" ca="1" si="5"/>
        <v>44450</v>
      </c>
    </row>
    <row r="461" spans="1:2" ht="15" customHeight="1" x14ac:dyDescent="0.25">
      <c r="A461" t="s">
        <v>251</v>
      </c>
      <c r="B461" s="32">
        <f t="shared" ca="1" si="5"/>
        <v>44450</v>
      </c>
    </row>
    <row r="462" spans="1:2" ht="15" customHeight="1" x14ac:dyDescent="0.25">
      <c r="A462" t="s">
        <v>252</v>
      </c>
      <c r="B462" s="32">
        <f t="shared" ca="1" si="5"/>
        <v>44450</v>
      </c>
    </row>
    <row r="463" spans="1:2" ht="15" customHeight="1" x14ac:dyDescent="0.25">
      <c r="A463" t="s">
        <v>252</v>
      </c>
      <c r="B463" s="32">
        <f t="shared" ca="1" si="5"/>
        <v>44450</v>
      </c>
    </row>
    <row r="464" spans="1:2" ht="15" customHeight="1" x14ac:dyDescent="0.25">
      <c r="A464" t="s">
        <v>252</v>
      </c>
      <c r="B464" s="32">
        <f t="shared" ca="1" si="5"/>
        <v>44450</v>
      </c>
    </row>
    <row r="465" spans="1:2" ht="15" customHeight="1" x14ac:dyDescent="0.25">
      <c r="A465" t="s">
        <v>764</v>
      </c>
      <c r="B465" s="32">
        <f t="shared" ca="1" si="5"/>
        <v>44450</v>
      </c>
    </row>
    <row r="466" spans="1:2" ht="15" customHeight="1" x14ac:dyDescent="0.25">
      <c r="A466" t="s">
        <v>764</v>
      </c>
      <c r="B466" s="32">
        <f t="shared" ca="1" si="5"/>
        <v>44450</v>
      </c>
    </row>
    <row r="467" spans="1:2" ht="15" customHeight="1" x14ac:dyDescent="0.25">
      <c r="A467" t="s">
        <v>764</v>
      </c>
      <c r="B467" s="32">
        <f t="shared" ca="1" si="5"/>
        <v>44450</v>
      </c>
    </row>
    <row r="468" spans="1:2" ht="15" customHeight="1" x14ac:dyDescent="0.25">
      <c r="A468" t="s">
        <v>253</v>
      </c>
      <c r="B468" s="32">
        <f t="shared" ca="1" si="5"/>
        <v>44450</v>
      </c>
    </row>
    <row r="469" spans="1:2" ht="15" customHeight="1" x14ac:dyDescent="0.25">
      <c r="A469" t="s">
        <v>254</v>
      </c>
      <c r="B469" s="32">
        <f t="shared" ca="1" si="5"/>
        <v>44450</v>
      </c>
    </row>
    <row r="470" spans="1:2" ht="15" customHeight="1" x14ac:dyDescent="0.25">
      <c r="A470" t="s">
        <v>254</v>
      </c>
      <c r="B470" s="32">
        <f t="shared" ca="1" si="5"/>
        <v>44450</v>
      </c>
    </row>
    <row r="471" spans="1:2" ht="15" customHeight="1" x14ac:dyDescent="0.25">
      <c r="A471" t="s">
        <v>254</v>
      </c>
      <c r="B471" s="32">
        <f t="shared" ca="1" si="5"/>
        <v>44450</v>
      </c>
    </row>
    <row r="472" spans="1:2" ht="15" customHeight="1" x14ac:dyDescent="0.25">
      <c r="A472" t="s">
        <v>255</v>
      </c>
      <c r="B472" s="32">
        <f t="shared" ca="1" si="5"/>
        <v>44450</v>
      </c>
    </row>
    <row r="473" spans="1:2" ht="15" customHeight="1" x14ac:dyDescent="0.25">
      <c r="A473" t="s">
        <v>557</v>
      </c>
      <c r="B473" s="32">
        <f t="shared" ca="1" si="5"/>
        <v>44450</v>
      </c>
    </row>
    <row r="474" spans="1:2" ht="15" customHeight="1" x14ac:dyDescent="0.25">
      <c r="A474" t="s">
        <v>558</v>
      </c>
      <c r="B474" s="32">
        <f t="shared" ca="1" si="5"/>
        <v>44450</v>
      </c>
    </row>
    <row r="475" spans="1:2" ht="15" customHeight="1" x14ac:dyDescent="0.25">
      <c r="A475" t="s">
        <v>765</v>
      </c>
      <c r="B475" s="32">
        <f t="shared" ca="1" si="5"/>
        <v>44450</v>
      </c>
    </row>
    <row r="476" spans="1:2" ht="15" customHeight="1" x14ac:dyDescent="0.25">
      <c r="A476" t="s">
        <v>765</v>
      </c>
      <c r="B476" s="32">
        <f t="shared" ca="1" si="5"/>
        <v>44450</v>
      </c>
    </row>
    <row r="477" spans="1:2" ht="15" customHeight="1" x14ac:dyDescent="0.25">
      <c r="A477" t="s">
        <v>256</v>
      </c>
      <c r="B477" s="32">
        <f t="shared" ca="1" si="5"/>
        <v>44450</v>
      </c>
    </row>
    <row r="478" spans="1:2" ht="15" customHeight="1" x14ac:dyDescent="0.25">
      <c r="A478" t="s">
        <v>766</v>
      </c>
      <c r="B478" s="32">
        <f t="shared" ca="1" si="5"/>
        <v>44450</v>
      </c>
    </row>
    <row r="479" spans="1:2" ht="15" customHeight="1" x14ac:dyDescent="0.25">
      <c r="A479" t="s">
        <v>767</v>
      </c>
      <c r="B479" s="32">
        <f t="shared" ca="1" si="5"/>
        <v>44450</v>
      </c>
    </row>
    <row r="480" spans="1:2" ht="15" customHeight="1" x14ac:dyDescent="0.25">
      <c r="A480" t="s">
        <v>767</v>
      </c>
      <c r="B480" s="32">
        <f t="shared" ca="1" si="5"/>
        <v>44450</v>
      </c>
    </row>
    <row r="481" spans="1:2" ht="15" customHeight="1" x14ac:dyDescent="0.25">
      <c r="A481" t="s">
        <v>768</v>
      </c>
      <c r="B481" s="32">
        <f t="shared" ca="1" si="5"/>
        <v>44450</v>
      </c>
    </row>
    <row r="482" spans="1:2" ht="15" customHeight="1" x14ac:dyDescent="0.25">
      <c r="A482" t="s">
        <v>768</v>
      </c>
      <c r="B482" s="32">
        <f t="shared" ca="1" si="5"/>
        <v>44450</v>
      </c>
    </row>
    <row r="483" spans="1:2" ht="15" customHeight="1" x14ac:dyDescent="0.25">
      <c r="A483" t="s">
        <v>769</v>
      </c>
      <c r="B483" s="32">
        <f t="shared" ca="1" si="5"/>
        <v>44450</v>
      </c>
    </row>
    <row r="484" spans="1:2" ht="15" customHeight="1" x14ac:dyDescent="0.25">
      <c r="A484" t="s">
        <v>769</v>
      </c>
      <c r="B484" s="32">
        <f t="shared" ca="1" si="5"/>
        <v>44450</v>
      </c>
    </row>
    <row r="485" spans="1:2" ht="15" customHeight="1" x14ac:dyDescent="0.25">
      <c r="A485" t="s">
        <v>770</v>
      </c>
      <c r="B485" s="32">
        <f t="shared" ca="1" si="5"/>
        <v>44450</v>
      </c>
    </row>
    <row r="486" spans="1:2" ht="15" customHeight="1" x14ac:dyDescent="0.25">
      <c r="A486" t="s">
        <v>771</v>
      </c>
      <c r="B486" s="32">
        <f t="shared" ca="1" si="5"/>
        <v>44450</v>
      </c>
    </row>
    <row r="487" spans="1:2" ht="15" customHeight="1" x14ac:dyDescent="0.25">
      <c r="A487" t="s">
        <v>771</v>
      </c>
      <c r="B487" s="32">
        <f t="shared" ca="1" si="5"/>
        <v>44450</v>
      </c>
    </row>
    <row r="488" spans="1:2" ht="15" customHeight="1" x14ac:dyDescent="0.25">
      <c r="A488" t="s">
        <v>771</v>
      </c>
      <c r="B488" s="32">
        <f t="shared" ca="1" si="5"/>
        <v>44450</v>
      </c>
    </row>
    <row r="489" spans="1:2" ht="15" customHeight="1" x14ac:dyDescent="0.25">
      <c r="A489" t="s">
        <v>771</v>
      </c>
      <c r="B489" s="32">
        <f t="shared" ca="1" si="5"/>
        <v>44450</v>
      </c>
    </row>
    <row r="490" spans="1:2" ht="15" customHeight="1" x14ac:dyDescent="0.25">
      <c r="A490" t="s">
        <v>771</v>
      </c>
      <c r="B490" s="32">
        <f t="shared" ca="1" si="5"/>
        <v>44450</v>
      </c>
    </row>
    <row r="491" spans="1:2" ht="15" customHeight="1" x14ac:dyDescent="0.25">
      <c r="A491" t="s">
        <v>771</v>
      </c>
      <c r="B491" s="32">
        <f t="shared" ca="1" si="5"/>
        <v>44450</v>
      </c>
    </row>
    <row r="492" spans="1:2" ht="15" customHeight="1" x14ac:dyDescent="0.25">
      <c r="A492" t="s">
        <v>771</v>
      </c>
      <c r="B492" s="32">
        <f t="shared" ca="1" si="5"/>
        <v>44450</v>
      </c>
    </row>
    <row r="493" spans="1:2" ht="15" customHeight="1" x14ac:dyDescent="0.25">
      <c r="A493" t="s">
        <v>559</v>
      </c>
      <c r="B493" s="32">
        <f t="shared" ca="1" si="5"/>
        <v>44450</v>
      </c>
    </row>
    <row r="494" spans="1:2" ht="15" customHeight="1" x14ac:dyDescent="0.25">
      <c r="A494" t="s">
        <v>560</v>
      </c>
      <c r="B494" s="32">
        <f t="shared" ca="1" si="5"/>
        <v>44450</v>
      </c>
    </row>
    <row r="495" spans="1:2" ht="15" customHeight="1" x14ac:dyDescent="0.25">
      <c r="A495" t="s">
        <v>561</v>
      </c>
      <c r="B495" s="32">
        <f t="shared" ca="1" si="5"/>
        <v>44450</v>
      </c>
    </row>
    <row r="496" spans="1:2" ht="15" customHeight="1" x14ac:dyDescent="0.25">
      <c r="A496" t="s">
        <v>562</v>
      </c>
      <c r="B496" s="32">
        <f t="shared" ca="1" si="5"/>
        <v>44450</v>
      </c>
    </row>
    <row r="497" spans="1:2" ht="15" customHeight="1" x14ac:dyDescent="0.25">
      <c r="A497" t="s">
        <v>772</v>
      </c>
      <c r="B497" s="32">
        <f t="shared" ca="1" si="5"/>
        <v>44450</v>
      </c>
    </row>
    <row r="498" spans="1:2" ht="15" customHeight="1" x14ac:dyDescent="0.25">
      <c r="A498" t="s">
        <v>773</v>
      </c>
      <c r="B498" s="32">
        <f t="shared" ca="1" si="5"/>
        <v>44450</v>
      </c>
    </row>
    <row r="499" spans="1:2" ht="15" customHeight="1" x14ac:dyDescent="0.25">
      <c r="A499" t="s">
        <v>773</v>
      </c>
      <c r="B499" s="32">
        <f t="shared" ca="1" si="5"/>
        <v>44450</v>
      </c>
    </row>
    <row r="500" spans="1:2" ht="15" customHeight="1" x14ac:dyDescent="0.25">
      <c r="A500" t="s">
        <v>773</v>
      </c>
      <c r="B500" s="32">
        <f t="shared" ca="1" si="5"/>
        <v>44450</v>
      </c>
    </row>
    <row r="501" spans="1:2" ht="15" customHeight="1" x14ac:dyDescent="0.25">
      <c r="A501" t="s">
        <v>773</v>
      </c>
      <c r="B501" s="32">
        <f t="shared" ca="1" si="5"/>
        <v>44450</v>
      </c>
    </row>
    <row r="502" spans="1:2" ht="15" customHeight="1" x14ac:dyDescent="0.25">
      <c r="A502" t="s">
        <v>773</v>
      </c>
      <c r="B502" s="32">
        <f t="shared" ca="1" si="5"/>
        <v>44450</v>
      </c>
    </row>
    <row r="503" spans="1:2" ht="15" customHeight="1" x14ac:dyDescent="0.25">
      <c r="A503" t="s">
        <v>773</v>
      </c>
      <c r="B503" s="32">
        <f t="shared" ca="1" si="5"/>
        <v>44450</v>
      </c>
    </row>
    <row r="504" spans="1:2" ht="15" customHeight="1" x14ac:dyDescent="0.25">
      <c r="A504" t="s">
        <v>773</v>
      </c>
      <c r="B504" s="32">
        <f t="shared" ca="1" si="5"/>
        <v>44450</v>
      </c>
    </row>
    <row r="505" spans="1:2" ht="15" customHeight="1" x14ac:dyDescent="0.25">
      <c r="A505" t="s">
        <v>774</v>
      </c>
      <c r="B505" s="32">
        <f t="shared" ca="1" si="5"/>
        <v>44450</v>
      </c>
    </row>
    <row r="506" spans="1:2" ht="15" customHeight="1" x14ac:dyDescent="0.25">
      <c r="A506" t="s">
        <v>563</v>
      </c>
      <c r="B506" s="32">
        <f t="shared" ca="1" si="5"/>
        <v>44450</v>
      </c>
    </row>
    <row r="507" spans="1:2" ht="15" customHeight="1" x14ac:dyDescent="0.25">
      <c r="A507" t="s">
        <v>564</v>
      </c>
      <c r="B507" s="32">
        <f t="shared" ca="1" si="5"/>
        <v>44450</v>
      </c>
    </row>
    <row r="508" spans="1:2" ht="15" customHeight="1" x14ac:dyDescent="0.25">
      <c r="A508" t="s">
        <v>565</v>
      </c>
      <c r="B508" s="32">
        <f t="shared" ca="1" si="5"/>
        <v>44450</v>
      </c>
    </row>
    <row r="509" spans="1:2" ht="15" customHeight="1" x14ac:dyDescent="0.25">
      <c r="A509" t="s">
        <v>566</v>
      </c>
      <c r="B509" s="32">
        <f t="shared" ca="1" si="5"/>
        <v>44450</v>
      </c>
    </row>
    <row r="510" spans="1:2" ht="15" customHeight="1" x14ac:dyDescent="0.25">
      <c r="A510" t="s">
        <v>567</v>
      </c>
      <c r="B510" s="32">
        <f t="shared" ca="1" si="5"/>
        <v>44450</v>
      </c>
    </row>
    <row r="511" spans="1:2" ht="15" customHeight="1" x14ac:dyDescent="0.25">
      <c r="A511" t="s">
        <v>568</v>
      </c>
      <c r="B511" s="32">
        <f t="shared" ca="1" si="5"/>
        <v>44450</v>
      </c>
    </row>
    <row r="512" spans="1:2" ht="15" customHeight="1" x14ac:dyDescent="0.25">
      <c r="A512" t="s">
        <v>775</v>
      </c>
      <c r="B512" s="32">
        <f t="shared" ca="1" si="5"/>
        <v>44450</v>
      </c>
    </row>
    <row r="513" spans="1:2" ht="15" customHeight="1" x14ac:dyDescent="0.25">
      <c r="A513" t="s">
        <v>775</v>
      </c>
      <c r="B513" s="32">
        <f t="shared" ca="1" si="5"/>
        <v>44450</v>
      </c>
    </row>
    <row r="514" spans="1:2" ht="15" customHeight="1" x14ac:dyDescent="0.25">
      <c r="A514" t="s">
        <v>569</v>
      </c>
      <c r="B514" s="32">
        <f t="shared" ca="1" si="5"/>
        <v>44450</v>
      </c>
    </row>
    <row r="515" spans="1:2" ht="15" customHeight="1" x14ac:dyDescent="0.25">
      <c r="A515" t="s">
        <v>570</v>
      </c>
      <c r="B515" s="32">
        <f t="shared" ca="1" si="5"/>
        <v>44450</v>
      </c>
    </row>
    <row r="516" spans="1:2" ht="15" customHeight="1" x14ac:dyDescent="0.25">
      <c r="A516" t="s">
        <v>571</v>
      </c>
      <c r="B516" s="32">
        <f t="shared" ca="1" si="5"/>
        <v>44450</v>
      </c>
    </row>
    <row r="517" spans="1:2" ht="15" customHeight="1" x14ac:dyDescent="0.25">
      <c r="A517" t="s">
        <v>571</v>
      </c>
      <c r="B517" s="32">
        <f t="shared" ca="1" si="5"/>
        <v>44450</v>
      </c>
    </row>
    <row r="518" spans="1:2" ht="15" customHeight="1" x14ac:dyDescent="0.25">
      <c r="A518" t="s">
        <v>572</v>
      </c>
      <c r="B518" s="32">
        <f t="shared" ca="1" si="5"/>
        <v>44450</v>
      </c>
    </row>
    <row r="519" spans="1:2" ht="15" customHeight="1" x14ac:dyDescent="0.25">
      <c r="A519" t="s">
        <v>573</v>
      </c>
      <c r="B519" s="32">
        <f t="shared" ref="B519:B582" ca="1" si="6">TODAY()-150</f>
        <v>44450</v>
      </c>
    </row>
    <row r="520" spans="1:2" ht="15" customHeight="1" x14ac:dyDescent="0.25">
      <c r="A520" t="s">
        <v>574</v>
      </c>
      <c r="B520" s="32">
        <f t="shared" ca="1" si="6"/>
        <v>44450</v>
      </c>
    </row>
    <row r="521" spans="1:2" ht="15" customHeight="1" x14ac:dyDescent="0.25">
      <c r="A521" t="s">
        <v>776</v>
      </c>
      <c r="B521" s="32">
        <f t="shared" ca="1" si="6"/>
        <v>44450</v>
      </c>
    </row>
    <row r="522" spans="1:2" ht="15" customHeight="1" x14ac:dyDescent="0.25">
      <c r="A522" t="s">
        <v>776</v>
      </c>
      <c r="B522" s="32">
        <f t="shared" ca="1" si="6"/>
        <v>44450</v>
      </c>
    </row>
    <row r="523" spans="1:2" ht="15" customHeight="1" x14ac:dyDescent="0.25">
      <c r="A523" t="s">
        <v>776</v>
      </c>
      <c r="B523" s="32">
        <f t="shared" ca="1" si="6"/>
        <v>44450</v>
      </c>
    </row>
    <row r="524" spans="1:2" ht="15" customHeight="1" x14ac:dyDescent="0.25">
      <c r="A524" t="s">
        <v>776</v>
      </c>
      <c r="B524" s="32">
        <f t="shared" ca="1" si="6"/>
        <v>44450</v>
      </c>
    </row>
    <row r="525" spans="1:2" ht="15" customHeight="1" x14ac:dyDescent="0.25">
      <c r="A525" t="s">
        <v>776</v>
      </c>
      <c r="B525" s="32">
        <f t="shared" ca="1" si="6"/>
        <v>44450</v>
      </c>
    </row>
    <row r="526" spans="1:2" ht="15" customHeight="1" x14ac:dyDescent="0.25">
      <c r="A526" t="s">
        <v>776</v>
      </c>
      <c r="B526" s="32">
        <f t="shared" ca="1" si="6"/>
        <v>44450</v>
      </c>
    </row>
    <row r="527" spans="1:2" ht="15" customHeight="1" x14ac:dyDescent="0.25">
      <c r="A527" t="s">
        <v>776</v>
      </c>
      <c r="B527" s="32">
        <f t="shared" ca="1" si="6"/>
        <v>44450</v>
      </c>
    </row>
    <row r="528" spans="1:2" ht="15" customHeight="1" x14ac:dyDescent="0.25">
      <c r="A528" t="s">
        <v>776</v>
      </c>
      <c r="B528" s="32">
        <f t="shared" ca="1" si="6"/>
        <v>44450</v>
      </c>
    </row>
    <row r="529" spans="1:2" ht="15" customHeight="1" x14ac:dyDescent="0.25">
      <c r="A529" t="s">
        <v>776</v>
      </c>
      <c r="B529" s="32">
        <f t="shared" ca="1" si="6"/>
        <v>44450</v>
      </c>
    </row>
    <row r="530" spans="1:2" ht="15" customHeight="1" x14ac:dyDescent="0.25">
      <c r="A530" t="s">
        <v>776</v>
      </c>
      <c r="B530" s="32">
        <f t="shared" ca="1" si="6"/>
        <v>44450</v>
      </c>
    </row>
    <row r="531" spans="1:2" ht="15" customHeight="1" x14ac:dyDescent="0.25">
      <c r="A531" t="s">
        <v>776</v>
      </c>
      <c r="B531" s="32">
        <f t="shared" ca="1" si="6"/>
        <v>44450</v>
      </c>
    </row>
    <row r="532" spans="1:2" ht="15" customHeight="1" x14ac:dyDescent="0.25">
      <c r="A532" t="s">
        <v>777</v>
      </c>
      <c r="B532" s="32">
        <f t="shared" ca="1" si="6"/>
        <v>44450</v>
      </c>
    </row>
    <row r="533" spans="1:2" ht="15" customHeight="1" x14ac:dyDescent="0.25">
      <c r="A533" t="s">
        <v>777</v>
      </c>
      <c r="B533" s="32">
        <f t="shared" ca="1" si="6"/>
        <v>44450</v>
      </c>
    </row>
    <row r="534" spans="1:2" ht="15" customHeight="1" x14ac:dyDescent="0.25">
      <c r="A534" t="s">
        <v>777</v>
      </c>
      <c r="B534" s="32">
        <f t="shared" ca="1" si="6"/>
        <v>44450</v>
      </c>
    </row>
    <row r="535" spans="1:2" ht="15" customHeight="1" x14ac:dyDescent="0.25">
      <c r="A535" t="s">
        <v>777</v>
      </c>
      <c r="B535" s="32">
        <f t="shared" ca="1" si="6"/>
        <v>44450</v>
      </c>
    </row>
    <row r="536" spans="1:2" ht="15" customHeight="1" x14ac:dyDescent="0.25">
      <c r="A536" t="s">
        <v>777</v>
      </c>
      <c r="B536" s="32">
        <f t="shared" ca="1" si="6"/>
        <v>44450</v>
      </c>
    </row>
    <row r="537" spans="1:2" ht="15" customHeight="1" x14ac:dyDescent="0.25">
      <c r="A537" t="s">
        <v>777</v>
      </c>
      <c r="B537" s="32">
        <f t="shared" ca="1" si="6"/>
        <v>44450</v>
      </c>
    </row>
    <row r="538" spans="1:2" ht="15" customHeight="1" x14ac:dyDescent="0.25">
      <c r="A538" t="s">
        <v>778</v>
      </c>
      <c r="B538" s="32">
        <f t="shared" ca="1" si="6"/>
        <v>44450</v>
      </c>
    </row>
    <row r="539" spans="1:2" ht="15" customHeight="1" x14ac:dyDescent="0.25">
      <c r="A539" t="s">
        <v>779</v>
      </c>
      <c r="B539" s="32">
        <f t="shared" ca="1" si="6"/>
        <v>44450</v>
      </c>
    </row>
    <row r="540" spans="1:2" ht="15" customHeight="1" x14ac:dyDescent="0.25">
      <c r="A540" t="s">
        <v>780</v>
      </c>
      <c r="B540" s="32">
        <f t="shared" ca="1" si="6"/>
        <v>44450</v>
      </c>
    </row>
    <row r="541" spans="1:2" ht="15" customHeight="1" x14ac:dyDescent="0.25">
      <c r="A541" t="s">
        <v>781</v>
      </c>
      <c r="B541" s="32">
        <f t="shared" ca="1" si="6"/>
        <v>44450</v>
      </c>
    </row>
    <row r="542" spans="1:2" ht="15" customHeight="1" x14ac:dyDescent="0.25">
      <c r="A542" t="s">
        <v>782</v>
      </c>
      <c r="B542" s="32">
        <f t="shared" ca="1" si="6"/>
        <v>44450</v>
      </c>
    </row>
    <row r="543" spans="1:2" ht="15" customHeight="1" x14ac:dyDescent="0.25">
      <c r="A543" t="s">
        <v>782</v>
      </c>
      <c r="B543" s="32">
        <f t="shared" ca="1" si="6"/>
        <v>44450</v>
      </c>
    </row>
    <row r="544" spans="1:2" ht="15" customHeight="1" x14ac:dyDescent="0.25">
      <c r="A544" t="s">
        <v>782</v>
      </c>
      <c r="B544" s="32">
        <f t="shared" ca="1" si="6"/>
        <v>44450</v>
      </c>
    </row>
    <row r="545" spans="1:2" ht="15" customHeight="1" x14ac:dyDescent="0.25">
      <c r="A545" t="s">
        <v>782</v>
      </c>
      <c r="B545" s="32">
        <f t="shared" ca="1" si="6"/>
        <v>44450</v>
      </c>
    </row>
    <row r="546" spans="1:2" ht="15" customHeight="1" x14ac:dyDescent="0.25">
      <c r="A546" t="s">
        <v>779</v>
      </c>
      <c r="B546" s="32">
        <f t="shared" ca="1" si="6"/>
        <v>44450</v>
      </c>
    </row>
    <row r="547" spans="1:2" ht="15" customHeight="1" x14ac:dyDescent="0.25">
      <c r="A547" t="s">
        <v>575</v>
      </c>
      <c r="B547" s="32">
        <f t="shared" ca="1" si="6"/>
        <v>44450</v>
      </c>
    </row>
    <row r="548" spans="1:2" ht="15" customHeight="1" x14ac:dyDescent="0.25">
      <c r="A548" t="s">
        <v>576</v>
      </c>
      <c r="B548" s="32">
        <f t="shared" ca="1" si="6"/>
        <v>44450</v>
      </c>
    </row>
    <row r="549" spans="1:2" ht="15" customHeight="1" x14ac:dyDescent="0.25">
      <c r="A549" t="s">
        <v>577</v>
      </c>
      <c r="B549" s="32">
        <f t="shared" ca="1" si="6"/>
        <v>44450</v>
      </c>
    </row>
    <row r="550" spans="1:2" ht="15" customHeight="1" x14ac:dyDescent="0.25">
      <c r="A550" t="s">
        <v>577</v>
      </c>
      <c r="B550" s="32">
        <f t="shared" ca="1" si="6"/>
        <v>44450</v>
      </c>
    </row>
    <row r="551" spans="1:2" ht="15" customHeight="1" x14ac:dyDescent="0.25">
      <c r="A551" t="s">
        <v>783</v>
      </c>
      <c r="B551" s="32">
        <f t="shared" ca="1" si="6"/>
        <v>44450</v>
      </c>
    </row>
    <row r="552" spans="1:2" ht="15" customHeight="1" x14ac:dyDescent="0.25">
      <c r="A552" t="s">
        <v>783</v>
      </c>
      <c r="B552" s="32">
        <f t="shared" ca="1" si="6"/>
        <v>44450</v>
      </c>
    </row>
    <row r="553" spans="1:2" ht="15" customHeight="1" x14ac:dyDescent="0.25">
      <c r="A553" t="s">
        <v>783</v>
      </c>
      <c r="B553" s="32">
        <f t="shared" ca="1" si="6"/>
        <v>44450</v>
      </c>
    </row>
    <row r="554" spans="1:2" ht="15" customHeight="1" x14ac:dyDescent="0.25">
      <c r="A554" t="s">
        <v>783</v>
      </c>
      <c r="B554" s="32">
        <f t="shared" ca="1" si="6"/>
        <v>44450</v>
      </c>
    </row>
    <row r="555" spans="1:2" ht="15" customHeight="1" x14ac:dyDescent="0.25">
      <c r="A555" t="s">
        <v>783</v>
      </c>
      <c r="B555" s="32">
        <f t="shared" ca="1" si="6"/>
        <v>44450</v>
      </c>
    </row>
    <row r="556" spans="1:2" ht="15" customHeight="1" x14ac:dyDescent="0.25">
      <c r="A556" t="s">
        <v>783</v>
      </c>
      <c r="B556" s="32">
        <f t="shared" ca="1" si="6"/>
        <v>44450</v>
      </c>
    </row>
    <row r="557" spans="1:2" ht="15" customHeight="1" x14ac:dyDescent="0.25">
      <c r="A557" t="s">
        <v>783</v>
      </c>
      <c r="B557" s="32">
        <f t="shared" ca="1" si="6"/>
        <v>44450</v>
      </c>
    </row>
    <row r="558" spans="1:2" ht="15" customHeight="1" x14ac:dyDescent="0.25">
      <c r="A558" t="s">
        <v>783</v>
      </c>
      <c r="B558" s="32">
        <f t="shared" ca="1" si="6"/>
        <v>44450</v>
      </c>
    </row>
    <row r="559" spans="1:2" ht="15" customHeight="1" x14ac:dyDescent="0.25">
      <c r="A559" t="s">
        <v>784</v>
      </c>
      <c r="B559" s="32">
        <f t="shared" ca="1" si="6"/>
        <v>44450</v>
      </c>
    </row>
    <row r="560" spans="1:2" ht="15" customHeight="1" x14ac:dyDescent="0.25">
      <c r="A560" t="s">
        <v>784</v>
      </c>
      <c r="B560" s="32">
        <f t="shared" ca="1" si="6"/>
        <v>44450</v>
      </c>
    </row>
    <row r="561" spans="1:2" ht="15" customHeight="1" x14ac:dyDescent="0.25">
      <c r="A561" t="s">
        <v>784</v>
      </c>
      <c r="B561" s="32">
        <f t="shared" ca="1" si="6"/>
        <v>44450</v>
      </c>
    </row>
    <row r="562" spans="1:2" ht="15" customHeight="1" x14ac:dyDescent="0.25">
      <c r="A562" t="s">
        <v>784</v>
      </c>
      <c r="B562" s="32">
        <f t="shared" ca="1" si="6"/>
        <v>44450</v>
      </c>
    </row>
    <row r="563" spans="1:2" ht="15" customHeight="1" x14ac:dyDescent="0.25">
      <c r="A563" t="s">
        <v>784</v>
      </c>
      <c r="B563" s="32">
        <f t="shared" ca="1" si="6"/>
        <v>44450</v>
      </c>
    </row>
    <row r="564" spans="1:2" ht="15" customHeight="1" x14ac:dyDescent="0.25">
      <c r="A564" t="s">
        <v>785</v>
      </c>
      <c r="B564" s="32">
        <f t="shared" ca="1" si="6"/>
        <v>44450</v>
      </c>
    </row>
    <row r="565" spans="1:2" ht="15" customHeight="1" x14ac:dyDescent="0.25">
      <c r="A565" t="s">
        <v>785</v>
      </c>
      <c r="B565" s="32">
        <f t="shared" ca="1" si="6"/>
        <v>44450</v>
      </c>
    </row>
    <row r="566" spans="1:2" ht="15" customHeight="1" x14ac:dyDescent="0.25">
      <c r="A566" t="s">
        <v>785</v>
      </c>
      <c r="B566" s="32">
        <f t="shared" ca="1" si="6"/>
        <v>44450</v>
      </c>
    </row>
    <row r="567" spans="1:2" ht="15" customHeight="1" x14ac:dyDescent="0.25">
      <c r="A567" t="s">
        <v>785</v>
      </c>
      <c r="B567" s="32">
        <f t="shared" ca="1" si="6"/>
        <v>44450</v>
      </c>
    </row>
    <row r="568" spans="1:2" ht="15" customHeight="1" x14ac:dyDescent="0.25">
      <c r="A568" t="s">
        <v>785</v>
      </c>
      <c r="B568" s="32">
        <f t="shared" ca="1" si="6"/>
        <v>44450</v>
      </c>
    </row>
    <row r="569" spans="1:2" ht="15" customHeight="1" x14ac:dyDescent="0.25">
      <c r="A569" t="s">
        <v>781</v>
      </c>
      <c r="B569" s="32">
        <f t="shared" ca="1" si="6"/>
        <v>44450</v>
      </c>
    </row>
    <row r="570" spans="1:2" ht="15" customHeight="1" x14ac:dyDescent="0.25">
      <c r="A570" t="s">
        <v>781</v>
      </c>
      <c r="B570" s="32">
        <f t="shared" ca="1" si="6"/>
        <v>44450</v>
      </c>
    </row>
    <row r="571" spans="1:2" ht="15" customHeight="1" x14ac:dyDescent="0.25">
      <c r="A571" t="s">
        <v>786</v>
      </c>
      <c r="B571" s="32">
        <f t="shared" ca="1" si="6"/>
        <v>44450</v>
      </c>
    </row>
    <row r="572" spans="1:2" ht="15" customHeight="1" x14ac:dyDescent="0.25">
      <c r="A572" t="s">
        <v>578</v>
      </c>
      <c r="B572" s="32">
        <f t="shared" ca="1" si="6"/>
        <v>44450</v>
      </c>
    </row>
    <row r="573" spans="1:2" ht="15" customHeight="1" x14ac:dyDescent="0.25">
      <c r="A573" t="s">
        <v>579</v>
      </c>
      <c r="B573" s="32">
        <f t="shared" ca="1" si="6"/>
        <v>44450</v>
      </c>
    </row>
    <row r="574" spans="1:2" ht="15" customHeight="1" x14ac:dyDescent="0.25">
      <c r="A574" t="s">
        <v>580</v>
      </c>
      <c r="B574" s="32">
        <f t="shared" ca="1" si="6"/>
        <v>44450</v>
      </c>
    </row>
    <row r="575" spans="1:2" ht="15" customHeight="1" x14ac:dyDescent="0.25">
      <c r="A575" t="s">
        <v>580</v>
      </c>
      <c r="B575" s="32">
        <f t="shared" ca="1" si="6"/>
        <v>44450</v>
      </c>
    </row>
    <row r="576" spans="1:2" ht="15" customHeight="1" x14ac:dyDescent="0.25">
      <c r="A576" t="s">
        <v>581</v>
      </c>
      <c r="B576" s="32">
        <f t="shared" ca="1" si="6"/>
        <v>44450</v>
      </c>
    </row>
    <row r="577" spans="1:2" ht="15" customHeight="1" x14ac:dyDescent="0.25">
      <c r="A577" t="s">
        <v>582</v>
      </c>
      <c r="B577" s="32">
        <f t="shared" ca="1" si="6"/>
        <v>44450</v>
      </c>
    </row>
    <row r="578" spans="1:2" ht="15" customHeight="1" x14ac:dyDescent="0.25">
      <c r="A578" t="s">
        <v>582</v>
      </c>
      <c r="B578" s="32">
        <f t="shared" ca="1" si="6"/>
        <v>44450</v>
      </c>
    </row>
    <row r="579" spans="1:2" ht="15" customHeight="1" x14ac:dyDescent="0.25">
      <c r="A579" t="s">
        <v>583</v>
      </c>
      <c r="B579" s="32">
        <f t="shared" ca="1" si="6"/>
        <v>44450</v>
      </c>
    </row>
    <row r="580" spans="1:2" ht="15" customHeight="1" x14ac:dyDescent="0.25">
      <c r="A580" t="s">
        <v>583</v>
      </c>
      <c r="B580" s="32">
        <f t="shared" ca="1" si="6"/>
        <v>44450</v>
      </c>
    </row>
    <row r="581" spans="1:2" ht="15" customHeight="1" x14ac:dyDescent="0.25">
      <c r="A581" t="s">
        <v>584</v>
      </c>
      <c r="B581" s="32">
        <f t="shared" ca="1" si="6"/>
        <v>44450</v>
      </c>
    </row>
    <row r="582" spans="1:2" ht="15" customHeight="1" x14ac:dyDescent="0.25">
      <c r="A582" t="s">
        <v>584</v>
      </c>
      <c r="B582" s="32">
        <f t="shared" ca="1" si="6"/>
        <v>44450</v>
      </c>
    </row>
    <row r="583" spans="1:2" ht="15" customHeight="1" x14ac:dyDescent="0.25">
      <c r="A583" t="s">
        <v>787</v>
      </c>
      <c r="B583" s="32">
        <f t="shared" ref="B583:B646" ca="1" si="7">TODAY()-150</f>
        <v>44450</v>
      </c>
    </row>
    <row r="584" spans="1:2" ht="15" customHeight="1" x14ac:dyDescent="0.25">
      <c r="A584" t="s">
        <v>787</v>
      </c>
      <c r="B584" s="32">
        <f t="shared" ca="1" si="7"/>
        <v>44450</v>
      </c>
    </row>
    <row r="585" spans="1:2" ht="15" customHeight="1" x14ac:dyDescent="0.25">
      <c r="A585" t="s">
        <v>787</v>
      </c>
      <c r="B585" s="32">
        <f t="shared" ca="1" si="7"/>
        <v>44450</v>
      </c>
    </row>
    <row r="586" spans="1:2" ht="15" customHeight="1" x14ac:dyDescent="0.25">
      <c r="A586" t="s">
        <v>787</v>
      </c>
      <c r="B586" s="32">
        <f t="shared" ca="1" si="7"/>
        <v>44450</v>
      </c>
    </row>
    <row r="587" spans="1:2" ht="15" customHeight="1" x14ac:dyDescent="0.25">
      <c r="A587" t="s">
        <v>787</v>
      </c>
      <c r="B587" s="32">
        <f t="shared" ca="1" si="7"/>
        <v>44450</v>
      </c>
    </row>
    <row r="588" spans="1:2" ht="15" customHeight="1" x14ac:dyDescent="0.25">
      <c r="A588" t="s">
        <v>787</v>
      </c>
      <c r="B588" s="32">
        <f t="shared" ca="1" si="7"/>
        <v>44450</v>
      </c>
    </row>
    <row r="589" spans="1:2" ht="15" customHeight="1" x14ac:dyDescent="0.25">
      <c r="A589" t="s">
        <v>788</v>
      </c>
      <c r="B589" s="32">
        <f t="shared" ca="1" si="7"/>
        <v>44450</v>
      </c>
    </row>
    <row r="590" spans="1:2" ht="15" customHeight="1" x14ac:dyDescent="0.25">
      <c r="A590" t="s">
        <v>788</v>
      </c>
      <c r="B590" s="32">
        <f t="shared" ca="1" si="7"/>
        <v>44450</v>
      </c>
    </row>
    <row r="591" spans="1:2" ht="15" customHeight="1" x14ac:dyDescent="0.25">
      <c r="A591" t="s">
        <v>788</v>
      </c>
      <c r="B591" s="32">
        <f t="shared" ca="1" si="7"/>
        <v>44450</v>
      </c>
    </row>
    <row r="592" spans="1:2" ht="15" customHeight="1" x14ac:dyDescent="0.25">
      <c r="A592" t="s">
        <v>788</v>
      </c>
      <c r="B592" s="32">
        <f t="shared" ca="1" si="7"/>
        <v>44450</v>
      </c>
    </row>
    <row r="593" spans="1:2" ht="15" customHeight="1" x14ac:dyDescent="0.25">
      <c r="A593" t="s">
        <v>788</v>
      </c>
      <c r="B593" s="32">
        <f t="shared" ca="1" si="7"/>
        <v>44450</v>
      </c>
    </row>
    <row r="594" spans="1:2" ht="15" customHeight="1" x14ac:dyDescent="0.25">
      <c r="A594" t="s">
        <v>788</v>
      </c>
      <c r="B594" s="32">
        <f t="shared" ca="1" si="7"/>
        <v>44450</v>
      </c>
    </row>
    <row r="595" spans="1:2" ht="15" customHeight="1" x14ac:dyDescent="0.25">
      <c r="A595" t="s">
        <v>789</v>
      </c>
      <c r="B595" s="32">
        <f t="shared" ca="1" si="7"/>
        <v>44450</v>
      </c>
    </row>
    <row r="596" spans="1:2" ht="15" customHeight="1" x14ac:dyDescent="0.25">
      <c r="A596" t="s">
        <v>789</v>
      </c>
      <c r="B596" s="32">
        <f t="shared" ca="1" si="7"/>
        <v>44450</v>
      </c>
    </row>
    <row r="597" spans="1:2" ht="15" customHeight="1" x14ac:dyDescent="0.25">
      <c r="A597" t="s">
        <v>789</v>
      </c>
      <c r="B597" s="32">
        <f t="shared" ca="1" si="7"/>
        <v>44450</v>
      </c>
    </row>
    <row r="598" spans="1:2" ht="15" customHeight="1" x14ac:dyDescent="0.25">
      <c r="A598" t="s">
        <v>790</v>
      </c>
      <c r="B598" s="32">
        <f t="shared" ca="1" si="7"/>
        <v>44450</v>
      </c>
    </row>
    <row r="599" spans="1:2" ht="15" customHeight="1" x14ac:dyDescent="0.25">
      <c r="A599" t="s">
        <v>790</v>
      </c>
      <c r="B599" s="32">
        <f t="shared" ca="1" si="7"/>
        <v>44450</v>
      </c>
    </row>
    <row r="600" spans="1:2" ht="15" customHeight="1" x14ac:dyDescent="0.25">
      <c r="A600" t="s">
        <v>585</v>
      </c>
      <c r="B600" s="32">
        <f t="shared" ca="1" si="7"/>
        <v>44450</v>
      </c>
    </row>
    <row r="601" spans="1:2" ht="15" customHeight="1" x14ac:dyDescent="0.25">
      <c r="A601" t="s">
        <v>586</v>
      </c>
      <c r="B601" s="32">
        <f t="shared" ca="1" si="7"/>
        <v>44450</v>
      </c>
    </row>
    <row r="602" spans="1:2" ht="15" customHeight="1" x14ac:dyDescent="0.25">
      <c r="A602" t="s">
        <v>587</v>
      </c>
      <c r="B602" s="32">
        <f t="shared" ca="1" si="7"/>
        <v>44450</v>
      </c>
    </row>
    <row r="603" spans="1:2" ht="15" customHeight="1" x14ac:dyDescent="0.25">
      <c r="A603" t="s">
        <v>791</v>
      </c>
      <c r="B603" s="32">
        <f t="shared" ca="1" si="7"/>
        <v>44450</v>
      </c>
    </row>
    <row r="604" spans="1:2" ht="15" customHeight="1" x14ac:dyDescent="0.25">
      <c r="A604" t="s">
        <v>791</v>
      </c>
      <c r="B604" s="32">
        <f t="shared" ca="1" si="7"/>
        <v>44450</v>
      </c>
    </row>
    <row r="605" spans="1:2" ht="15" customHeight="1" x14ac:dyDescent="0.25">
      <c r="A605" t="s">
        <v>791</v>
      </c>
      <c r="B605" s="32">
        <f t="shared" ca="1" si="7"/>
        <v>44450</v>
      </c>
    </row>
    <row r="606" spans="1:2" ht="15" customHeight="1" x14ac:dyDescent="0.25">
      <c r="A606" t="s">
        <v>792</v>
      </c>
      <c r="B606" s="32">
        <f t="shared" ca="1" si="7"/>
        <v>44450</v>
      </c>
    </row>
    <row r="607" spans="1:2" ht="15" customHeight="1" x14ac:dyDescent="0.25">
      <c r="A607" t="s">
        <v>792</v>
      </c>
      <c r="B607" s="32">
        <f t="shared" ca="1" si="7"/>
        <v>44450</v>
      </c>
    </row>
    <row r="608" spans="1:2" ht="15" customHeight="1" x14ac:dyDescent="0.25">
      <c r="A608" t="s">
        <v>792</v>
      </c>
      <c r="B608" s="32">
        <f t="shared" ca="1" si="7"/>
        <v>44450</v>
      </c>
    </row>
    <row r="609" spans="1:2" ht="15" customHeight="1" x14ac:dyDescent="0.25">
      <c r="A609" t="s">
        <v>792</v>
      </c>
      <c r="B609" s="32">
        <f t="shared" ca="1" si="7"/>
        <v>44450</v>
      </c>
    </row>
    <row r="610" spans="1:2" ht="15" customHeight="1" x14ac:dyDescent="0.25">
      <c r="A610" t="s">
        <v>792</v>
      </c>
      <c r="B610" s="32">
        <f t="shared" ca="1" si="7"/>
        <v>44450</v>
      </c>
    </row>
    <row r="611" spans="1:2" ht="15" customHeight="1" x14ac:dyDescent="0.25">
      <c r="A611" t="s">
        <v>793</v>
      </c>
      <c r="B611" s="32">
        <f t="shared" ca="1" si="7"/>
        <v>44450</v>
      </c>
    </row>
    <row r="612" spans="1:2" ht="15" customHeight="1" x14ac:dyDescent="0.25">
      <c r="A612" t="s">
        <v>793</v>
      </c>
      <c r="B612" s="32">
        <f t="shared" ca="1" si="7"/>
        <v>44450</v>
      </c>
    </row>
    <row r="613" spans="1:2" ht="15" customHeight="1" x14ac:dyDescent="0.25">
      <c r="A613" t="s">
        <v>793</v>
      </c>
      <c r="B613" s="32">
        <f t="shared" ca="1" si="7"/>
        <v>44450</v>
      </c>
    </row>
    <row r="614" spans="1:2" ht="15" customHeight="1" x14ac:dyDescent="0.25">
      <c r="A614" t="s">
        <v>793</v>
      </c>
      <c r="B614" s="32">
        <f t="shared" ca="1" si="7"/>
        <v>44450</v>
      </c>
    </row>
    <row r="615" spans="1:2" ht="15" customHeight="1" x14ac:dyDescent="0.25">
      <c r="A615" t="s">
        <v>793</v>
      </c>
      <c r="B615" s="32">
        <f t="shared" ca="1" si="7"/>
        <v>44450</v>
      </c>
    </row>
    <row r="616" spans="1:2" ht="15" customHeight="1" x14ac:dyDescent="0.25">
      <c r="A616" t="s">
        <v>793</v>
      </c>
      <c r="B616" s="32">
        <f t="shared" ca="1" si="7"/>
        <v>44450</v>
      </c>
    </row>
    <row r="617" spans="1:2" ht="15" customHeight="1" x14ac:dyDescent="0.25">
      <c r="A617" t="s">
        <v>793</v>
      </c>
      <c r="B617" s="32">
        <f t="shared" ca="1" si="7"/>
        <v>44450</v>
      </c>
    </row>
    <row r="618" spans="1:2" ht="15" customHeight="1" x14ac:dyDescent="0.25">
      <c r="A618" t="s">
        <v>794</v>
      </c>
      <c r="B618" s="32">
        <f t="shared" ca="1" si="7"/>
        <v>44450</v>
      </c>
    </row>
    <row r="619" spans="1:2" ht="15" customHeight="1" x14ac:dyDescent="0.25">
      <c r="A619" t="s">
        <v>794</v>
      </c>
      <c r="B619" s="32">
        <f t="shared" ca="1" si="7"/>
        <v>44450</v>
      </c>
    </row>
    <row r="620" spans="1:2" ht="15" customHeight="1" x14ac:dyDescent="0.25">
      <c r="A620" t="s">
        <v>794</v>
      </c>
      <c r="B620" s="32">
        <f t="shared" ca="1" si="7"/>
        <v>44450</v>
      </c>
    </row>
    <row r="621" spans="1:2" ht="15" customHeight="1" x14ac:dyDescent="0.25">
      <c r="A621" t="s">
        <v>794</v>
      </c>
      <c r="B621" s="32">
        <f t="shared" ca="1" si="7"/>
        <v>44450</v>
      </c>
    </row>
    <row r="622" spans="1:2" ht="15" customHeight="1" x14ac:dyDescent="0.25">
      <c r="A622" t="s">
        <v>794</v>
      </c>
      <c r="B622" s="32">
        <f t="shared" ca="1" si="7"/>
        <v>44450</v>
      </c>
    </row>
    <row r="623" spans="1:2" ht="15" customHeight="1" x14ac:dyDescent="0.25">
      <c r="A623" t="s">
        <v>588</v>
      </c>
      <c r="B623" s="32">
        <f t="shared" ca="1" si="7"/>
        <v>44450</v>
      </c>
    </row>
    <row r="624" spans="1:2" ht="15" customHeight="1" x14ac:dyDescent="0.25">
      <c r="A624" t="s">
        <v>781</v>
      </c>
      <c r="B624" s="32">
        <f t="shared" ca="1" si="7"/>
        <v>44450</v>
      </c>
    </row>
    <row r="625" spans="1:2" ht="15" customHeight="1" x14ac:dyDescent="0.25">
      <c r="A625" t="s">
        <v>795</v>
      </c>
      <c r="B625" s="32">
        <f t="shared" ca="1" si="7"/>
        <v>44450</v>
      </c>
    </row>
    <row r="626" spans="1:2" ht="15" customHeight="1" x14ac:dyDescent="0.25">
      <c r="A626" t="s">
        <v>795</v>
      </c>
      <c r="B626" s="32">
        <f t="shared" ca="1" si="7"/>
        <v>44450</v>
      </c>
    </row>
    <row r="627" spans="1:2" ht="15" customHeight="1" x14ac:dyDescent="0.25">
      <c r="A627" t="s">
        <v>796</v>
      </c>
      <c r="B627" s="32">
        <f t="shared" ca="1" si="7"/>
        <v>44450</v>
      </c>
    </row>
    <row r="628" spans="1:2" ht="15" customHeight="1" x14ac:dyDescent="0.25">
      <c r="A628" t="s">
        <v>797</v>
      </c>
      <c r="B628" s="32">
        <f t="shared" ca="1" si="7"/>
        <v>44450</v>
      </c>
    </row>
    <row r="629" spans="1:2" ht="15" customHeight="1" x14ac:dyDescent="0.25">
      <c r="A629" t="s">
        <v>797</v>
      </c>
      <c r="B629" s="32">
        <f t="shared" ca="1" si="7"/>
        <v>44450</v>
      </c>
    </row>
    <row r="630" spans="1:2" ht="15" customHeight="1" x14ac:dyDescent="0.25">
      <c r="A630" t="s">
        <v>797</v>
      </c>
      <c r="B630" s="32">
        <f t="shared" ca="1" si="7"/>
        <v>44450</v>
      </c>
    </row>
    <row r="631" spans="1:2" ht="15" customHeight="1" x14ac:dyDescent="0.25">
      <c r="A631" t="s">
        <v>797</v>
      </c>
      <c r="B631" s="32">
        <f t="shared" ca="1" si="7"/>
        <v>44450</v>
      </c>
    </row>
    <row r="632" spans="1:2" ht="15" customHeight="1" x14ac:dyDescent="0.25">
      <c r="A632" t="s">
        <v>797</v>
      </c>
      <c r="B632" s="32">
        <f t="shared" ca="1" si="7"/>
        <v>44450</v>
      </c>
    </row>
    <row r="633" spans="1:2" ht="15" customHeight="1" x14ac:dyDescent="0.25">
      <c r="A633" t="s">
        <v>797</v>
      </c>
      <c r="B633" s="32">
        <f t="shared" ca="1" si="7"/>
        <v>44450</v>
      </c>
    </row>
    <row r="634" spans="1:2" ht="15" customHeight="1" x14ac:dyDescent="0.25">
      <c r="A634" t="s">
        <v>798</v>
      </c>
      <c r="B634" s="32">
        <f t="shared" ca="1" si="7"/>
        <v>44450</v>
      </c>
    </row>
    <row r="635" spans="1:2" ht="15" customHeight="1" x14ac:dyDescent="0.25">
      <c r="A635" t="s">
        <v>798</v>
      </c>
      <c r="B635" s="32">
        <f t="shared" ca="1" si="7"/>
        <v>44450</v>
      </c>
    </row>
    <row r="636" spans="1:2" ht="15" customHeight="1" x14ac:dyDescent="0.25">
      <c r="A636" t="s">
        <v>798</v>
      </c>
      <c r="B636" s="32">
        <f t="shared" ca="1" si="7"/>
        <v>44450</v>
      </c>
    </row>
    <row r="637" spans="1:2" ht="15" customHeight="1" x14ac:dyDescent="0.25">
      <c r="A637" t="s">
        <v>781</v>
      </c>
      <c r="B637" s="32">
        <f t="shared" ca="1" si="7"/>
        <v>44450</v>
      </c>
    </row>
    <row r="638" spans="1:2" ht="15" customHeight="1" x14ac:dyDescent="0.25">
      <c r="A638" t="s">
        <v>772</v>
      </c>
      <c r="B638" s="32">
        <f t="shared" ca="1" si="7"/>
        <v>44450</v>
      </c>
    </row>
    <row r="639" spans="1:2" ht="15" customHeight="1" x14ac:dyDescent="0.25">
      <c r="A639" t="s">
        <v>772</v>
      </c>
      <c r="B639" s="32">
        <f t="shared" ca="1" si="7"/>
        <v>44450</v>
      </c>
    </row>
    <row r="640" spans="1:2" ht="15" customHeight="1" x14ac:dyDescent="0.25">
      <c r="A640" t="s">
        <v>772</v>
      </c>
      <c r="B640" s="32">
        <f t="shared" ca="1" si="7"/>
        <v>44450</v>
      </c>
    </row>
    <row r="641" spans="1:2" ht="15" customHeight="1" x14ac:dyDescent="0.25">
      <c r="A641" t="s">
        <v>772</v>
      </c>
      <c r="B641" s="32">
        <f t="shared" ca="1" si="7"/>
        <v>44450</v>
      </c>
    </row>
    <row r="642" spans="1:2" ht="15" customHeight="1" x14ac:dyDescent="0.25">
      <c r="A642" t="s">
        <v>799</v>
      </c>
      <c r="B642" s="32">
        <f t="shared" ca="1" si="7"/>
        <v>44450</v>
      </c>
    </row>
    <row r="643" spans="1:2" ht="15" customHeight="1" x14ac:dyDescent="0.25">
      <c r="A643" t="s">
        <v>799</v>
      </c>
      <c r="B643" s="32">
        <f t="shared" ca="1" si="7"/>
        <v>44450</v>
      </c>
    </row>
    <row r="644" spans="1:2" ht="15" customHeight="1" x14ac:dyDescent="0.25">
      <c r="A644" t="s">
        <v>799</v>
      </c>
      <c r="B644" s="32">
        <f t="shared" ca="1" si="7"/>
        <v>44450</v>
      </c>
    </row>
    <row r="645" spans="1:2" ht="15" customHeight="1" x14ac:dyDescent="0.25">
      <c r="A645" t="s">
        <v>799</v>
      </c>
      <c r="B645" s="32">
        <f t="shared" ca="1" si="7"/>
        <v>44450</v>
      </c>
    </row>
    <row r="646" spans="1:2" ht="15" customHeight="1" x14ac:dyDescent="0.25">
      <c r="A646" t="s">
        <v>799</v>
      </c>
      <c r="B646" s="32">
        <f t="shared" ca="1" si="7"/>
        <v>44450</v>
      </c>
    </row>
    <row r="647" spans="1:2" ht="15" customHeight="1" x14ac:dyDescent="0.25">
      <c r="A647" t="s">
        <v>800</v>
      </c>
      <c r="B647" s="32">
        <f t="shared" ref="B647:B710" ca="1" si="8">TODAY()-150</f>
        <v>44450</v>
      </c>
    </row>
    <row r="648" spans="1:2" ht="15" customHeight="1" x14ac:dyDescent="0.25">
      <c r="A648" t="s">
        <v>800</v>
      </c>
      <c r="B648" s="32">
        <f t="shared" ca="1" si="8"/>
        <v>44450</v>
      </c>
    </row>
    <row r="649" spans="1:2" ht="15" customHeight="1" x14ac:dyDescent="0.25">
      <c r="A649" t="s">
        <v>801</v>
      </c>
      <c r="B649" s="32">
        <f t="shared" ca="1" si="8"/>
        <v>44450</v>
      </c>
    </row>
    <row r="650" spans="1:2" ht="15" customHeight="1" x14ac:dyDescent="0.25">
      <c r="A650" t="s">
        <v>801</v>
      </c>
      <c r="B650" s="32">
        <f t="shared" ca="1" si="8"/>
        <v>44450</v>
      </c>
    </row>
    <row r="651" spans="1:2" ht="15" customHeight="1" x14ac:dyDescent="0.25">
      <c r="A651" t="s">
        <v>801</v>
      </c>
      <c r="B651" s="32">
        <f t="shared" ca="1" si="8"/>
        <v>44450</v>
      </c>
    </row>
    <row r="652" spans="1:2" ht="15" customHeight="1" x14ac:dyDescent="0.25">
      <c r="A652" t="s">
        <v>801</v>
      </c>
      <c r="B652" s="32">
        <f t="shared" ca="1" si="8"/>
        <v>44450</v>
      </c>
    </row>
    <row r="653" spans="1:2" ht="15" customHeight="1" x14ac:dyDescent="0.25">
      <c r="A653" t="s">
        <v>801</v>
      </c>
      <c r="B653" s="32">
        <f t="shared" ca="1" si="8"/>
        <v>44450</v>
      </c>
    </row>
    <row r="654" spans="1:2" ht="15" customHeight="1" x14ac:dyDescent="0.25">
      <c r="A654" t="s">
        <v>801</v>
      </c>
      <c r="B654" s="32">
        <f t="shared" ca="1" si="8"/>
        <v>44450</v>
      </c>
    </row>
    <row r="655" spans="1:2" ht="15" customHeight="1" x14ac:dyDescent="0.25">
      <c r="A655" t="s">
        <v>801</v>
      </c>
      <c r="B655" s="32">
        <f t="shared" ca="1" si="8"/>
        <v>44450</v>
      </c>
    </row>
    <row r="656" spans="1:2" ht="15" customHeight="1" x14ac:dyDescent="0.25">
      <c r="A656" t="s">
        <v>802</v>
      </c>
      <c r="B656" s="32">
        <f t="shared" ca="1" si="8"/>
        <v>44450</v>
      </c>
    </row>
    <row r="657" spans="1:2" ht="15" customHeight="1" x14ac:dyDescent="0.25">
      <c r="A657" t="s">
        <v>802</v>
      </c>
      <c r="B657" s="32">
        <f t="shared" ca="1" si="8"/>
        <v>44450</v>
      </c>
    </row>
    <row r="658" spans="1:2" ht="15" customHeight="1" x14ac:dyDescent="0.25">
      <c r="A658" t="s">
        <v>802</v>
      </c>
      <c r="B658" s="32">
        <f t="shared" ca="1" si="8"/>
        <v>44450</v>
      </c>
    </row>
    <row r="659" spans="1:2" ht="15" customHeight="1" x14ac:dyDescent="0.25">
      <c r="A659" t="s">
        <v>802</v>
      </c>
      <c r="B659" s="32">
        <f t="shared" ca="1" si="8"/>
        <v>44450</v>
      </c>
    </row>
    <row r="660" spans="1:2" ht="15" customHeight="1" x14ac:dyDescent="0.25">
      <c r="A660" t="s">
        <v>803</v>
      </c>
      <c r="B660" s="32">
        <f t="shared" ca="1" si="8"/>
        <v>44450</v>
      </c>
    </row>
    <row r="661" spans="1:2" ht="15" customHeight="1" x14ac:dyDescent="0.25">
      <c r="A661" t="s">
        <v>803</v>
      </c>
      <c r="B661" s="32">
        <f t="shared" ca="1" si="8"/>
        <v>44450</v>
      </c>
    </row>
    <row r="662" spans="1:2" ht="15" customHeight="1" x14ac:dyDescent="0.25">
      <c r="A662" t="s">
        <v>804</v>
      </c>
      <c r="B662" s="32">
        <f t="shared" ca="1" si="8"/>
        <v>44450</v>
      </c>
    </row>
    <row r="663" spans="1:2" ht="15" customHeight="1" x14ac:dyDescent="0.25">
      <c r="A663" t="s">
        <v>804</v>
      </c>
      <c r="B663" s="32">
        <f t="shared" ca="1" si="8"/>
        <v>44450</v>
      </c>
    </row>
    <row r="664" spans="1:2" ht="15" customHeight="1" x14ac:dyDescent="0.25">
      <c r="A664" t="s">
        <v>804</v>
      </c>
      <c r="B664" s="32">
        <f t="shared" ca="1" si="8"/>
        <v>44450</v>
      </c>
    </row>
    <row r="665" spans="1:2" ht="15" customHeight="1" x14ac:dyDescent="0.25">
      <c r="A665" t="s">
        <v>804</v>
      </c>
      <c r="B665" s="32">
        <f t="shared" ca="1" si="8"/>
        <v>44450</v>
      </c>
    </row>
    <row r="666" spans="1:2" ht="15" customHeight="1" x14ac:dyDescent="0.25">
      <c r="A666" t="s">
        <v>804</v>
      </c>
      <c r="B666" s="32">
        <f t="shared" ca="1" si="8"/>
        <v>44450</v>
      </c>
    </row>
    <row r="667" spans="1:2" ht="15" customHeight="1" x14ac:dyDescent="0.25">
      <c r="A667" t="s">
        <v>804</v>
      </c>
      <c r="B667" s="32">
        <f t="shared" ca="1" si="8"/>
        <v>44450</v>
      </c>
    </row>
    <row r="668" spans="1:2" ht="15" customHeight="1" x14ac:dyDescent="0.25">
      <c r="A668" t="s">
        <v>257</v>
      </c>
      <c r="B668" s="32">
        <f t="shared" ca="1" si="8"/>
        <v>44450</v>
      </c>
    </row>
    <row r="669" spans="1:2" ht="15" customHeight="1" x14ac:dyDescent="0.25">
      <c r="A669" t="s">
        <v>258</v>
      </c>
      <c r="B669" s="32">
        <f t="shared" ca="1" si="8"/>
        <v>44450</v>
      </c>
    </row>
    <row r="670" spans="1:2" ht="15" customHeight="1" x14ac:dyDescent="0.25">
      <c r="A670" t="s">
        <v>259</v>
      </c>
      <c r="B670" s="32">
        <f t="shared" ca="1" si="8"/>
        <v>44450</v>
      </c>
    </row>
    <row r="671" spans="1:2" ht="15" customHeight="1" x14ac:dyDescent="0.25">
      <c r="A671" t="s">
        <v>260</v>
      </c>
      <c r="B671" s="32">
        <f t="shared" ca="1" si="8"/>
        <v>44450</v>
      </c>
    </row>
    <row r="672" spans="1:2" ht="15" customHeight="1" x14ac:dyDescent="0.25">
      <c r="A672" t="s">
        <v>260</v>
      </c>
      <c r="B672" s="32">
        <f t="shared" ca="1" si="8"/>
        <v>44450</v>
      </c>
    </row>
    <row r="673" spans="1:2" ht="15" customHeight="1" x14ac:dyDescent="0.25">
      <c r="A673" t="s">
        <v>261</v>
      </c>
      <c r="B673" s="32">
        <f t="shared" ca="1" si="8"/>
        <v>44450</v>
      </c>
    </row>
    <row r="674" spans="1:2" ht="15" customHeight="1" x14ac:dyDescent="0.25">
      <c r="A674" t="s">
        <v>262</v>
      </c>
      <c r="B674" s="32">
        <f t="shared" ca="1" si="8"/>
        <v>44450</v>
      </c>
    </row>
    <row r="675" spans="1:2" ht="15" customHeight="1" x14ac:dyDescent="0.25">
      <c r="A675" t="s">
        <v>485</v>
      </c>
      <c r="B675" s="32">
        <f t="shared" ca="1" si="8"/>
        <v>44450</v>
      </c>
    </row>
    <row r="676" spans="1:2" ht="15" customHeight="1" x14ac:dyDescent="0.25">
      <c r="A676" t="s">
        <v>486</v>
      </c>
      <c r="B676" s="32">
        <f t="shared" ca="1" si="8"/>
        <v>44450</v>
      </c>
    </row>
    <row r="677" spans="1:2" ht="15" customHeight="1" x14ac:dyDescent="0.25">
      <c r="A677" t="s">
        <v>487</v>
      </c>
      <c r="B677" s="32">
        <f t="shared" ca="1" si="8"/>
        <v>44450</v>
      </c>
    </row>
    <row r="678" spans="1:2" ht="15" customHeight="1" x14ac:dyDescent="0.25">
      <c r="A678" t="s">
        <v>488</v>
      </c>
      <c r="B678" s="32">
        <f t="shared" ca="1" si="8"/>
        <v>44450</v>
      </c>
    </row>
    <row r="679" spans="1:2" ht="15" customHeight="1" x14ac:dyDescent="0.25">
      <c r="A679" t="s">
        <v>489</v>
      </c>
      <c r="B679" s="32">
        <f t="shared" ca="1" si="8"/>
        <v>44450</v>
      </c>
    </row>
    <row r="680" spans="1:2" ht="15" customHeight="1" x14ac:dyDescent="0.25">
      <c r="A680" t="s">
        <v>490</v>
      </c>
      <c r="B680" s="32">
        <f t="shared" ca="1" si="8"/>
        <v>44450</v>
      </c>
    </row>
    <row r="681" spans="1:2" ht="15" customHeight="1" x14ac:dyDescent="0.25">
      <c r="A681" t="s">
        <v>491</v>
      </c>
      <c r="B681" s="32">
        <f t="shared" ca="1" si="8"/>
        <v>44450</v>
      </c>
    </row>
    <row r="682" spans="1:2" ht="15" customHeight="1" x14ac:dyDescent="0.25">
      <c r="A682" t="s">
        <v>492</v>
      </c>
      <c r="B682" s="32">
        <f t="shared" ca="1" si="8"/>
        <v>44450</v>
      </c>
    </row>
    <row r="683" spans="1:2" ht="15" customHeight="1" x14ac:dyDescent="0.25">
      <c r="A683" t="s">
        <v>493</v>
      </c>
      <c r="B683" s="32">
        <f t="shared" ca="1" si="8"/>
        <v>44450</v>
      </c>
    </row>
    <row r="684" spans="1:2" ht="15" customHeight="1" x14ac:dyDescent="0.25">
      <c r="A684" t="s">
        <v>493</v>
      </c>
      <c r="B684" s="32">
        <f t="shared" ca="1" si="8"/>
        <v>44450</v>
      </c>
    </row>
    <row r="685" spans="1:2" ht="15" customHeight="1" x14ac:dyDescent="0.25">
      <c r="A685" t="s">
        <v>494</v>
      </c>
      <c r="B685" s="32">
        <f t="shared" ca="1" si="8"/>
        <v>44450</v>
      </c>
    </row>
    <row r="686" spans="1:2" ht="15" customHeight="1" x14ac:dyDescent="0.25">
      <c r="A686" t="s">
        <v>494</v>
      </c>
      <c r="B686" s="32">
        <f t="shared" ca="1" si="8"/>
        <v>44450</v>
      </c>
    </row>
    <row r="687" spans="1:2" ht="15" customHeight="1" x14ac:dyDescent="0.25">
      <c r="A687" t="s">
        <v>495</v>
      </c>
      <c r="B687" s="32">
        <f t="shared" ca="1" si="8"/>
        <v>44450</v>
      </c>
    </row>
    <row r="688" spans="1:2" ht="15" customHeight="1" x14ac:dyDescent="0.25">
      <c r="A688" t="s">
        <v>496</v>
      </c>
      <c r="B688" s="32">
        <f t="shared" ca="1" si="8"/>
        <v>44450</v>
      </c>
    </row>
    <row r="689" spans="1:2" ht="15" customHeight="1" x14ac:dyDescent="0.25">
      <c r="A689" t="s">
        <v>805</v>
      </c>
      <c r="B689" s="32">
        <f t="shared" ca="1" si="8"/>
        <v>44450</v>
      </c>
    </row>
    <row r="690" spans="1:2" ht="15" customHeight="1" x14ac:dyDescent="0.25">
      <c r="A690" t="s">
        <v>805</v>
      </c>
      <c r="B690" s="32">
        <f t="shared" ca="1" si="8"/>
        <v>44450</v>
      </c>
    </row>
    <row r="691" spans="1:2" ht="15" customHeight="1" x14ac:dyDescent="0.25">
      <c r="A691" t="s">
        <v>805</v>
      </c>
      <c r="B691" s="32">
        <f t="shared" ca="1" si="8"/>
        <v>44450</v>
      </c>
    </row>
    <row r="692" spans="1:2" ht="15" customHeight="1" x14ac:dyDescent="0.25">
      <c r="A692" t="s">
        <v>805</v>
      </c>
      <c r="B692" s="32">
        <f t="shared" ca="1" si="8"/>
        <v>44450</v>
      </c>
    </row>
    <row r="693" spans="1:2" ht="15" customHeight="1" x14ac:dyDescent="0.25">
      <c r="A693" t="s">
        <v>805</v>
      </c>
      <c r="B693" s="32">
        <f t="shared" ca="1" si="8"/>
        <v>44450</v>
      </c>
    </row>
    <row r="694" spans="1:2" ht="15" customHeight="1" x14ac:dyDescent="0.25">
      <c r="A694" t="s">
        <v>805</v>
      </c>
      <c r="B694" s="32">
        <f t="shared" ca="1" si="8"/>
        <v>44450</v>
      </c>
    </row>
    <row r="695" spans="1:2" ht="15" customHeight="1" x14ac:dyDescent="0.25">
      <c r="A695" t="s">
        <v>805</v>
      </c>
      <c r="B695" s="32">
        <f t="shared" ca="1" si="8"/>
        <v>44450</v>
      </c>
    </row>
    <row r="696" spans="1:2" ht="15" customHeight="1" x14ac:dyDescent="0.25">
      <c r="A696" t="s">
        <v>805</v>
      </c>
      <c r="B696" s="32">
        <f t="shared" ca="1" si="8"/>
        <v>44450</v>
      </c>
    </row>
    <row r="697" spans="1:2" ht="15" customHeight="1" x14ac:dyDescent="0.25">
      <c r="A697" t="s">
        <v>805</v>
      </c>
      <c r="B697" s="32">
        <f t="shared" ca="1" si="8"/>
        <v>44450</v>
      </c>
    </row>
    <row r="698" spans="1:2" ht="15" customHeight="1" x14ac:dyDescent="0.25">
      <c r="A698" t="s">
        <v>497</v>
      </c>
      <c r="B698" s="32">
        <f t="shared" ca="1" si="8"/>
        <v>44450</v>
      </c>
    </row>
    <row r="699" spans="1:2" ht="15" customHeight="1" x14ac:dyDescent="0.25">
      <c r="A699" t="s">
        <v>498</v>
      </c>
      <c r="B699" s="32">
        <f t="shared" ca="1" si="8"/>
        <v>44450</v>
      </c>
    </row>
    <row r="700" spans="1:2" ht="15" customHeight="1" x14ac:dyDescent="0.25">
      <c r="A700" t="s">
        <v>499</v>
      </c>
      <c r="B700" s="32">
        <f t="shared" ca="1" si="8"/>
        <v>44450</v>
      </c>
    </row>
    <row r="701" spans="1:2" ht="15" customHeight="1" x14ac:dyDescent="0.25">
      <c r="A701" t="s">
        <v>500</v>
      </c>
      <c r="B701" s="32">
        <f t="shared" ca="1" si="8"/>
        <v>44450</v>
      </c>
    </row>
    <row r="702" spans="1:2" ht="15" customHeight="1" x14ac:dyDescent="0.25">
      <c r="A702" t="s">
        <v>501</v>
      </c>
      <c r="B702" s="32">
        <f t="shared" ca="1" si="8"/>
        <v>44450</v>
      </c>
    </row>
    <row r="703" spans="1:2" ht="15" customHeight="1" x14ac:dyDescent="0.25">
      <c r="A703" t="s">
        <v>502</v>
      </c>
      <c r="B703" s="32">
        <f t="shared" ca="1" si="8"/>
        <v>44450</v>
      </c>
    </row>
    <row r="704" spans="1:2" ht="15" customHeight="1" x14ac:dyDescent="0.25">
      <c r="A704" t="s">
        <v>503</v>
      </c>
      <c r="B704" s="32">
        <f t="shared" ca="1" si="8"/>
        <v>44450</v>
      </c>
    </row>
    <row r="705" spans="1:2" ht="15" customHeight="1" x14ac:dyDescent="0.25">
      <c r="A705" t="s">
        <v>504</v>
      </c>
      <c r="B705" s="32">
        <f t="shared" ca="1" si="8"/>
        <v>44450</v>
      </c>
    </row>
    <row r="706" spans="1:2" ht="15" customHeight="1" x14ac:dyDescent="0.25">
      <c r="A706" t="s">
        <v>505</v>
      </c>
      <c r="B706" s="32">
        <f t="shared" ca="1" si="8"/>
        <v>44450</v>
      </c>
    </row>
    <row r="707" spans="1:2" ht="15" customHeight="1" x14ac:dyDescent="0.25">
      <c r="A707" t="s">
        <v>506</v>
      </c>
      <c r="B707" s="32">
        <f t="shared" ca="1" si="8"/>
        <v>44450</v>
      </c>
    </row>
    <row r="708" spans="1:2" ht="15" customHeight="1" x14ac:dyDescent="0.25">
      <c r="A708" t="s">
        <v>507</v>
      </c>
      <c r="B708" s="32">
        <f t="shared" ca="1" si="8"/>
        <v>44450</v>
      </c>
    </row>
    <row r="709" spans="1:2" ht="15" customHeight="1" x14ac:dyDescent="0.25">
      <c r="A709" t="s">
        <v>508</v>
      </c>
      <c r="B709" s="32">
        <f t="shared" ca="1" si="8"/>
        <v>44450</v>
      </c>
    </row>
    <row r="710" spans="1:2" ht="15" customHeight="1" x14ac:dyDescent="0.25">
      <c r="A710" t="s">
        <v>263</v>
      </c>
      <c r="B710" s="32">
        <f t="shared" ca="1" si="8"/>
        <v>44450</v>
      </c>
    </row>
    <row r="711" spans="1:2" ht="15" customHeight="1" x14ac:dyDescent="0.25">
      <c r="A711" t="s">
        <v>509</v>
      </c>
      <c r="B711" s="32">
        <f t="shared" ref="B711:B774" ca="1" si="9">TODAY()-150</f>
        <v>44450</v>
      </c>
    </row>
    <row r="712" spans="1:2" ht="15" customHeight="1" x14ac:dyDescent="0.25">
      <c r="A712" t="s">
        <v>510</v>
      </c>
      <c r="B712" s="32">
        <f t="shared" ca="1" si="9"/>
        <v>44450</v>
      </c>
    </row>
    <row r="713" spans="1:2" ht="15" customHeight="1" x14ac:dyDescent="0.25">
      <c r="A713" t="s">
        <v>511</v>
      </c>
      <c r="B713" s="32">
        <f t="shared" ca="1" si="9"/>
        <v>44450</v>
      </c>
    </row>
    <row r="714" spans="1:2" ht="15" customHeight="1" x14ac:dyDescent="0.25">
      <c r="A714" t="s">
        <v>512</v>
      </c>
      <c r="B714" s="32">
        <f t="shared" ca="1" si="9"/>
        <v>44450</v>
      </c>
    </row>
    <row r="715" spans="1:2" ht="15" customHeight="1" x14ac:dyDescent="0.25">
      <c r="A715" t="s">
        <v>513</v>
      </c>
      <c r="B715" s="32">
        <f t="shared" ca="1" si="9"/>
        <v>44450</v>
      </c>
    </row>
    <row r="716" spans="1:2" ht="15" customHeight="1" x14ac:dyDescent="0.25">
      <c r="A716" t="s">
        <v>514</v>
      </c>
      <c r="B716" s="32">
        <f t="shared" ca="1" si="9"/>
        <v>44450</v>
      </c>
    </row>
    <row r="717" spans="1:2" ht="15" customHeight="1" x14ac:dyDescent="0.25">
      <c r="A717" t="s">
        <v>515</v>
      </c>
      <c r="B717" s="32">
        <f t="shared" ca="1" si="9"/>
        <v>44450</v>
      </c>
    </row>
    <row r="718" spans="1:2" ht="15" customHeight="1" x14ac:dyDescent="0.25">
      <c r="A718" t="s">
        <v>516</v>
      </c>
      <c r="B718" s="32">
        <f t="shared" ca="1" si="9"/>
        <v>44450</v>
      </c>
    </row>
    <row r="719" spans="1:2" ht="15" customHeight="1" x14ac:dyDescent="0.25">
      <c r="A719" t="s">
        <v>517</v>
      </c>
      <c r="B719" s="32">
        <f t="shared" ca="1" si="9"/>
        <v>44450</v>
      </c>
    </row>
    <row r="720" spans="1:2" ht="15" customHeight="1" x14ac:dyDescent="0.25">
      <c r="A720" t="s">
        <v>518</v>
      </c>
      <c r="B720" s="32">
        <f t="shared" ca="1" si="9"/>
        <v>44450</v>
      </c>
    </row>
    <row r="721" spans="1:2" ht="15" customHeight="1" x14ac:dyDescent="0.25">
      <c r="A721" t="s">
        <v>519</v>
      </c>
      <c r="B721" s="32">
        <f t="shared" ca="1" si="9"/>
        <v>44450</v>
      </c>
    </row>
    <row r="722" spans="1:2" ht="15" customHeight="1" x14ac:dyDescent="0.25">
      <c r="A722" t="s">
        <v>520</v>
      </c>
      <c r="B722" s="32">
        <f t="shared" ca="1" si="9"/>
        <v>44450</v>
      </c>
    </row>
    <row r="723" spans="1:2" ht="15" customHeight="1" x14ac:dyDescent="0.25">
      <c r="A723" t="s">
        <v>521</v>
      </c>
      <c r="B723" s="32">
        <f t="shared" ca="1" si="9"/>
        <v>44450</v>
      </c>
    </row>
    <row r="724" spans="1:2" ht="15" customHeight="1" x14ac:dyDescent="0.25">
      <c r="A724" t="s">
        <v>522</v>
      </c>
      <c r="B724" s="32">
        <f t="shared" ca="1" si="9"/>
        <v>44450</v>
      </c>
    </row>
    <row r="725" spans="1:2" ht="15" customHeight="1" x14ac:dyDescent="0.25">
      <c r="A725" t="s">
        <v>523</v>
      </c>
      <c r="B725" s="32">
        <f t="shared" ca="1" si="9"/>
        <v>44450</v>
      </c>
    </row>
    <row r="726" spans="1:2" ht="15" customHeight="1" x14ac:dyDescent="0.25">
      <c r="A726" t="s">
        <v>524</v>
      </c>
      <c r="B726" s="32">
        <f t="shared" ca="1" si="9"/>
        <v>44450</v>
      </c>
    </row>
    <row r="727" spans="1:2" ht="15" customHeight="1" x14ac:dyDescent="0.25">
      <c r="A727" t="s">
        <v>525</v>
      </c>
      <c r="B727" s="32">
        <f t="shared" ca="1" si="9"/>
        <v>44450</v>
      </c>
    </row>
    <row r="728" spans="1:2" ht="15" customHeight="1" x14ac:dyDescent="0.25">
      <c r="A728" t="s">
        <v>806</v>
      </c>
      <c r="B728" s="32">
        <f t="shared" ca="1" si="9"/>
        <v>44450</v>
      </c>
    </row>
    <row r="729" spans="1:2" ht="15" customHeight="1" x14ac:dyDescent="0.25">
      <c r="A729" t="s">
        <v>806</v>
      </c>
      <c r="B729" s="32">
        <f t="shared" ca="1" si="9"/>
        <v>44450</v>
      </c>
    </row>
    <row r="730" spans="1:2" ht="15" customHeight="1" x14ac:dyDescent="0.25">
      <c r="A730" t="s">
        <v>806</v>
      </c>
      <c r="B730" s="32">
        <f t="shared" ca="1" si="9"/>
        <v>44450</v>
      </c>
    </row>
    <row r="731" spans="1:2" ht="15" customHeight="1" x14ac:dyDescent="0.25">
      <c r="A731" t="s">
        <v>806</v>
      </c>
      <c r="B731" s="32">
        <f t="shared" ca="1" si="9"/>
        <v>44450</v>
      </c>
    </row>
    <row r="732" spans="1:2" ht="15" customHeight="1" x14ac:dyDescent="0.25">
      <c r="A732" t="s">
        <v>806</v>
      </c>
      <c r="B732" s="32">
        <f t="shared" ca="1" si="9"/>
        <v>44450</v>
      </c>
    </row>
    <row r="733" spans="1:2" ht="15" customHeight="1" x14ac:dyDescent="0.25">
      <c r="A733" t="s">
        <v>806</v>
      </c>
      <c r="B733" s="32">
        <f t="shared" ca="1" si="9"/>
        <v>44450</v>
      </c>
    </row>
    <row r="734" spans="1:2" ht="15" customHeight="1" x14ac:dyDescent="0.25">
      <c r="A734" t="s">
        <v>807</v>
      </c>
      <c r="B734" s="32">
        <f t="shared" ca="1" si="9"/>
        <v>44450</v>
      </c>
    </row>
    <row r="735" spans="1:2" ht="15" customHeight="1" x14ac:dyDescent="0.25">
      <c r="A735" t="s">
        <v>807</v>
      </c>
      <c r="B735" s="32">
        <f t="shared" ca="1" si="9"/>
        <v>44450</v>
      </c>
    </row>
    <row r="736" spans="1:2" ht="15" customHeight="1" x14ac:dyDescent="0.25">
      <c r="A736" t="s">
        <v>808</v>
      </c>
      <c r="B736" s="32">
        <f t="shared" ca="1" si="9"/>
        <v>44450</v>
      </c>
    </row>
    <row r="737" spans="1:2" ht="15" customHeight="1" x14ac:dyDescent="0.25">
      <c r="A737" t="s">
        <v>808</v>
      </c>
      <c r="B737" s="32">
        <f t="shared" ca="1" si="9"/>
        <v>44450</v>
      </c>
    </row>
    <row r="738" spans="1:2" ht="15" customHeight="1" x14ac:dyDescent="0.25">
      <c r="A738" t="s">
        <v>809</v>
      </c>
      <c r="B738" s="32">
        <f t="shared" ca="1" si="9"/>
        <v>44450</v>
      </c>
    </row>
    <row r="739" spans="1:2" ht="15" customHeight="1" x14ac:dyDescent="0.25">
      <c r="A739" t="s">
        <v>809</v>
      </c>
      <c r="B739" s="32">
        <f t="shared" ca="1" si="9"/>
        <v>44450</v>
      </c>
    </row>
    <row r="740" spans="1:2" ht="15" customHeight="1" x14ac:dyDescent="0.25">
      <c r="A740" t="s">
        <v>810</v>
      </c>
      <c r="B740" s="32">
        <f t="shared" ca="1" si="9"/>
        <v>44450</v>
      </c>
    </row>
    <row r="741" spans="1:2" ht="15" customHeight="1" x14ac:dyDescent="0.25">
      <c r="A741" t="s">
        <v>810</v>
      </c>
      <c r="B741" s="32">
        <f t="shared" ca="1" si="9"/>
        <v>44450</v>
      </c>
    </row>
    <row r="742" spans="1:2" ht="15" customHeight="1" x14ac:dyDescent="0.25">
      <c r="A742" t="s">
        <v>810</v>
      </c>
      <c r="B742" s="32">
        <f t="shared" ca="1" si="9"/>
        <v>44450</v>
      </c>
    </row>
    <row r="743" spans="1:2" ht="15" customHeight="1" x14ac:dyDescent="0.25">
      <c r="A743" t="s">
        <v>810</v>
      </c>
      <c r="B743" s="32">
        <f t="shared" ca="1" si="9"/>
        <v>44450</v>
      </c>
    </row>
    <row r="744" spans="1:2" ht="15" customHeight="1" x14ac:dyDescent="0.25">
      <c r="A744" t="s">
        <v>810</v>
      </c>
      <c r="B744" s="32">
        <f t="shared" ca="1" si="9"/>
        <v>44450</v>
      </c>
    </row>
    <row r="745" spans="1:2" ht="15" customHeight="1" x14ac:dyDescent="0.25">
      <c r="A745" t="s">
        <v>810</v>
      </c>
      <c r="B745" s="32">
        <f t="shared" ca="1" si="9"/>
        <v>44450</v>
      </c>
    </row>
    <row r="746" spans="1:2" ht="15" customHeight="1" x14ac:dyDescent="0.25">
      <c r="A746" t="s">
        <v>264</v>
      </c>
      <c r="B746" s="32">
        <f t="shared" ca="1" si="9"/>
        <v>44450</v>
      </c>
    </row>
    <row r="747" spans="1:2" ht="15" customHeight="1" x14ac:dyDescent="0.25">
      <c r="A747" t="s">
        <v>265</v>
      </c>
      <c r="B747" s="32">
        <f t="shared" ca="1" si="9"/>
        <v>44450</v>
      </c>
    </row>
    <row r="748" spans="1:2" ht="15" customHeight="1" x14ac:dyDescent="0.25">
      <c r="A748" t="s">
        <v>266</v>
      </c>
      <c r="B748" s="32">
        <f t="shared" ca="1" si="9"/>
        <v>44450</v>
      </c>
    </row>
    <row r="749" spans="1:2" ht="15" customHeight="1" x14ac:dyDescent="0.25">
      <c r="A749" t="s">
        <v>267</v>
      </c>
      <c r="B749" s="32">
        <f t="shared" ca="1" si="9"/>
        <v>44450</v>
      </c>
    </row>
    <row r="750" spans="1:2" ht="15" customHeight="1" x14ac:dyDescent="0.25">
      <c r="A750" t="s">
        <v>268</v>
      </c>
      <c r="B750" s="32">
        <f t="shared" ca="1" si="9"/>
        <v>44450</v>
      </c>
    </row>
    <row r="751" spans="1:2" ht="15" customHeight="1" x14ac:dyDescent="0.25">
      <c r="A751" t="s">
        <v>269</v>
      </c>
      <c r="B751" s="32">
        <f t="shared" ca="1" si="9"/>
        <v>44450</v>
      </c>
    </row>
    <row r="752" spans="1:2" ht="15" customHeight="1" x14ac:dyDescent="0.25">
      <c r="A752" t="s">
        <v>811</v>
      </c>
      <c r="B752" s="32">
        <f t="shared" ca="1" si="9"/>
        <v>44450</v>
      </c>
    </row>
    <row r="753" spans="1:2" ht="15" customHeight="1" x14ac:dyDescent="0.25">
      <c r="A753" t="s">
        <v>811</v>
      </c>
      <c r="B753" s="32">
        <f t="shared" ca="1" si="9"/>
        <v>44450</v>
      </c>
    </row>
    <row r="754" spans="1:2" ht="15" customHeight="1" x14ac:dyDescent="0.25">
      <c r="A754" t="s">
        <v>811</v>
      </c>
      <c r="B754" s="32">
        <f t="shared" ca="1" si="9"/>
        <v>44450</v>
      </c>
    </row>
    <row r="755" spans="1:2" ht="15" customHeight="1" x14ac:dyDescent="0.25">
      <c r="A755" t="s">
        <v>811</v>
      </c>
      <c r="B755" s="32">
        <f t="shared" ca="1" si="9"/>
        <v>44450</v>
      </c>
    </row>
    <row r="756" spans="1:2" ht="15" customHeight="1" x14ac:dyDescent="0.25">
      <c r="A756" t="s">
        <v>812</v>
      </c>
      <c r="B756" s="32">
        <f t="shared" ca="1" si="9"/>
        <v>44450</v>
      </c>
    </row>
    <row r="757" spans="1:2" ht="15" customHeight="1" x14ac:dyDescent="0.25">
      <c r="A757" t="s">
        <v>812</v>
      </c>
      <c r="B757" s="32">
        <f t="shared" ca="1" si="9"/>
        <v>44450</v>
      </c>
    </row>
    <row r="758" spans="1:2" ht="15" customHeight="1" x14ac:dyDescent="0.25">
      <c r="A758" t="s">
        <v>812</v>
      </c>
      <c r="B758" s="32">
        <f t="shared" ca="1" si="9"/>
        <v>44450</v>
      </c>
    </row>
    <row r="759" spans="1:2" ht="15" customHeight="1" x14ac:dyDescent="0.25">
      <c r="A759" t="s">
        <v>813</v>
      </c>
      <c r="B759" s="32">
        <f t="shared" ca="1" si="9"/>
        <v>44450</v>
      </c>
    </row>
    <row r="760" spans="1:2" ht="15" customHeight="1" x14ac:dyDescent="0.25">
      <c r="A760" t="s">
        <v>814</v>
      </c>
      <c r="B760" s="32">
        <f t="shared" ca="1" si="9"/>
        <v>44450</v>
      </c>
    </row>
    <row r="761" spans="1:2" ht="15" customHeight="1" x14ac:dyDescent="0.25">
      <c r="A761" t="s">
        <v>814</v>
      </c>
      <c r="B761" s="32">
        <f t="shared" ca="1" si="9"/>
        <v>44450</v>
      </c>
    </row>
    <row r="762" spans="1:2" ht="15" customHeight="1" x14ac:dyDescent="0.25">
      <c r="A762" t="s">
        <v>814</v>
      </c>
      <c r="B762" s="32">
        <f t="shared" ca="1" si="9"/>
        <v>44450</v>
      </c>
    </row>
    <row r="763" spans="1:2" ht="15" customHeight="1" x14ac:dyDescent="0.25">
      <c r="A763" t="s">
        <v>814</v>
      </c>
      <c r="B763" s="32">
        <f t="shared" ca="1" si="9"/>
        <v>44450</v>
      </c>
    </row>
    <row r="764" spans="1:2" ht="15" customHeight="1" x14ac:dyDescent="0.25">
      <c r="A764" t="s">
        <v>814</v>
      </c>
      <c r="B764" s="32">
        <f t="shared" ca="1" si="9"/>
        <v>44450</v>
      </c>
    </row>
    <row r="765" spans="1:2" ht="15" customHeight="1" x14ac:dyDescent="0.25">
      <c r="A765" t="s">
        <v>815</v>
      </c>
      <c r="B765" s="32">
        <f t="shared" ca="1" si="9"/>
        <v>44450</v>
      </c>
    </row>
    <row r="766" spans="1:2" ht="15" customHeight="1" x14ac:dyDescent="0.25">
      <c r="A766" t="s">
        <v>816</v>
      </c>
      <c r="B766" s="32">
        <f t="shared" ca="1" si="9"/>
        <v>44450</v>
      </c>
    </row>
    <row r="767" spans="1:2" ht="15" customHeight="1" x14ac:dyDescent="0.25">
      <c r="A767" t="s">
        <v>817</v>
      </c>
      <c r="B767" s="32">
        <f t="shared" ca="1" si="9"/>
        <v>44450</v>
      </c>
    </row>
    <row r="768" spans="1:2" ht="15" customHeight="1" x14ac:dyDescent="0.25">
      <c r="A768" t="s">
        <v>817</v>
      </c>
      <c r="B768" s="32">
        <f t="shared" ca="1" si="9"/>
        <v>44450</v>
      </c>
    </row>
    <row r="769" spans="1:2" ht="15" customHeight="1" x14ac:dyDescent="0.25">
      <c r="A769" t="s">
        <v>817</v>
      </c>
      <c r="B769" s="32">
        <f t="shared" ca="1" si="9"/>
        <v>44450</v>
      </c>
    </row>
    <row r="770" spans="1:2" ht="15" customHeight="1" x14ac:dyDescent="0.25">
      <c r="A770" t="s">
        <v>817</v>
      </c>
      <c r="B770" s="32">
        <f t="shared" ca="1" si="9"/>
        <v>44450</v>
      </c>
    </row>
    <row r="771" spans="1:2" ht="15" customHeight="1" x14ac:dyDescent="0.25">
      <c r="A771" t="s">
        <v>818</v>
      </c>
      <c r="B771" s="32">
        <f t="shared" ca="1" si="9"/>
        <v>44450</v>
      </c>
    </row>
    <row r="772" spans="1:2" ht="15" customHeight="1" x14ac:dyDescent="0.25">
      <c r="A772" t="s">
        <v>818</v>
      </c>
      <c r="B772" s="32">
        <f t="shared" ca="1" si="9"/>
        <v>44450</v>
      </c>
    </row>
    <row r="773" spans="1:2" ht="15" customHeight="1" x14ac:dyDescent="0.25">
      <c r="A773" t="s">
        <v>818</v>
      </c>
      <c r="B773" s="32">
        <f t="shared" ca="1" si="9"/>
        <v>44450</v>
      </c>
    </row>
    <row r="774" spans="1:2" ht="15" customHeight="1" x14ac:dyDescent="0.25">
      <c r="A774" t="s">
        <v>818</v>
      </c>
      <c r="B774" s="32">
        <f t="shared" ca="1" si="9"/>
        <v>44450</v>
      </c>
    </row>
    <row r="775" spans="1:2" ht="15" customHeight="1" x14ac:dyDescent="0.25">
      <c r="A775" t="s">
        <v>818</v>
      </c>
      <c r="B775" s="32">
        <f t="shared" ref="B775:B838" ca="1" si="10">TODAY()-150</f>
        <v>44450</v>
      </c>
    </row>
    <row r="776" spans="1:2" ht="15" customHeight="1" x14ac:dyDescent="0.25">
      <c r="A776" t="s">
        <v>819</v>
      </c>
      <c r="B776" s="32">
        <f t="shared" ca="1" si="10"/>
        <v>44450</v>
      </c>
    </row>
    <row r="777" spans="1:2" ht="15" customHeight="1" x14ac:dyDescent="0.25">
      <c r="A777" t="s">
        <v>818</v>
      </c>
      <c r="B777" s="32">
        <f t="shared" ca="1" si="10"/>
        <v>44450</v>
      </c>
    </row>
    <row r="778" spans="1:2" ht="15" customHeight="1" x14ac:dyDescent="0.25">
      <c r="A778" t="s">
        <v>820</v>
      </c>
      <c r="B778" s="32">
        <f t="shared" ca="1" si="10"/>
        <v>44450</v>
      </c>
    </row>
    <row r="779" spans="1:2" ht="15" customHeight="1" x14ac:dyDescent="0.25">
      <c r="A779" t="s">
        <v>821</v>
      </c>
      <c r="B779" s="32">
        <f t="shared" ca="1" si="10"/>
        <v>44450</v>
      </c>
    </row>
    <row r="780" spans="1:2" ht="15" customHeight="1" x14ac:dyDescent="0.25">
      <c r="A780" t="s">
        <v>822</v>
      </c>
      <c r="B780" s="32">
        <f t="shared" ca="1" si="10"/>
        <v>44450</v>
      </c>
    </row>
    <row r="781" spans="1:2" ht="15" customHeight="1" x14ac:dyDescent="0.25">
      <c r="A781" t="s">
        <v>822</v>
      </c>
      <c r="B781" s="32">
        <f t="shared" ca="1" si="10"/>
        <v>44450</v>
      </c>
    </row>
    <row r="782" spans="1:2" ht="15" customHeight="1" x14ac:dyDescent="0.25">
      <c r="A782" t="s">
        <v>822</v>
      </c>
      <c r="B782" s="32">
        <f t="shared" ca="1" si="10"/>
        <v>44450</v>
      </c>
    </row>
    <row r="783" spans="1:2" ht="15" customHeight="1" x14ac:dyDescent="0.25">
      <c r="A783" t="s">
        <v>822</v>
      </c>
      <c r="B783" s="32">
        <f t="shared" ca="1" si="10"/>
        <v>44450</v>
      </c>
    </row>
    <row r="784" spans="1:2" ht="15" customHeight="1" x14ac:dyDescent="0.25">
      <c r="A784" t="s">
        <v>822</v>
      </c>
      <c r="B784" s="32">
        <f t="shared" ca="1" si="10"/>
        <v>44450</v>
      </c>
    </row>
    <row r="785" spans="1:2" ht="15" customHeight="1" x14ac:dyDescent="0.25">
      <c r="A785" t="s">
        <v>822</v>
      </c>
      <c r="B785" s="32">
        <f t="shared" ca="1" si="10"/>
        <v>44450</v>
      </c>
    </row>
    <row r="786" spans="1:2" ht="15" customHeight="1" x14ac:dyDescent="0.25">
      <c r="A786" t="s">
        <v>822</v>
      </c>
      <c r="B786" s="32">
        <f t="shared" ca="1" si="10"/>
        <v>44450</v>
      </c>
    </row>
    <row r="787" spans="1:2" ht="15" customHeight="1" x14ac:dyDescent="0.25">
      <c r="A787" t="s">
        <v>822</v>
      </c>
      <c r="B787" s="32">
        <f t="shared" ca="1" si="10"/>
        <v>44450</v>
      </c>
    </row>
    <row r="788" spans="1:2" ht="15" customHeight="1" x14ac:dyDescent="0.25">
      <c r="A788" t="s">
        <v>822</v>
      </c>
      <c r="B788" s="32">
        <f t="shared" ca="1" si="10"/>
        <v>44450</v>
      </c>
    </row>
    <row r="789" spans="1:2" ht="15" customHeight="1" x14ac:dyDescent="0.25">
      <c r="A789" t="s">
        <v>822</v>
      </c>
      <c r="B789" s="32">
        <f t="shared" ca="1" si="10"/>
        <v>44450</v>
      </c>
    </row>
    <row r="790" spans="1:2" ht="15" customHeight="1" x14ac:dyDescent="0.25">
      <c r="A790" t="s">
        <v>822</v>
      </c>
      <c r="B790" s="32">
        <f t="shared" ca="1" si="10"/>
        <v>44450</v>
      </c>
    </row>
    <row r="791" spans="1:2" ht="15" customHeight="1" x14ac:dyDescent="0.25">
      <c r="A791" t="s">
        <v>270</v>
      </c>
      <c r="B791" s="32">
        <f t="shared" ca="1" si="10"/>
        <v>44450</v>
      </c>
    </row>
    <row r="792" spans="1:2" ht="15" customHeight="1" x14ac:dyDescent="0.25">
      <c r="A792" t="s">
        <v>271</v>
      </c>
      <c r="B792" s="32">
        <f t="shared" ca="1" si="10"/>
        <v>44450</v>
      </c>
    </row>
    <row r="793" spans="1:2" ht="15" customHeight="1" x14ac:dyDescent="0.25">
      <c r="A793" t="s">
        <v>272</v>
      </c>
      <c r="B793" s="32">
        <f t="shared" ca="1" si="10"/>
        <v>44450</v>
      </c>
    </row>
    <row r="794" spans="1:2" ht="15" customHeight="1" x14ac:dyDescent="0.25">
      <c r="A794" t="s">
        <v>273</v>
      </c>
      <c r="B794" s="32">
        <f t="shared" ca="1" si="10"/>
        <v>44450</v>
      </c>
    </row>
    <row r="795" spans="1:2" ht="15" customHeight="1" x14ac:dyDescent="0.25">
      <c r="A795" t="s">
        <v>274</v>
      </c>
      <c r="B795" s="32">
        <f t="shared" ca="1" si="10"/>
        <v>44450</v>
      </c>
    </row>
    <row r="796" spans="1:2" ht="15" customHeight="1" x14ac:dyDescent="0.25">
      <c r="A796" t="s">
        <v>275</v>
      </c>
      <c r="B796" s="32">
        <f t="shared" ca="1" si="10"/>
        <v>44450</v>
      </c>
    </row>
    <row r="797" spans="1:2" ht="15" customHeight="1" x14ac:dyDescent="0.25">
      <c r="A797" t="s">
        <v>276</v>
      </c>
      <c r="B797" s="32">
        <f t="shared" ca="1" si="10"/>
        <v>44450</v>
      </c>
    </row>
    <row r="798" spans="1:2" ht="15" customHeight="1" x14ac:dyDescent="0.25">
      <c r="A798" t="s">
        <v>277</v>
      </c>
      <c r="B798" s="32">
        <f t="shared" ca="1" si="10"/>
        <v>44450</v>
      </c>
    </row>
    <row r="799" spans="1:2" ht="15" customHeight="1" x14ac:dyDescent="0.25">
      <c r="A799" t="s">
        <v>278</v>
      </c>
      <c r="B799" s="32">
        <f t="shared" ca="1" si="10"/>
        <v>44450</v>
      </c>
    </row>
    <row r="800" spans="1:2" ht="15" customHeight="1" x14ac:dyDescent="0.25">
      <c r="A800" t="s">
        <v>279</v>
      </c>
      <c r="B800" s="32">
        <f t="shared" ca="1" si="10"/>
        <v>44450</v>
      </c>
    </row>
    <row r="801" spans="1:2" ht="15" customHeight="1" x14ac:dyDescent="0.25">
      <c r="A801" t="s">
        <v>823</v>
      </c>
      <c r="B801" s="32">
        <f t="shared" ca="1" si="10"/>
        <v>44450</v>
      </c>
    </row>
    <row r="802" spans="1:2" ht="15" customHeight="1" x14ac:dyDescent="0.25">
      <c r="A802" t="s">
        <v>823</v>
      </c>
      <c r="B802" s="32">
        <f t="shared" ca="1" si="10"/>
        <v>44450</v>
      </c>
    </row>
    <row r="803" spans="1:2" ht="15" customHeight="1" x14ac:dyDescent="0.25">
      <c r="A803" t="s">
        <v>824</v>
      </c>
      <c r="B803" s="32">
        <f t="shared" ca="1" si="10"/>
        <v>44450</v>
      </c>
    </row>
    <row r="804" spans="1:2" ht="15" customHeight="1" x14ac:dyDescent="0.25">
      <c r="A804" t="s">
        <v>824</v>
      </c>
      <c r="B804" s="32">
        <f t="shared" ca="1" si="10"/>
        <v>44450</v>
      </c>
    </row>
    <row r="805" spans="1:2" ht="15" customHeight="1" x14ac:dyDescent="0.25">
      <c r="A805" t="s">
        <v>824</v>
      </c>
      <c r="B805" s="32">
        <f t="shared" ca="1" si="10"/>
        <v>44450</v>
      </c>
    </row>
    <row r="806" spans="1:2" ht="15" customHeight="1" x14ac:dyDescent="0.25">
      <c r="A806" t="s">
        <v>825</v>
      </c>
      <c r="B806" s="32">
        <f t="shared" ca="1" si="10"/>
        <v>44450</v>
      </c>
    </row>
    <row r="807" spans="1:2" ht="15" customHeight="1" x14ac:dyDescent="0.25">
      <c r="A807" t="s">
        <v>825</v>
      </c>
      <c r="B807" s="32">
        <f t="shared" ca="1" si="10"/>
        <v>44450</v>
      </c>
    </row>
    <row r="808" spans="1:2" ht="15" customHeight="1" x14ac:dyDescent="0.25">
      <c r="A808" t="s">
        <v>825</v>
      </c>
      <c r="B808" s="32">
        <f t="shared" ca="1" si="10"/>
        <v>44450</v>
      </c>
    </row>
    <row r="809" spans="1:2" ht="15" customHeight="1" x14ac:dyDescent="0.25">
      <c r="A809" t="s">
        <v>825</v>
      </c>
      <c r="B809" s="32">
        <f t="shared" ca="1" si="10"/>
        <v>44450</v>
      </c>
    </row>
    <row r="810" spans="1:2" ht="15" customHeight="1" x14ac:dyDescent="0.25">
      <c r="A810" t="s">
        <v>826</v>
      </c>
      <c r="B810" s="32">
        <f t="shared" ca="1" si="10"/>
        <v>44450</v>
      </c>
    </row>
    <row r="811" spans="1:2" ht="15" customHeight="1" x14ac:dyDescent="0.25">
      <c r="A811" t="s">
        <v>826</v>
      </c>
      <c r="B811" s="32">
        <f t="shared" ca="1" si="10"/>
        <v>44450</v>
      </c>
    </row>
    <row r="812" spans="1:2" ht="15" customHeight="1" x14ac:dyDescent="0.25">
      <c r="A812" t="s">
        <v>826</v>
      </c>
      <c r="B812" s="32">
        <f t="shared" ca="1" si="10"/>
        <v>44450</v>
      </c>
    </row>
    <row r="813" spans="1:2" ht="15" customHeight="1" x14ac:dyDescent="0.25">
      <c r="A813" t="s">
        <v>826</v>
      </c>
      <c r="B813" s="32">
        <f t="shared" ca="1" si="10"/>
        <v>44450</v>
      </c>
    </row>
    <row r="814" spans="1:2" ht="15" customHeight="1" x14ac:dyDescent="0.25">
      <c r="A814" t="s">
        <v>826</v>
      </c>
      <c r="B814" s="32">
        <f t="shared" ca="1" si="10"/>
        <v>44450</v>
      </c>
    </row>
    <row r="815" spans="1:2" ht="15" customHeight="1" x14ac:dyDescent="0.25">
      <c r="A815" t="s">
        <v>827</v>
      </c>
      <c r="B815" s="32">
        <f t="shared" ca="1" si="10"/>
        <v>44450</v>
      </c>
    </row>
    <row r="816" spans="1:2" ht="15" customHeight="1" x14ac:dyDescent="0.25">
      <c r="A816" t="s">
        <v>827</v>
      </c>
      <c r="B816" s="32">
        <f t="shared" ca="1" si="10"/>
        <v>44450</v>
      </c>
    </row>
    <row r="817" spans="1:2" ht="15" customHeight="1" x14ac:dyDescent="0.25">
      <c r="A817" t="s">
        <v>827</v>
      </c>
      <c r="B817" s="32">
        <f t="shared" ca="1" si="10"/>
        <v>44450</v>
      </c>
    </row>
    <row r="818" spans="1:2" ht="15" customHeight="1" x14ac:dyDescent="0.25">
      <c r="A818" t="s">
        <v>827</v>
      </c>
      <c r="B818" s="32">
        <f t="shared" ca="1" si="10"/>
        <v>44450</v>
      </c>
    </row>
    <row r="819" spans="1:2" ht="15" customHeight="1" x14ac:dyDescent="0.25">
      <c r="A819" t="s">
        <v>827</v>
      </c>
      <c r="B819" s="32">
        <f t="shared" ca="1" si="10"/>
        <v>44450</v>
      </c>
    </row>
    <row r="820" spans="1:2" ht="15" customHeight="1" x14ac:dyDescent="0.25">
      <c r="A820" t="s">
        <v>828</v>
      </c>
      <c r="B820" s="32">
        <f t="shared" ca="1" si="10"/>
        <v>44450</v>
      </c>
    </row>
    <row r="821" spans="1:2" ht="15" customHeight="1" x14ac:dyDescent="0.25">
      <c r="A821" t="s">
        <v>828</v>
      </c>
      <c r="B821" s="32">
        <f t="shared" ca="1" si="10"/>
        <v>44450</v>
      </c>
    </row>
    <row r="822" spans="1:2" ht="15" customHeight="1" x14ac:dyDescent="0.25">
      <c r="A822" t="s">
        <v>828</v>
      </c>
      <c r="B822" s="32">
        <f t="shared" ca="1" si="10"/>
        <v>44450</v>
      </c>
    </row>
    <row r="823" spans="1:2" ht="15" customHeight="1" x14ac:dyDescent="0.25">
      <c r="A823" t="s">
        <v>829</v>
      </c>
      <c r="B823" s="32">
        <f t="shared" ca="1" si="10"/>
        <v>44450</v>
      </c>
    </row>
    <row r="824" spans="1:2" ht="15" customHeight="1" x14ac:dyDescent="0.25">
      <c r="A824" t="s">
        <v>829</v>
      </c>
      <c r="B824" s="32">
        <f t="shared" ca="1" si="10"/>
        <v>44450</v>
      </c>
    </row>
    <row r="825" spans="1:2" ht="15" customHeight="1" x14ac:dyDescent="0.25">
      <c r="A825" t="s">
        <v>829</v>
      </c>
      <c r="B825" s="32">
        <f t="shared" ca="1" si="10"/>
        <v>44450</v>
      </c>
    </row>
    <row r="826" spans="1:2" ht="15" customHeight="1" x14ac:dyDescent="0.25">
      <c r="A826" t="s">
        <v>829</v>
      </c>
      <c r="B826" s="32">
        <f t="shared" ca="1" si="10"/>
        <v>44450</v>
      </c>
    </row>
    <row r="827" spans="1:2" ht="15" customHeight="1" x14ac:dyDescent="0.25">
      <c r="A827" t="s">
        <v>830</v>
      </c>
      <c r="B827" s="32">
        <f t="shared" ca="1" si="10"/>
        <v>44450</v>
      </c>
    </row>
    <row r="828" spans="1:2" ht="15" customHeight="1" x14ac:dyDescent="0.25">
      <c r="A828" t="s">
        <v>830</v>
      </c>
      <c r="B828" s="32">
        <f t="shared" ca="1" si="10"/>
        <v>44450</v>
      </c>
    </row>
    <row r="829" spans="1:2" ht="15" customHeight="1" x14ac:dyDescent="0.25">
      <c r="A829" t="s">
        <v>830</v>
      </c>
      <c r="B829" s="32">
        <f t="shared" ca="1" si="10"/>
        <v>44450</v>
      </c>
    </row>
    <row r="830" spans="1:2" ht="15" customHeight="1" x14ac:dyDescent="0.25">
      <c r="A830" t="s">
        <v>830</v>
      </c>
      <c r="B830" s="32">
        <f t="shared" ca="1" si="10"/>
        <v>44450</v>
      </c>
    </row>
    <row r="831" spans="1:2" ht="15" customHeight="1" x14ac:dyDescent="0.25">
      <c r="A831" t="s">
        <v>830</v>
      </c>
      <c r="B831" s="32">
        <f t="shared" ca="1" si="10"/>
        <v>44450</v>
      </c>
    </row>
    <row r="832" spans="1:2" ht="15" customHeight="1" x14ac:dyDescent="0.25">
      <c r="A832" t="s">
        <v>831</v>
      </c>
      <c r="B832" s="32">
        <f t="shared" ca="1" si="10"/>
        <v>44450</v>
      </c>
    </row>
    <row r="833" spans="1:2" ht="15" customHeight="1" x14ac:dyDescent="0.25">
      <c r="A833" t="s">
        <v>831</v>
      </c>
      <c r="B833" s="32">
        <f t="shared" ca="1" si="10"/>
        <v>44450</v>
      </c>
    </row>
    <row r="834" spans="1:2" ht="15" customHeight="1" x14ac:dyDescent="0.25">
      <c r="A834" t="s">
        <v>831</v>
      </c>
      <c r="B834" s="32">
        <f t="shared" ca="1" si="10"/>
        <v>44450</v>
      </c>
    </row>
    <row r="835" spans="1:2" ht="15" customHeight="1" x14ac:dyDescent="0.25">
      <c r="A835" t="s">
        <v>831</v>
      </c>
      <c r="B835" s="32">
        <f t="shared" ca="1" si="10"/>
        <v>44450</v>
      </c>
    </row>
    <row r="836" spans="1:2" ht="15" customHeight="1" x14ac:dyDescent="0.25">
      <c r="A836" t="s">
        <v>831</v>
      </c>
      <c r="B836" s="32">
        <f t="shared" ca="1" si="10"/>
        <v>44450</v>
      </c>
    </row>
    <row r="837" spans="1:2" ht="15" customHeight="1" x14ac:dyDescent="0.25">
      <c r="A837" t="s">
        <v>832</v>
      </c>
      <c r="B837" s="32">
        <f t="shared" ca="1" si="10"/>
        <v>44450</v>
      </c>
    </row>
    <row r="838" spans="1:2" ht="15" customHeight="1" x14ac:dyDescent="0.25">
      <c r="A838" t="s">
        <v>832</v>
      </c>
      <c r="B838" s="32">
        <f t="shared" ca="1" si="10"/>
        <v>44450</v>
      </c>
    </row>
    <row r="839" spans="1:2" ht="15" customHeight="1" x14ac:dyDescent="0.25">
      <c r="A839" t="s">
        <v>833</v>
      </c>
      <c r="B839" s="32">
        <f t="shared" ref="B839:B902" ca="1" si="11">TODAY()-150</f>
        <v>44450</v>
      </c>
    </row>
    <row r="840" spans="1:2" ht="15" customHeight="1" x14ac:dyDescent="0.25">
      <c r="A840" t="s">
        <v>833</v>
      </c>
      <c r="B840" s="32">
        <f t="shared" ca="1" si="11"/>
        <v>44450</v>
      </c>
    </row>
    <row r="841" spans="1:2" ht="15" customHeight="1" x14ac:dyDescent="0.25">
      <c r="A841" t="s">
        <v>833</v>
      </c>
      <c r="B841" s="32">
        <f t="shared" ca="1" si="11"/>
        <v>44450</v>
      </c>
    </row>
    <row r="842" spans="1:2" ht="15" customHeight="1" x14ac:dyDescent="0.25">
      <c r="A842" t="s">
        <v>834</v>
      </c>
      <c r="B842" s="32">
        <f t="shared" ca="1" si="11"/>
        <v>44450</v>
      </c>
    </row>
    <row r="843" spans="1:2" ht="15" customHeight="1" x14ac:dyDescent="0.25">
      <c r="A843" t="s">
        <v>834</v>
      </c>
      <c r="B843" s="32">
        <f t="shared" ca="1" si="11"/>
        <v>44450</v>
      </c>
    </row>
    <row r="844" spans="1:2" ht="15" customHeight="1" x14ac:dyDescent="0.25">
      <c r="A844" t="s">
        <v>834</v>
      </c>
      <c r="B844" s="32">
        <f t="shared" ca="1" si="11"/>
        <v>44450</v>
      </c>
    </row>
    <row r="845" spans="1:2" ht="15" customHeight="1" x14ac:dyDescent="0.25">
      <c r="A845" t="s">
        <v>834</v>
      </c>
      <c r="B845" s="32">
        <f t="shared" ca="1" si="11"/>
        <v>44450</v>
      </c>
    </row>
    <row r="846" spans="1:2" ht="15" customHeight="1" x14ac:dyDescent="0.25">
      <c r="A846" t="s">
        <v>834</v>
      </c>
      <c r="B846" s="32">
        <f t="shared" ca="1" si="11"/>
        <v>44450</v>
      </c>
    </row>
    <row r="847" spans="1:2" ht="15" customHeight="1" x14ac:dyDescent="0.25">
      <c r="A847" t="s">
        <v>835</v>
      </c>
      <c r="B847" s="32">
        <f t="shared" ca="1" si="11"/>
        <v>44450</v>
      </c>
    </row>
    <row r="848" spans="1:2" ht="15" customHeight="1" x14ac:dyDescent="0.25">
      <c r="A848" t="s">
        <v>835</v>
      </c>
      <c r="B848" s="32">
        <f t="shared" ca="1" si="11"/>
        <v>44450</v>
      </c>
    </row>
    <row r="849" spans="1:2" ht="15" customHeight="1" x14ac:dyDescent="0.25">
      <c r="A849" t="s">
        <v>835</v>
      </c>
      <c r="B849" s="32">
        <f t="shared" ca="1" si="11"/>
        <v>44450</v>
      </c>
    </row>
    <row r="850" spans="1:2" ht="15" customHeight="1" x14ac:dyDescent="0.25">
      <c r="A850" t="s">
        <v>835</v>
      </c>
      <c r="B850" s="32">
        <f t="shared" ca="1" si="11"/>
        <v>44450</v>
      </c>
    </row>
    <row r="851" spans="1:2" ht="15" customHeight="1" x14ac:dyDescent="0.25">
      <c r="A851" t="s">
        <v>835</v>
      </c>
      <c r="B851" s="32">
        <f t="shared" ca="1" si="11"/>
        <v>44450</v>
      </c>
    </row>
    <row r="852" spans="1:2" ht="15" customHeight="1" x14ac:dyDescent="0.25">
      <c r="A852" t="s">
        <v>836</v>
      </c>
      <c r="B852" s="32">
        <f t="shared" ca="1" si="11"/>
        <v>44450</v>
      </c>
    </row>
    <row r="853" spans="1:2" ht="15" customHeight="1" x14ac:dyDescent="0.25">
      <c r="A853" t="s">
        <v>280</v>
      </c>
      <c r="B853" s="32">
        <f t="shared" ca="1" si="11"/>
        <v>44450</v>
      </c>
    </row>
    <row r="854" spans="1:2" ht="15" customHeight="1" x14ac:dyDescent="0.25">
      <c r="A854" t="s">
        <v>837</v>
      </c>
      <c r="B854" s="32">
        <f t="shared" ca="1" si="11"/>
        <v>44450</v>
      </c>
    </row>
    <row r="855" spans="1:2" ht="15" customHeight="1" x14ac:dyDescent="0.25">
      <c r="A855" t="s">
        <v>837</v>
      </c>
      <c r="B855" s="32">
        <f t="shared" ca="1" si="11"/>
        <v>44450</v>
      </c>
    </row>
    <row r="856" spans="1:2" ht="15" customHeight="1" x14ac:dyDescent="0.25">
      <c r="A856" t="s">
        <v>837</v>
      </c>
      <c r="B856" s="32">
        <f t="shared" ca="1" si="11"/>
        <v>44450</v>
      </c>
    </row>
    <row r="857" spans="1:2" ht="15" customHeight="1" x14ac:dyDescent="0.25">
      <c r="A857" t="s">
        <v>837</v>
      </c>
      <c r="B857" s="32">
        <f t="shared" ca="1" si="11"/>
        <v>44450</v>
      </c>
    </row>
    <row r="858" spans="1:2" ht="15" customHeight="1" x14ac:dyDescent="0.25">
      <c r="A858" t="s">
        <v>838</v>
      </c>
      <c r="B858" s="32">
        <f t="shared" ca="1" si="11"/>
        <v>44450</v>
      </c>
    </row>
    <row r="859" spans="1:2" ht="15" customHeight="1" x14ac:dyDescent="0.25">
      <c r="A859" t="s">
        <v>838</v>
      </c>
      <c r="B859" s="32">
        <f t="shared" ca="1" si="11"/>
        <v>44450</v>
      </c>
    </row>
    <row r="860" spans="1:2" ht="15" customHeight="1" x14ac:dyDescent="0.25">
      <c r="A860" t="s">
        <v>838</v>
      </c>
      <c r="B860" s="32">
        <f t="shared" ca="1" si="11"/>
        <v>44450</v>
      </c>
    </row>
    <row r="861" spans="1:2" ht="15" customHeight="1" x14ac:dyDescent="0.25">
      <c r="A861" t="s">
        <v>838</v>
      </c>
      <c r="B861" s="32">
        <f t="shared" ca="1" si="11"/>
        <v>44450</v>
      </c>
    </row>
    <row r="862" spans="1:2" ht="15" customHeight="1" x14ac:dyDescent="0.25">
      <c r="A862" t="s">
        <v>838</v>
      </c>
      <c r="B862" s="32">
        <f t="shared" ca="1" si="11"/>
        <v>44450</v>
      </c>
    </row>
    <row r="863" spans="1:2" ht="15" customHeight="1" x14ac:dyDescent="0.25">
      <c r="A863" t="s">
        <v>839</v>
      </c>
      <c r="B863" s="32">
        <f t="shared" ca="1" si="11"/>
        <v>44450</v>
      </c>
    </row>
    <row r="864" spans="1:2" ht="15" customHeight="1" x14ac:dyDescent="0.25">
      <c r="A864" t="s">
        <v>839</v>
      </c>
      <c r="B864" s="32">
        <f t="shared" ca="1" si="11"/>
        <v>44450</v>
      </c>
    </row>
    <row r="865" spans="1:2" ht="15" customHeight="1" x14ac:dyDescent="0.25">
      <c r="A865" t="s">
        <v>839</v>
      </c>
      <c r="B865" s="32">
        <f t="shared" ca="1" si="11"/>
        <v>44450</v>
      </c>
    </row>
    <row r="866" spans="1:2" ht="15" customHeight="1" x14ac:dyDescent="0.25">
      <c r="A866" t="s">
        <v>839</v>
      </c>
      <c r="B866" s="32">
        <f t="shared" ca="1" si="11"/>
        <v>44450</v>
      </c>
    </row>
    <row r="867" spans="1:2" ht="15" customHeight="1" x14ac:dyDescent="0.25">
      <c r="A867" t="s">
        <v>839</v>
      </c>
      <c r="B867" s="32">
        <f t="shared" ca="1" si="11"/>
        <v>44450</v>
      </c>
    </row>
    <row r="868" spans="1:2" ht="15" customHeight="1" x14ac:dyDescent="0.25">
      <c r="A868" t="s">
        <v>839</v>
      </c>
      <c r="B868" s="32">
        <f t="shared" ca="1" si="11"/>
        <v>44450</v>
      </c>
    </row>
    <row r="869" spans="1:2" ht="15" customHeight="1" x14ac:dyDescent="0.25">
      <c r="A869" t="s">
        <v>839</v>
      </c>
      <c r="B869" s="32">
        <f t="shared" ca="1" si="11"/>
        <v>44450</v>
      </c>
    </row>
    <row r="870" spans="1:2" ht="15" customHeight="1" x14ac:dyDescent="0.25">
      <c r="A870" t="s">
        <v>839</v>
      </c>
      <c r="B870" s="32">
        <f t="shared" ca="1" si="11"/>
        <v>44450</v>
      </c>
    </row>
    <row r="871" spans="1:2" ht="15" customHeight="1" x14ac:dyDescent="0.25">
      <c r="A871" t="s">
        <v>840</v>
      </c>
      <c r="B871" s="32">
        <f t="shared" ca="1" si="11"/>
        <v>44450</v>
      </c>
    </row>
    <row r="872" spans="1:2" ht="15" customHeight="1" x14ac:dyDescent="0.25">
      <c r="A872" t="s">
        <v>841</v>
      </c>
      <c r="B872" s="32">
        <f t="shared" ca="1" si="11"/>
        <v>44450</v>
      </c>
    </row>
    <row r="873" spans="1:2" ht="15" customHeight="1" x14ac:dyDescent="0.25">
      <c r="A873" t="s">
        <v>842</v>
      </c>
      <c r="B873" s="32">
        <f t="shared" ca="1" si="11"/>
        <v>44450</v>
      </c>
    </row>
    <row r="874" spans="1:2" ht="15" customHeight="1" x14ac:dyDescent="0.25">
      <c r="A874" t="s">
        <v>842</v>
      </c>
      <c r="B874" s="32">
        <f t="shared" ca="1" si="11"/>
        <v>44450</v>
      </c>
    </row>
    <row r="875" spans="1:2" ht="15" customHeight="1" x14ac:dyDescent="0.25">
      <c r="A875" t="s">
        <v>843</v>
      </c>
      <c r="B875" s="32">
        <f t="shared" ca="1" si="11"/>
        <v>44450</v>
      </c>
    </row>
    <row r="876" spans="1:2" ht="15" customHeight="1" x14ac:dyDescent="0.25">
      <c r="A876" t="s">
        <v>843</v>
      </c>
      <c r="B876" s="32">
        <f t="shared" ca="1" si="11"/>
        <v>44450</v>
      </c>
    </row>
    <row r="877" spans="1:2" ht="15" customHeight="1" x14ac:dyDescent="0.25">
      <c r="A877" t="s">
        <v>843</v>
      </c>
      <c r="B877" s="32">
        <f t="shared" ca="1" si="11"/>
        <v>44450</v>
      </c>
    </row>
    <row r="878" spans="1:2" ht="15" customHeight="1" x14ac:dyDescent="0.25">
      <c r="A878" t="s">
        <v>843</v>
      </c>
      <c r="B878" s="32">
        <f t="shared" ca="1" si="11"/>
        <v>44450</v>
      </c>
    </row>
    <row r="879" spans="1:2" ht="15" customHeight="1" x14ac:dyDescent="0.25">
      <c r="A879" t="s">
        <v>844</v>
      </c>
      <c r="B879" s="32">
        <f t="shared" ca="1" si="11"/>
        <v>44450</v>
      </c>
    </row>
    <row r="880" spans="1:2" ht="15" customHeight="1" x14ac:dyDescent="0.25">
      <c r="A880" t="s">
        <v>844</v>
      </c>
      <c r="B880" s="32">
        <f t="shared" ca="1" si="11"/>
        <v>44450</v>
      </c>
    </row>
    <row r="881" spans="1:2" ht="15" customHeight="1" x14ac:dyDescent="0.25">
      <c r="A881" t="s">
        <v>844</v>
      </c>
      <c r="B881" s="32">
        <f t="shared" ca="1" si="11"/>
        <v>44450</v>
      </c>
    </row>
    <row r="882" spans="1:2" ht="15" customHeight="1" x14ac:dyDescent="0.25">
      <c r="A882" t="s">
        <v>845</v>
      </c>
      <c r="B882" s="32">
        <f t="shared" ca="1" si="11"/>
        <v>44450</v>
      </c>
    </row>
    <row r="883" spans="1:2" ht="15" customHeight="1" x14ac:dyDescent="0.25">
      <c r="A883" t="s">
        <v>845</v>
      </c>
      <c r="B883" s="32">
        <f t="shared" ca="1" si="11"/>
        <v>44450</v>
      </c>
    </row>
    <row r="884" spans="1:2" ht="15" customHeight="1" x14ac:dyDescent="0.25">
      <c r="A884" t="s">
        <v>845</v>
      </c>
      <c r="B884" s="32">
        <f t="shared" ca="1" si="11"/>
        <v>44450</v>
      </c>
    </row>
    <row r="885" spans="1:2" ht="15" customHeight="1" x14ac:dyDescent="0.25">
      <c r="A885" t="s">
        <v>845</v>
      </c>
      <c r="B885" s="32">
        <f t="shared" ca="1" si="11"/>
        <v>44450</v>
      </c>
    </row>
    <row r="886" spans="1:2" ht="15" customHeight="1" x14ac:dyDescent="0.25">
      <c r="A886" t="s">
        <v>845</v>
      </c>
      <c r="B886" s="32">
        <f t="shared" ca="1" si="11"/>
        <v>44450</v>
      </c>
    </row>
    <row r="887" spans="1:2" ht="15" customHeight="1" x14ac:dyDescent="0.25">
      <c r="A887" t="s">
        <v>845</v>
      </c>
      <c r="B887" s="32">
        <f t="shared" ca="1" si="11"/>
        <v>44450</v>
      </c>
    </row>
    <row r="888" spans="1:2" ht="15" customHeight="1" x14ac:dyDescent="0.25">
      <c r="A888" t="s">
        <v>845</v>
      </c>
      <c r="B888" s="32">
        <f t="shared" ca="1" si="11"/>
        <v>44450</v>
      </c>
    </row>
    <row r="889" spans="1:2" ht="15" customHeight="1" x14ac:dyDescent="0.25">
      <c r="A889" t="s">
        <v>845</v>
      </c>
      <c r="B889" s="32">
        <f t="shared" ca="1" si="11"/>
        <v>44450</v>
      </c>
    </row>
    <row r="890" spans="1:2" ht="15" customHeight="1" x14ac:dyDescent="0.25">
      <c r="A890" t="s">
        <v>281</v>
      </c>
      <c r="B890" s="32">
        <f t="shared" ca="1" si="11"/>
        <v>44450</v>
      </c>
    </row>
    <row r="891" spans="1:2" ht="15" customHeight="1" x14ac:dyDescent="0.25">
      <c r="A891" t="s">
        <v>282</v>
      </c>
      <c r="B891" s="32">
        <f t="shared" ca="1" si="11"/>
        <v>44450</v>
      </c>
    </row>
    <row r="892" spans="1:2" ht="15" customHeight="1" x14ac:dyDescent="0.25">
      <c r="A892" t="s">
        <v>283</v>
      </c>
      <c r="B892" s="32">
        <f t="shared" ca="1" si="11"/>
        <v>44450</v>
      </c>
    </row>
    <row r="893" spans="1:2" ht="15" customHeight="1" x14ac:dyDescent="0.25">
      <c r="A893" t="s">
        <v>284</v>
      </c>
      <c r="B893" s="32">
        <f t="shared" ca="1" si="11"/>
        <v>44450</v>
      </c>
    </row>
    <row r="894" spans="1:2" ht="15" customHeight="1" x14ac:dyDescent="0.25">
      <c r="A894" t="s">
        <v>846</v>
      </c>
      <c r="B894" s="32">
        <f t="shared" ca="1" si="11"/>
        <v>44450</v>
      </c>
    </row>
    <row r="895" spans="1:2" ht="15" customHeight="1" x14ac:dyDescent="0.25">
      <c r="A895" t="s">
        <v>846</v>
      </c>
      <c r="B895" s="32">
        <f t="shared" ca="1" si="11"/>
        <v>44450</v>
      </c>
    </row>
    <row r="896" spans="1:2" ht="15" customHeight="1" x14ac:dyDescent="0.25">
      <c r="A896" t="s">
        <v>846</v>
      </c>
      <c r="B896" s="32">
        <f t="shared" ca="1" si="11"/>
        <v>44450</v>
      </c>
    </row>
    <row r="897" spans="1:2" ht="15" customHeight="1" x14ac:dyDescent="0.25">
      <c r="A897" t="s">
        <v>846</v>
      </c>
      <c r="B897" s="32">
        <f t="shared" ca="1" si="11"/>
        <v>44450</v>
      </c>
    </row>
    <row r="898" spans="1:2" ht="15" customHeight="1" x14ac:dyDescent="0.25">
      <c r="A898" t="s">
        <v>846</v>
      </c>
      <c r="B898" s="32">
        <f t="shared" ca="1" si="11"/>
        <v>44450</v>
      </c>
    </row>
    <row r="899" spans="1:2" ht="15" customHeight="1" x14ac:dyDescent="0.25">
      <c r="A899" t="s">
        <v>285</v>
      </c>
      <c r="B899" s="32">
        <f t="shared" ca="1" si="11"/>
        <v>44450</v>
      </c>
    </row>
    <row r="900" spans="1:2" ht="15" customHeight="1" x14ac:dyDescent="0.25">
      <c r="A900" t="s">
        <v>286</v>
      </c>
      <c r="B900" s="32">
        <f t="shared" ca="1" si="11"/>
        <v>44450</v>
      </c>
    </row>
    <row r="901" spans="1:2" ht="15" customHeight="1" x14ac:dyDescent="0.25">
      <c r="A901" t="s">
        <v>287</v>
      </c>
      <c r="B901" s="32">
        <f t="shared" ca="1" si="11"/>
        <v>44450</v>
      </c>
    </row>
    <row r="902" spans="1:2" ht="15" customHeight="1" x14ac:dyDescent="0.25">
      <c r="A902" t="s">
        <v>288</v>
      </c>
      <c r="B902" s="32">
        <f t="shared" ca="1" si="11"/>
        <v>44450</v>
      </c>
    </row>
    <row r="903" spans="1:2" ht="15" customHeight="1" x14ac:dyDescent="0.25">
      <c r="A903" t="s">
        <v>847</v>
      </c>
      <c r="B903" s="32">
        <f t="shared" ref="B903:B966" ca="1" si="12">TODAY()-150</f>
        <v>44450</v>
      </c>
    </row>
    <row r="904" spans="1:2" ht="15" customHeight="1" x14ac:dyDescent="0.25">
      <c r="A904" t="s">
        <v>847</v>
      </c>
      <c r="B904" s="32">
        <f t="shared" ca="1" si="12"/>
        <v>44450</v>
      </c>
    </row>
    <row r="905" spans="1:2" ht="15" customHeight="1" x14ac:dyDescent="0.25">
      <c r="A905" t="s">
        <v>847</v>
      </c>
      <c r="B905" s="32">
        <f t="shared" ca="1" si="12"/>
        <v>44450</v>
      </c>
    </row>
    <row r="906" spans="1:2" ht="15" customHeight="1" x14ac:dyDescent="0.25">
      <c r="A906" t="s">
        <v>847</v>
      </c>
      <c r="B906" s="32">
        <f t="shared" ca="1" si="12"/>
        <v>44450</v>
      </c>
    </row>
    <row r="907" spans="1:2" ht="15" customHeight="1" x14ac:dyDescent="0.25">
      <c r="A907" t="s">
        <v>848</v>
      </c>
      <c r="B907" s="32">
        <f t="shared" ca="1" si="12"/>
        <v>44450</v>
      </c>
    </row>
    <row r="908" spans="1:2" ht="15" customHeight="1" x14ac:dyDescent="0.25">
      <c r="A908" t="s">
        <v>848</v>
      </c>
      <c r="B908" s="32">
        <f t="shared" ca="1" si="12"/>
        <v>44450</v>
      </c>
    </row>
    <row r="909" spans="1:2" ht="15" customHeight="1" x14ac:dyDescent="0.25">
      <c r="A909" t="s">
        <v>848</v>
      </c>
      <c r="B909" s="32">
        <f t="shared" ca="1" si="12"/>
        <v>44450</v>
      </c>
    </row>
    <row r="910" spans="1:2" ht="15" customHeight="1" x14ac:dyDescent="0.25">
      <c r="A910" t="s">
        <v>848</v>
      </c>
      <c r="B910" s="32">
        <f t="shared" ca="1" si="12"/>
        <v>44450</v>
      </c>
    </row>
    <row r="911" spans="1:2" ht="15" customHeight="1" x14ac:dyDescent="0.25">
      <c r="A911" t="s">
        <v>844</v>
      </c>
      <c r="B911" s="32">
        <f t="shared" ca="1" si="12"/>
        <v>44450</v>
      </c>
    </row>
    <row r="912" spans="1:2" ht="15" customHeight="1" x14ac:dyDescent="0.25">
      <c r="A912" t="s">
        <v>849</v>
      </c>
      <c r="B912" s="32">
        <f t="shared" ca="1" si="12"/>
        <v>44450</v>
      </c>
    </row>
    <row r="913" spans="1:2" ht="15" customHeight="1" x14ac:dyDescent="0.25">
      <c r="A913" t="s">
        <v>289</v>
      </c>
      <c r="B913" s="32">
        <f t="shared" ca="1" si="12"/>
        <v>44450</v>
      </c>
    </row>
    <row r="914" spans="1:2" ht="15" customHeight="1" x14ac:dyDescent="0.25">
      <c r="A914" t="s">
        <v>290</v>
      </c>
      <c r="B914" s="32">
        <f t="shared" ca="1" si="12"/>
        <v>44450</v>
      </c>
    </row>
    <row r="915" spans="1:2" ht="15" customHeight="1" x14ac:dyDescent="0.25">
      <c r="A915" t="s">
        <v>291</v>
      </c>
      <c r="B915" s="32">
        <f t="shared" ca="1" si="12"/>
        <v>44450</v>
      </c>
    </row>
    <row r="916" spans="1:2" ht="15" customHeight="1" x14ac:dyDescent="0.25">
      <c r="A916" t="s">
        <v>292</v>
      </c>
      <c r="B916" s="32">
        <f t="shared" ca="1" si="12"/>
        <v>44450</v>
      </c>
    </row>
    <row r="917" spans="1:2" ht="15" customHeight="1" x14ac:dyDescent="0.25">
      <c r="A917" t="s">
        <v>293</v>
      </c>
      <c r="B917" s="32">
        <f t="shared" ca="1" si="12"/>
        <v>44450</v>
      </c>
    </row>
    <row r="918" spans="1:2" ht="15" customHeight="1" x14ac:dyDescent="0.25">
      <c r="A918" t="s">
        <v>294</v>
      </c>
      <c r="B918" s="32">
        <f t="shared" ca="1" si="12"/>
        <v>44450</v>
      </c>
    </row>
    <row r="919" spans="1:2" ht="15" customHeight="1" x14ac:dyDescent="0.25">
      <c r="A919" t="s">
        <v>850</v>
      </c>
      <c r="B919" s="32">
        <f t="shared" ca="1" si="12"/>
        <v>44450</v>
      </c>
    </row>
    <row r="920" spans="1:2" ht="15" customHeight="1" x14ac:dyDescent="0.25">
      <c r="A920" t="s">
        <v>851</v>
      </c>
      <c r="B920" s="32">
        <f t="shared" ca="1" si="12"/>
        <v>44450</v>
      </c>
    </row>
    <row r="921" spans="1:2" ht="15" customHeight="1" x14ac:dyDescent="0.25">
      <c r="A921" t="s">
        <v>851</v>
      </c>
      <c r="B921" s="32">
        <f t="shared" ca="1" si="12"/>
        <v>44450</v>
      </c>
    </row>
    <row r="922" spans="1:2" ht="15" customHeight="1" x14ac:dyDescent="0.25">
      <c r="A922" t="s">
        <v>851</v>
      </c>
      <c r="B922" s="32">
        <f t="shared" ca="1" si="12"/>
        <v>44450</v>
      </c>
    </row>
    <row r="923" spans="1:2" ht="15" customHeight="1" x14ac:dyDescent="0.25">
      <c r="A923" t="s">
        <v>851</v>
      </c>
      <c r="B923" s="32">
        <f t="shared" ca="1" si="12"/>
        <v>44450</v>
      </c>
    </row>
    <row r="924" spans="1:2" ht="15" customHeight="1" x14ac:dyDescent="0.25">
      <c r="A924" t="s">
        <v>851</v>
      </c>
      <c r="B924" s="32">
        <f t="shared" ca="1" si="12"/>
        <v>44450</v>
      </c>
    </row>
    <row r="925" spans="1:2" ht="15" customHeight="1" x14ac:dyDescent="0.25">
      <c r="A925" t="s">
        <v>851</v>
      </c>
      <c r="B925" s="32">
        <f t="shared" ca="1" si="12"/>
        <v>44450</v>
      </c>
    </row>
    <row r="926" spans="1:2" ht="15" customHeight="1" x14ac:dyDescent="0.25">
      <c r="A926" t="s">
        <v>851</v>
      </c>
      <c r="B926" s="32">
        <f t="shared" ca="1" si="12"/>
        <v>44450</v>
      </c>
    </row>
    <row r="927" spans="1:2" ht="15" customHeight="1" x14ac:dyDescent="0.25">
      <c r="A927" t="s">
        <v>851</v>
      </c>
      <c r="B927" s="32">
        <f t="shared" ca="1" si="12"/>
        <v>44450</v>
      </c>
    </row>
    <row r="928" spans="1:2" ht="15" customHeight="1" x14ac:dyDescent="0.25">
      <c r="A928" t="s">
        <v>295</v>
      </c>
      <c r="B928" s="32">
        <f t="shared" ca="1" si="12"/>
        <v>44450</v>
      </c>
    </row>
    <row r="929" spans="1:2" ht="15" customHeight="1" x14ac:dyDescent="0.25">
      <c r="A929" t="s">
        <v>295</v>
      </c>
      <c r="B929" s="32">
        <f t="shared" ca="1" si="12"/>
        <v>44450</v>
      </c>
    </row>
    <row r="930" spans="1:2" ht="15" customHeight="1" x14ac:dyDescent="0.25">
      <c r="A930" t="s">
        <v>296</v>
      </c>
      <c r="B930" s="32">
        <f t="shared" ca="1" si="12"/>
        <v>44450</v>
      </c>
    </row>
    <row r="931" spans="1:2" ht="15" customHeight="1" x14ac:dyDescent="0.25">
      <c r="A931" t="s">
        <v>297</v>
      </c>
      <c r="B931" s="32">
        <f t="shared" ca="1" si="12"/>
        <v>44450</v>
      </c>
    </row>
    <row r="932" spans="1:2" ht="15" customHeight="1" x14ac:dyDescent="0.25">
      <c r="A932" t="s">
        <v>297</v>
      </c>
      <c r="B932" s="32">
        <f t="shared" ca="1" si="12"/>
        <v>44450</v>
      </c>
    </row>
    <row r="933" spans="1:2" ht="15" customHeight="1" x14ac:dyDescent="0.25">
      <c r="A933" t="s">
        <v>297</v>
      </c>
      <c r="B933" s="32">
        <f t="shared" ca="1" si="12"/>
        <v>44450</v>
      </c>
    </row>
    <row r="934" spans="1:2" ht="15" customHeight="1" x14ac:dyDescent="0.25">
      <c r="A934" t="s">
        <v>298</v>
      </c>
      <c r="B934" s="32">
        <f t="shared" ca="1" si="12"/>
        <v>44450</v>
      </c>
    </row>
    <row r="935" spans="1:2" ht="15" customHeight="1" x14ac:dyDescent="0.25">
      <c r="A935" t="s">
        <v>298</v>
      </c>
      <c r="B935" s="32">
        <f t="shared" ca="1" si="12"/>
        <v>44450</v>
      </c>
    </row>
    <row r="936" spans="1:2" ht="15" customHeight="1" x14ac:dyDescent="0.25">
      <c r="A936" t="s">
        <v>299</v>
      </c>
      <c r="B936" s="32">
        <f t="shared" ca="1" si="12"/>
        <v>44450</v>
      </c>
    </row>
    <row r="937" spans="1:2" ht="15" customHeight="1" x14ac:dyDescent="0.25">
      <c r="A937" t="s">
        <v>852</v>
      </c>
      <c r="B937" s="32">
        <f t="shared" ca="1" si="12"/>
        <v>44450</v>
      </c>
    </row>
    <row r="938" spans="1:2" ht="15" customHeight="1" x14ac:dyDescent="0.25">
      <c r="A938" t="s">
        <v>300</v>
      </c>
      <c r="B938" s="32">
        <f t="shared" ca="1" si="12"/>
        <v>44450</v>
      </c>
    </row>
    <row r="939" spans="1:2" ht="15" customHeight="1" x14ac:dyDescent="0.25">
      <c r="A939" t="s">
        <v>301</v>
      </c>
      <c r="B939" s="32">
        <f t="shared" ca="1" si="12"/>
        <v>44450</v>
      </c>
    </row>
    <row r="940" spans="1:2" ht="15" customHeight="1" x14ac:dyDescent="0.25">
      <c r="A940" t="s">
        <v>302</v>
      </c>
      <c r="B940" s="32">
        <f t="shared" ca="1" si="12"/>
        <v>44450</v>
      </c>
    </row>
    <row r="941" spans="1:2" ht="15" customHeight="1" x14ac:dyDescent="0.25">
      <c r="A941" t="s">
        <v>303</v>
      </c>
      <c r="B941" s="32">
        <f t="shared" ca="1" si="12"/>
        <v>44450</v>
      </c>
    </row>
    <row r="942" spans="1:2" ht="15" customHeight="1" x14ac:dyDescent="0.25">
      <c r="A942" t="s">
        <v>303</v>
      </c>
      <c r="B942" s="32">
        <f t="shared" ca="1" si="12"/>
        <v>44450</v>
      </c>
    </row>
    <row r="943" spans="1:2" ht="15" customHeight="1" x14ac:dyDescent="0.25">
      <c r="A943" t="s">
        <v>304</v>
      </c>
      <c r="B943" s="32">
        <f t="shared" ca="1" si="12"/>
        <v>44450</v>
      </c>
    </row>
    <row r="944" spans="1:2" ht="15" customHeight="1" x14ac:dyDescent="0.25">
      <c r="A944" t="s">
        <v>305</v>
      </c>
      <c r="B944" s="32">
        <f t="shared" ca="1" si="12"/>
        <v>44450</v>
      </c>
    </row>
    <row r="945" spans="1:2" ht="15" customHeight="1" x14ac:dyDescent="0.25">
      <c r="A945" t="s">
        <v>306</v>
      </c>
      <c r="B945" s="32">
        <f t="shared" ca="1" si="12"/>
        <v>44450</v>
      </c>
    </row>
    <row r="946" spans="1:2" ht="15" customHeight="1" x14ac:dyDescent="0.25">
      <c r="A946" t="s">
        <v>307</v>
      </c>
      <c r="B946" s="32">
        <f t="shared" ca="1" si="12"/>
        <v>44450</v>
      </c>
    </row>
    <row r="947" spans="1:2" ht="15" customHeight="1" x14ac:dyDescent="0.25">
      <c r="A947" t="s">
        <v>307</v>
      </c>
      <c r="B947" s="32">
        <f t="shared" ca="1" si="12"/>
        <v>44450</v>
      </c>
    </row>
    <row r="948" spans="1:2" ht="15" customHeight="1" x14ac:dyDescent="0.25">
      <c r="A948" t="s">
        <v>308</v>
      </c>
      <c r="B948" s="32">
        <f t="shared" ca="1" si="12"/>
        <v>44450</v>
      </c>
    </row>
    <row r="949" spans="1:2" ht="15" customHeight="1" x14ac:dyDescent="0.25">
      <c r="A949" t="s">
        <v>309</v>
      </c>
      <c r="B949" s="32">
        <f t="shared" ca="1" si="12"/>
        <v>44450</v>
      </c>
    </row>
    <row r="950" spans="1:2" ht="15" customHeight="1" x14ac:dyDescent="0.25">
      <c r="A950" t="s">
        <v>853</v>
      </c>
      <c r="B950" s="32">
        <f t="shared" ca="1" si="12"/>
        <v>44450</v>
      </c>
    </row>
    <row r="951" spans="1:2" ht="15" customHeight="1" x14ac:dyDescent="0.25">
      <c r="A951" t="s">
        <v>853</v>
      </c>
      <c r="B951" s="32">
        <f t="shared" ca="1" si="12"/>
        <v>44450</v>
      </c>
    </row>
    <row r="952" spans="1:2" ht="15" customHeight="1" x14ac:dyDescent="0.25">
      <c r="A952" t="s">
        <v>853</v>
      </c>
      <c r="B952" s="32">
        <f t="shared" ca="1" si="12"/>
        <v>44450</v>
      </c>
    </row>
    <row r="953" spans="1:2" ht="15" customHeight="1" x14ac:dyDescent="0.25">
      <c r="A953" t="s">
        <v>853</v>
      </c>
      <c r="B953" s="32">
        <f t="shared" ca="1" si="12"/>
        <v>44450</v>
      </c>
    </row>
    <row r="954" spans="1:2" ht="15" customHeight="1" x14ac:dyDescent="0.25">
      <c r="A954" t="s">
        <v>853</v>
      </c>
      <c r="B954" s="32">
        <f t="shared" ca="1" si="12"/>
        <v>44450</v>
      </c>
    </row>
    <row r="955" spans="1:2" ht="15" customHeight="1" x14ac:dyDescent="0.25">
      <c r="A955" t="s">
        <v>854</v>
      </c>
      <c r="B955" s="32">
        <f t="shared" ca="1" si="12"/>
        <v>44450</v>
      </c>
    </row>
    <row r="956" spans="1:2" ht="15" customHeight="1" x14ac:dyDescent="0.25">
      <c r="A956" t="s">
        <v>854</v>
      </c>
      <c r="B956" s="32">
        <f t="shared" ca="1" si="12"/>
        <v>44450</v>
      </c>
    </row>
    <row r="957" spans="1:2" ht="15" customHeight="1" x14ac:dyDescent="0.25">
      <c r="A957" t="s">
        <v>854</v>
      </c>
      <c r="B957" s="32">
        <f t="shared" ca="1" si="12"/>
        <v>44450</v>
      </c>
    </row>
    <row r="958" spans="1:2" ht="15" customHeight="1" x14ac:dyDescent="0.25">
      <c r="A958" t="s">
        <v>854</v>
      </c>
      <c r="B958" s="32">
        <f t="shared" ca="1" si="12"/>
        <v>44450</v>
      </c>
    </row>
    <row r="959" spans="1:2" ht="15" customHeight="1" x14ac:dyDescent="0.25">
      <c r="A959" t="s">
        <v>854</v>
      </c>
      <c r="B959" s="32">
        <f t="shared" ca="1" si="12"/>
        <v>44450</v>
      </c>
    </row>
    <row r="960" spans="1:2" ht="15" customHeight="1" x14ac:dyDescent="0.25">
      <c r="A960" t="s">
        <v>854</v>
      </c>
      <c r="B960" s="32">
        <f t="shared" ca="1" si="12"/>
        <v>44450</v>
      </c>
    </row>
    <row r="961" spans="1:2" ht="15" customHeight="1" x14ac:dyDescent="0.25">
      <c r="A961" t="s">
        <v>854</v>
      </c>
      <c r="B961" s="32">
        <f t="shared" ca="1" si="12"/>
        <v>44450</v>
      </c>
    </row>
    <row r="962" spans="1:2" ht="15" customHeight="1" x14ac:dyDescent="0.25">
      <c r="A962" t="s">
        <v>855</v>
      </c>
      <c r="B962" s="32">
        <f t="shared" ca="1" si="12"/>
        <v>44450</v>
      </c>
    </row>
    <row r="963" spans="1:2" ht="15" customHeight="1" x14ac:dyDescent="0.25">
      <c r="A963" t="s">
        <v>855</v>
      </c>
      <c r="B963" s="32">
        <f t="shared" ca="1" si="12"/>
        <v>44450</v>
      </c>
    </row>
    <row r="964" spans="1:2" ht="15" customHeight="1" x14ac:dyDescent="0.25">
      <c r="A964" t="s">
        <v>855</v>
      </c>
      <c r="B964" s="32">
        <f t="shared" ca="1" si="12"/>
        <v>44450</v>
      </c>
    </row>
    <row r="965" spans="1:2" ht="15" customHeight="1" x14ac:dyDescent="0.25">
      <c r="A965" t="s">
        <v>855</v>
      </c>
      <c r="B965" s="32">
        <f t="shared" ca="1" si="12"/>
        <v>44450</v>
      </c>
    </row>
    <row r="966" spans="1:2" ht="15" customHeight="1" x14ac:dyDescent="0.25">
      <c r="A966" t="s">
        <v>856</v>
      </c>
      <c r="B966" s="32">
        <f t="shared" ca="1" si="12"/>
        <v>44450</v>
      </c>
    </row>
    <row r="967" spans="1:2" ht="15" customHeight="1" x14ac:dyDescent="0.25">
      <c r="A967" t="s">
        <v>856</v>
      </c>
      <c r="B967" s="32">
        <f t="shared" ref="B967:B1030" ca="1" si="13">TODAY()-150</f>
        <v>44450</v>
      </c>
    </row>
    <row r="968" spans="1:2" ht="15" customHeight="1" x14ac:dyDescent="0.25">
      <c r="A968" t="s">
        <v>856</v>
      </c>
      <c r="B968" s="32">
        <f t="shared" ca="1" si="13"/>
        <v>44450</v>
      </c>
    </row>
    <row r="969" spans="1:2" ht="15" customHeight="1" x14ac:dyDescent="0.25">
      <c r="A969" t="s">
        <v>856</v>
      </c>
      <c r="B969" s="32">
        <f t="shared" ca="1" si="13"/>
        <v>44450</v>
      </c>
    </row>
    <row r="970" spans="1:2" ht="15" customHeight="1" x14ac:dyDescent="0.25">
      <c r="A970" t="s">
        <v>856</v>
      </c>
      <c r="B970" s="32">
        <f t="shared" ca="1" si="13"/>
        <v>44450</v>
      </c>
    </row>
    <row r="971" spans="1:2" ht="15" customHeight="1" x14ac:dyDescent="0.25">
      <c r="A971" t="s">
        <v>857</v>
      </c>
      <c r="B971" s="32">
        <f t="shared" ca="1" si="13"/>
        <v>44450</v>
      </c>
    </row>
    <row r="972" spans="1:2" ht="15" customHeight="1" x14ac:dyDescent="0.25">
      <c r="A972" t="s">
        <v>857</v>
      </c>
      <c r="B972" s="32">
        <f t="shared" ca="1" si="13"/>
        <v>44450</v>
      </c>
    </row>
    <row r="973" spans="1:2" ht="15" customHeight="1" x14ac:dyDescent="0.25">
      <c r="A973" t="s">
        <v>857</v>
      </c>
      <c r="B973" s="32">
        <f t="shared" ca="1" si="13"/>
        <v>44450</v>
      </c>
    </row>
    <row r="974" spans="1:2" ht="15" customHeight="1" x14ac:dyDescent="0.25">
      <c r="A974" t="s">
        <v>857</v>
      </c>
      <c r="B974" s="32">
        <f t="shared" ca="1" si="13"/>
        <v>44450</v>
      </c>
    </row>
    <row r="975" spans="1:2" ht="15" customHeight="1" x14ac:dyDescent="0.25">
      <c r="A975" t="s">
        <v>857</v>
      </c>
      <c r="B975" s="32">
        <f t="shared" ca="1" si="13"/>
        <v>44450</v>
      </c>
    </row>
    <row r="976" spans="1:2" ht="15" customHeight="1" x14ac:dyDescent="0.25">
      <c r="A976" t="s">
        <v>857</v>
      </c>
      <c r="B976" s="32">
        <f t="shared" ca="1" si="13"/>
        <v>44450</v>
      </c>
    </row>
    <row r="977" spans="1:2" ht="15" customHeight="1" x14ac:dyDescent="0.25">
      <c r="A977" t="s">
        <v>310</v>
      </c>
      <c r="B977" s="32">
        <f t="shared" ca="1" si="13"/>
        <v>44450</v>
      </c>
    </row>
    <row r="978" spans="1:2" ht="15" customHeight="1" x14ac:dyDescent="0.25">
      <c r="A978" t="s">
        <v>311</v>
      </c>
      <c r="B978" s="32">
        <f t="shared" ca="1" si="13"/>
        <v>44450</v>
      </c>
    </row>
    <row r="979" spans="1:2" ht="15" customHeight="1" x14ac:dyDescent="0.25">
      <c r="A979" t="s">
        <v>312</v>
      </c>
      <c r="B979" s="32">
        <f t="shared" ca="1" si="13"/>
        <v>44450</v>
      </c>
    </row>
    <row r="980" spans="1:2" ht="15" customHeight="1" x14ac:dyDescent="0.25">
      <c r="A980" t="s">
        <v>312</v>
      </c>
      <c r="B980" s="32">
        <f t="shared" ca="1" si="13"/>
        <v>44450</v>
      </c>
    </row>
    <row r="981" spans="1:2" ht="15" customHeight="1" x14ac:dyDescent="0.25">
      <c r="A981" t="s">
        <v>313</v>
      </c>
      <c r="B981" s="32">
        <f t="shared" ca="1" si="13"/>
        <v>44450</v>
      </c>
    </row>
    <row r="982" spans="1:2" ht="15" customHeight="1" x14ac:dyDescent="0.25">
      <c r="A982" t="s">
        <v>858</v>
      </c>
      <c r="B982" s="32">
        <f t="shared" ca="1" si="13"/>
        <v>44450</v>
      </c>
    </row>
    <row r="983" spans="1:2" ht="15" customHeight="1" x14ac:dyDescent="0.25">
      <c r="A983" t="s">
        <v>858</v>
      </c>
      <c r="B983" s="32">
        <f t="shared" ca="1" si="13"/>
        <v>44450</v>
      </c>
    </row>
    <row r="984" spans="1:2" ht="15" customHeight="1" x14ac:dyDescent="0.25">
      <c r="A984" t="s">
        <v>858</v>
      </c>
      <c r="B984" s="32">
        <f t="shared" ca="1" si="13"/>
        <v>44450</v>
      </c>
    </row>
    <row r="985" spans="1:2" ht="15" customHeight="1" x14ac:dyDescent="0.25">
      <c r="A985" t="s">
        <v>858</v>
      </c>
      <c r="B985" s="32">
        <f t="shared" ca="1" si="13"/>
        <v>44450</v>
      </c>
    </row>
    <row r="986" spans="1:2" ht="15" customHeight="1" x14ac:dyDescent="0.25">
      <c r="A986" t="s">
        <v>859</v>
      </c>
      <c r="B986" s="32">
        <f t="shared" ca="1" si="13"/>
        <v>44450</v>
      </c>
    </row>
    <row r="987" spans="1:2" ht="15" customHeight="1" x14ac:dyDescent="0.25">
      <c r="A987" t="s">
        <v>859</v>
      </c>
      <c r="B987" s="32">
        <f t="shared" ca="1" si="13"/>
        <v>44450</v>
      </c>
    </row>
    <row r="988" spans="1:2" ht="15" customHeight="1" x14ac:dyDescent="0.25">
      <c r="A988" t="s">
        <v>859</v>
      </c>
      <c r="B988" s="32">
        <f t="shared" ca="1" si="13"/>
        <v>44450</v>
      </c>
    </row>
    <row r="989" spans="1:2" ht="15" customHeight="1" x14ac:dyDescent="0.25">
      <c r="A989" t="s">
        <v>859</v>
      </c>
      <c r="B989" s="32">
        <f t="shared" ca="1" si="13"/>
        <v>44450</v>
      </c>
    </row>
    <row r="990" spans="1:2" ht="15" customHeight="1" x14ac:dyDescent="0.25">
      <c r="A990" t="s">
        <v>860</v>
      </c>
      <c r="B990" s="32">
        <f t="shared" ca="1" si="13"/>
        <v>44450</v>
      </c>
    </row>
    <row r="991" spans="1:2" ht="15" customHeight="1" x14ac:dyDescent="0.25">
      <c r="A991" t="s">
        <v>860</v>
      </c>
      <c r="B991" s="32">
        <f t="shared" ca="1" si="13"/>
        <v>44450</v>
      </c>
    </row>
    <row r="992" spans="1:2" ht="15" customHeight="1" x14ac:dyDescent="0.25">
      <c r="A992" t="s">
        <v>860</v>
      </c>
      <c r="B992" s="32">
        <f t="shared" ca="1" si="13"/>
        <v>44450</v>
      </c>
    </row>
    <row r="993" spans="1:2" ht="15" customHeight="1" x14ac:dyDescent="0.25">
      <c r="A993" t="s">
        <v>860</v>
      </c>
      <c r="B993" s="32">
        <f t="shared" ca="1" si="13"/>
        <v>44450</v>
      </c>
    </row>
    <row r="994" spans="1:2" ht="15" customHeight="1" x14ac:dyDescent="0.25">
      <c r="A994" t="s">
        <v>861</v>
      </c>
      <c r="B994" s="32">
        <f t="shared" ca="1" si="13"/>
        <v>44450</v>
      </c>
    </row>
    <row r="995" spans="1:2" ht="15" customHeight="1" x14ac:dyDescent="0.25">
      <c r="A995" t="s">
        <v>861</v>
      </c>
      <c r="B995" s="32">
        <f t="shared" ca="1" si="13"/>
        <v>44450</v>
      </c>
    </row>
    <row r="996" spans="1:2" ht="15" customHeight="1" x14ac:dyDescent="0.25">
      <c r="A996" t="s">
        <v>861</v>
      </c>
      <c r="B996" s="32">
        <f t="shared" ca="1" si="13"/>
        <v>44450</v>
      </c>
    </row>
    <row r="997" spans="1:2" ht="15" customHeight="1" x14ac:dyDescent="0.25">
      <c r="A997" t="s">
        <v>861</v>
      </c>
      <c r="B997" s="32">
        <f t="shared" ca="1" si="13"/>
        <v>44450</v>
      </c>
    </row>
    <row r="998" spans="1:2" ht="15" customHeight="1" x14ac:dyDescent="0.25">
      <c r="A998" t="s">
        <v>861</v>
      </c>
      <c r="B998" s="32">
        <f t="shared" ca="1" si="13"/>
        <v>44450</v>
      </c>
    </row>
    <row r="999" spans="1:2" ht="15" customHeight="1" x14ac:dyDescent="0.25">
      <c r="A999" t="s">
        <v>861</v>
      </c>
      <c r="B999" s="32">
        <f t="shared" ca="1" si="13"/>
        <v>44450</v>
      </c>
    </row>
    <row r="1000" spans="1:2" ht="15" customHeight="1" x14ac:dyDescent="0.25">
      <c r="A1000" t="s">
        <v>589</v>
      </c>
      <c r="B1000" s="32">
        <f t="shared" ca="1" si="13"/>
        <v>44450</v>
      </c>
    </row>
    <row r="1001" spans="1:2" ht="15" customHeight="1" x14ac:dyDescent="0.25">
      <c r="A1001" t="s">
        <v>590</v>
      </c>
      <c r="B1001" s="32">
        <f t="shared" ca="1" si="13"/>
        <v>44450</v>
      </c>
    </row>
    <row r="1002" spans="1:2" ht="15" customHeight="1" x14ac:dyDescent="0.25">
      <c r="A1002" t="s">
        <v>591</v>
      </c>
      <c r="B1002" s="32">
        <f t="shared" ca="1" si="13"/>
        <v>44450</v>
      </c>
    </row>
    <row r="1003" spans="1:2" ht="15" customHeight="1" x14ac:dyDescent="0.25">
      <c r="A1003" t="s">
        <v>591</v>
      </c>
      <c r="B1003" s="32">
        <f t="shared" ca="1" si="13"/>
        <v>44450</v>
      </c>
    </row>
    <row r="1004" spans="1:2" ht="15" customHeight="1" x14ac:dyDescent="0.25">
      <c r="A1004" t="s">
        <v>592</v>
      </c>
      <c r="B1004" s="32">
        <f t="shared" ca="1" si="13"/>
        <v>44450</v>
      </c>
    </row>
    <row r="1005" spans="1:2" ht="15" customHeight="1" x14ac:dyDescent="0.25">
      <c r="A1005" t="s">
        <v>593</v>
      </c>
      <c r="B1005" s="32">
        <f t="shared" ca="1" si="13"/>
        <v>44450</v>
      </c>
    </row>
    <row r="1006" spans="1:2" ht="15" customHeight="1" x14ac:dyDescent="0.25">
      <c r="A1006" t="s">
        <v>862</v>
      </c>
      <c r="B1006" s="32">
        <f t="shared" ca="1" si="13"/>
        <v>44450</v>
      </c>
    </row>
    <row r="1007" spans="1:2" ht="15" customHeight="1" x14ac:dyDescent="0.25">
      <c r="A1007" t="s">
        <v>862</v>
      </c>
      <c r="B1007" s="32">
        <f t="shared" ca="1" si="13"/>
        <v>44450</v>
      </c>
    </row>
    <row r="1008" spans="1:2" ht="15" customHeight="1" x14ac:dyDescent="0.25">
      <c r="A1008" t="s">
        <v>862</v>
      </c>
      <c r="B1008" s="32">
        <f t="shared" ca="1" si="13"/>
        <v>44450</v>
      </c>
    </row>
    <row r="1009" spans="1:2" ht="15" customHeight="1" x14ac:dyDescent="0.25">
      <c r="A1009" t="s">
        <v>862</v>
      </c>
      <c r="B1009" s="32">
        <f t="shared" ca="1" si="13"/>
        <v>44450</v>
      </c>
    </row>
    <row r="1010" spans="1:2" ht="15" customHeight="1" x14ac:dyDescent="0.25">
      <c r="A1010" t="s">
        <v>862</v>
      </c>
      <c r="B1010" s="32">
        <f t="shared" ca="1" si="13"/>
        <v>44450</v>
      </c>
    </row>
    <row r="1011" spans="1:2" ht="15" customHeight="1" x14ac:dyDescent="0.25">
      <c r="A1011" t="s">
        <v>862</v>
      </c>
      <c r="B1011" s="32">
        <f t="shared" ca="1" si="13"/>
        <v>44450</v>
      </c>
    </row>
    <row r="1012" spans="1:2" ht="15" customHeight="1" x14ac:dyDescent="0.25">
      <c r="A1012" t="s">
        <v>863</v>
      </c>
      <c r="B1012" s="32">
        <f t="shared" ca="1" si="13"/>
        <v>44450</v>
      </c>
    </row>
    <row r="1013" spans="1:2" ht="15" customHeight="1" x14ac:dyDescent="0.25">
      <c r="A1013" t="s">
        <v>864</v>
      </c>
      <c r="B1013" s="32">
        <f t="shared" ca="1" si="13"/>
        <v>44450</v>
      </c>
    </row>
    <row r="1014" spans="1:2" ht="15" customHeight="1" x14ac:dyDescent="0.25">
      <c r="A1014" t="s">
        <v>864</v>
      </c>
      <c r="B1014" s="32">
        <f t="shared" ca="1" si="13"/>
        <v>44450</v>
      </c>
    </row>
    <row r="1015" spans="1:2" ht="15" customHeight="1" x14ac:dyDescent="0.25">
      <c r="A1015" t="s">
        <v>864</v>
      </c>
      <c r="B1015" s="32">
        <f t="shared" ca="1" si="13"/>
        <v>44450</v>
      </c>
    </row>
    <row r="1016" spans="1:2" ht="15" customHeight="1" x14ac:dyDescent="0.25">
      <c r="A1016" t="s">
        <v>864</v>
      </c>
      <c r="B1016" s="32">
        <f t="shared" ca="1" si="13"/>
        <v>44450</v>
      </c>
    </row>
    <row r="1017" spans="1:2" ht="15" customHeight="1" x14ac:dyDescent="0.25">
      <c r="A1017" t="s">
        <v>865</v>
      </c>
      <c r="B1017" s="32">
        <f t="shared" ca="1" si="13"/>
        <v>44450</v>
      </c>
    </row>
    <row r="1018" spans="1:2" ht="15" customHeight="1" x14ac:dyDescent="0.25">
      <c r="A1018" t="s">
        <v>865</v>
      </c>
      <c r="B1018" s="32">
        <f t="shared" ca="1" si="13"/>
        <v>44450</v>
      </c>
    </row>
    <row r="1019" spans="1:2" ht="15" customHeight="1" x14ac:dyDescent="0.25">
      <c r="A1019" t="s">
        <v>865</v>
      </c>
      <c r="B1019" s="32">
        <f t="shared" ca="1" si="13"/>
        <v>44450</v>
      </c>
    </row>
    <row r="1020" spans="1:2" ht="15" customHeight="1" x14ac:dyDescent="0.25">
      <c r="A1020" t="s">
        <v>865</v>
      </c>
      <c r="B1020" s="32">
        <f t="shared" ca="1" si="13"/>
        <v>44450</v>
      </c>
    </row>
    <row r="1021" spans="1:2" ht="15" customHeight="1" x14ac:dyDescent="0.25">
      <c r="A1021" t="s">
        <v>865</v>
      </c>
      <c r="B1021" s="32">
        <f t="shared" ca="1" si="13"/>
        <v>44450</v>
      </c>
    </row>
    <row r="1022" spans="1:2" ht="15" customHeight="1" x14ac:dyDescent="0.25">
      <c r="A1022" t="s">
        <v>865</v>
      </c>
      <c r="B1022" s="32">
        <f t="shared" ca="1" si="13"/>
        <v>44450</v>
      </c>
    </row>
    <row r="1023" spans="1:2" ht="15" customHeight="1" x14ac:dyDescent="0.25">
      <c r="A1023" t="s">
        <v>865</v>
      </c>
      <c r="B1023" s="32">
        <f t="shared" ca="1" si="13"/>
        <v>44450</v>
      </c>
    </row>
    <row r="1024" spans="1:2" ht="15" customHeight="1" x14ac:dyDescent="0.25">
      <c r="A1024" t="s">
        <v>842</v>
      </c>
      <c r="B1024" s="32">
        <f t="shared" ca="1" si="13"/>
        <v>44450</v>
      </c>
    </row>
    <row r="1025" spans="1:2" ht="15" customHeight="1" x14ac:dyDescent="0.25">
      <c r="A1025" t="s">
        <v>842</v>
      </c>
      <c r="B1025" s="32">
        <f t="shared" ca="1" si="13"/>
        <v>44450</v>
      </c>
    </row>
    <row r="1026" spans="1:2" ht="15" customHeight="1" x14ac:dyDescent="0.25">
      <c r="A1026" t="s">
        <v>842</v>
      </c>
      <c r="B1026" s="32">
        <f t="shared" ca="1" si="13"/>
        <v>44450</v>
      </c>
    </row>
    <row r="1027" spans="1:2" ht="15" customHeight="1" x14ac:dyDescent="0.25">
      <c r="A1027" t="s">
        <v>866</v>
      </c>
      <c r="B1027" s="32">
        <f t="shared" ca="1" si="13"/>
        <v>44450</v>
      </c>
    </row>
    <row r="1028" spans="1:2" ht="15" customHeight="1" x14ac:dyDescent="0.25">
      <c r="A1028" t="s">
        <v>866</v>
      </c>
      <c r="B1028" s="32">
        <f t="shared" ca="1" si="13"/>
        <v>44450</v>
      </c>
    </row>
    <row r="1029" spans="1:2" ht="15" customHeight="1" x14ac:dyDescent="0.25">
      <c r="A1029" t="s">
        <v>866</v>
      </c>
      <c r="B1029" s="32">
        <f t="shared" ca="1" si="13"/>
        <v>44450</v>
      </c>
    </row>
    <row r="1030" spans="1:2" ht="15" customHeight="1" x14ac:dyDescent="0.25">
      <c r="A1030" t="s">
        <v>866</v>
      </c>
      <c r="B1030" s="32">
        <f t="shared" ca="1" si="13"/>
        <v>44450</v>
      </c>
    </row>
    <row r="1031" spans="1:2" ht="15" customHeight="1" x14ac:dyDescent="0.25">
      <c r="A1031" t="s">
        <v>866</v>
      </c>
      <c r="B1031" s="32">
        <f t="shared" ref="B1031:B1094" ca="1" si="14">TODAY()-150</f>
        <v>44450</v>
      </c>
    </row>
    <row r="1032" spans="1:2" ht="15" customHeight="1" x14ac:dyDescent="0.25">
      <c r="A1032" t="s">
        <v>867</v>
      </c>
      <c r="B1032" s="32">
        <f t="shared" ca="1" si="14"/>
        <v>44450</v>
      </c>
    </row>
    <row r="1033" spans="1:2" ht="15" customHeight="1" x14ac:dyDescent="0.25">
      <c r="A1033" t="s">
        <v>867</v>
      </c>
      <c r="B1033" s="32">
        <f t="shared" ca="1" si="14"/>
        <v>44450</v>
      </c>
    </row>
    <row r="1034" spans="1:2" ht="15" customHeight="1" x14ac:dyDescent="0.25">
      <c r="A1034" t="s">
        <v>867</v>
      </c>
      <c r="B1034" s="32">
        <f t="shared" ca="1" si="14"/>
        <v>44450</v>
      </c>
    </row>
    <row r="1035" spans="1:2" ht="15" customHeight="1" x14ac:dyDescent="0.25">
      <c r="A1035" t="s">
        <v>867</v>
      </c>
      <c r="B1035" s="32">
        <f t="shared" ca="1" si="14"/>
        <v>44450</v>
      </c>
    </row>
    <row r="1036" spans="1:2" ht="15" customHeight="1" x14ac:dyDescent="0.25">
      <c r="A1036" t="s">
        <v>867</v>
      </c>
      <c r="B1036" s="32">
        <f t="shared" ca="1" si="14"/>
        <v>44450</v>
      </c>
    </row>
    <row r="1037" spans="1:2" ht="15" customHeight="1" x14ac:dyDescent="0.25">
      <c r="A1037" t="s">
        <v>314</v>
      </c>
      <c r="B1037" s="32">
        <f t="shared" ca="1" si="14"/>
        <v>44450</v>
      </c>
    </row>
    <row r="1038" spans="1:2" ht="15" customHeight="1" x14ac:dyDescent="0.25">
      <c r="A1038" t="s">
        <v>868</v>
      </c>
      <c r="B1038" s="32">
        <f t="shared" ca="1" si="14"/>
        <v>44450</v>
      </c>
    </row>
    <row r="1039" spans="1:2" ht="15" customHeight="1" x14ac:dyDescent="0.25">
      <c r="A1039" t="s">
        <v>868</v>
      </c>
      <c r="B1039" s="32">
        <f t="shared" ca="1" si="14"/>
        <v>44450</v>
      </c>
    </row>
    <row r="1040" spans="1:2" ht="15" customHeight="1" x14ac:dyDescent="0.25">
      <c r="A1040" t="s">
        <v>868</v>
      </c>
      <c r="B1040" s="32">
        <f t="shared" ca="1" si="14"/>
        <v>44450</v>
      </c>
    </row>
    <row r="1041" spans="1:2" ht="15" customHeight="1" x14ac:dyDescent="0.25">
      <c r="A1041" t="s">
        <v>868</v>
      </c>
      <c r="B1041" s="32">
        <f t="shared" ca="1" si="14"/>
        <v>44450</v>
      </c>
    </row>
    <row r="1042" spans="1:2" ht="15" customHeight="1" x14ac:dyDescent="0.25">
      <c r="A1042" t="s">
        <v>868</v>
      </c>
      <c r="B1042" s="32">
        <f t="shared" ca="1" si="14"/>
        <v>44450</v>
      </c>
    </row>
    <row r="1043" spans="1:2" ht="15" customHeight="1" x14ac:dyDescent="0.25">
      <c r="A1043" t="s">
        <v>869</v>
      </c>
      <c r="B1043" s="32">
        <f t="shared" ca="1" si="14"/>
        <v>44450</v>
      </c>
    </row>
    <row r="1044" spans="1:2" ht="15" customHeight="1" x14ac:dyDescent="0.25">
      <c r="A1044" t="s">
        <v>869</v>
      </c>
      <c r="B1044" s="32">
        <f t="shared" ca="1" si="14"/>
        <v>44450</v>
      </c>
    </row>
    <row r="1045" spans="1:2" ht="15" customHeight="1" x14ac:dyDescent="0.25">
      <c r="A1045" t="s">
        <v>869</v>
      </c>
      <c r="B1045" s="32">
        <f t="shared" ca="1" si="14"/>
        <v>44450</v>
      </c>
    </row>
    <row r="1046" spans="1:2" ht="15" customHeight="1" x14ac:dyDescent="0.25">
      <c r="A1046" t="s">
        <v>869</v>
      </c>
      <c r="B1046" s="32">
        <f t="shared" ca="1" si="14"/>
        <v>44450</v>
      </c>
    </row>
    <row r="1047" spans="1:2" ht="15" customHeight="1" x14ac:dyDescent="0.25">
      <c r="A1047" t="s">
        <v>869</v>
      </c>
      <c r="B1047" s="32">
        <f t="shared" ca="1" si="14"/>
        <v>44450</v>
      </c>
    </row>
    <row r="1048" spans="1:2" ht="15" customHeight="1" x14ac:dyDescent="0.25">
      <c r="A1048" t="s">
        <v>870</v>
      </c>
      <c r="B1048" s="32">
        <f t="shared" ca="1" si="14"/>
        <v>44450</v>
      </c>
    </row>
    <row r="1049" spans="1:2" ht="15" customHeight="1" x14ac:dyDescent="0.25">
      <c r="A1049" t="s">
        <v>870</v>
      </c>
      <c r="B1049" s="32">
        <f t="shared" ca="1" si="14"/>
        <v>44450</v>
      </c>
    </row>
    <row r="1050" spans="1:2" ht="15" customHeight="1" x14ac:dyDescent="0.25">
      <c r="A1050" t="s">
        <v>870</v>
      </c>
      <c r="B1050" s="32">
        <f t="shared" ca="1" si="14"/>
        <v>44450</v>
      </c>
    </row>
    <row r="1051" spans="1:2" ht="15" customHeight="1" x14ac:dyDescent="0.25">
      <c r="A1051" t="s">
        <v>870</v>
      </c>
      <c r="B1051" s="32">
        <f t="shared" ca="1" si="14"/>
        <v>44450</v>
      </c>
    </row>
    <row r="1052" spans="1:2" ht="15" customHeight="1" x14ac:dyDescent="0.25">
      <c r="A1052" t="s">
        <v>870</v>
      </c>
      <c r="B1052" s="32">
        <f t="shared" ca="1" si="14"/>
        <v>44450</v>
      </c>
    </row>
    <row r="1053" spans="1:2" ht="15" customHeight="1" x14ac:dyDescent="0.25">
      <c r="A1053" t="s">
        <v>871</v>
      </c>
      <c r="B1053" s="32">
        <f t="shared" ca="1" si="14"/>
        <v>44450</v>
      </c>
    </row>
    <row r="1054" spans="1:2" ht="15" customHeight="1" x14ac:dyDescent="0.25">
      <c r="A1054" t="s">
        <v>871</v>
      </c>
      <c r="B1054" s="32">
        <f t="shared" ca="1" si="14"/>
        <v>44450</v>
      </c>
    </row>
    <row r="1055" spans="1:2" ht="15" customHeight="1" x14ac:dyDescent="0.25">
      <c r="A1055" t="s">
        <v>871</v>
      </c>
      <c r="B1055" s="32">
        <f t="shared" ca="1" si="14"/>
        <v>44450</v>
      </c>
    </row>
    <row r="1056" spans="1:2" ht="15" customHeight="1" x14ac:dyDescent="0.25">
      <c r="A1056" t="s">
        <v>869</v>
      </c>
      <c r="B1056" s="32">
        <f t="shared" ca="1" si="14"/>
        <v>44450</v>
      </c>
    </row>
    <row r="1057" spans="1:2" ht="15" customHeight="1" x14ac:dyDescent="0.25">
      <c r="A1057" t="s">
        <v>869</v>
      </c>
      <c r="B1057" s="32">
        <f t="shared" ca="1" si="14"/>
        <v>44450</v>
      </c>
    </row>
    <row r="1058" spans="1:2" ht="15" customHeight="1" x14ac:dyDescent="0.25">
      <c r="A1058" t="s">
        <v>869</v>
      </c>
      <c r="B1058" s="32">
        <f t="shared" ca="1" si="14"/>
        <v>44450</v>
      </c>
    </row>
    <row r="1059" spans="1:2" ht="15" customHeight="1" x14ac:dyDescent="0.25">
      <c r="A1059" t="s">
        <v>315</v>
      </c>
      <c r="B1059" s="32">
        <f t="shared" ca="1" si="14"/>
        <v>44450</v>
      </c>
    </row>
    <row r="1060" spans="1:2" ht="15" customHeight="1" x14ac:dyDescent="0.25">
      <c r="A1060" t="s">
        <v>872</v>
      </c>
      <c r="B1060" s="32">
        <f t="shared" ca="1" si="14"/>
        <v>44450</v>
      </c>
    </row>
    <row r="1061" spans="1:2" ht="15" customHeight="1" x14ac:dyDescent="0.25">
      <c r="A1061" t="s">
        <v>872</v>
      </c>
      <c r="B1061" s="32">
        <f t="shared" ca="1" si="14"/>
        <v>44450</v>
      </c>
    </row>
    <row r="1062" spans="1:2" ht="15" customHeight="1" x14ac:dyDescent="0.25">
      <c r="A1062" t="s">
        <v>872</v>
      </c>
      <c r="B1062" s="32">
        <f t="shared" ca="1" si="14"/>
        <v>44450</v>
      </c>
    </row>
    <row r="1063" spans="1:2" ht="15" customHeight="1" x14ac:dyDescent="0.25">
      <c r="A1063" t="s">
        <v>872</v>
      </c>
      <c r="B1063" s="32">
        <f t="shared" ca="1" si="14"/>
        <v>44450</v>
      </c>
    </row>
    <row r="1064" spans="1:2" ht="15" customHeight="1" x14ac:dyDescent="0.25">
      <c r="A1064" t="s">
        <v>872</v>
      </c>
      <c r="B1064" s="32">
        <f t="shared" ca="1" si="14"/>
        <v>44450</v>
      </c>
    </row>
    <row r="1065" spans="1:2" ht="15" customHeight="1" x14ac:dyDescent="0.25">
      <c r="A1065" t="s">
        <v>316</v>
      </c>
      <c r="B1065" s="32">
        <f t="shared" ca="1" si="14"/>
        <v>44450</v>
      </c>
    </row>
    <row r="1066" spans="1:2" ht="15" customHeight="1" x14ac:dyDescent="0.25">
      <c r="A1066" t="s">
        <v>317</v>
      </c>
      <c r="B1066" s="32">
        <f t="shared" ca="1" si="14"/>
        <v>44450</v>
      </c>
    </row>
    <row r="1067" spans="1:2" ht="15" customHeight="1" x14ac:dyDescent="0.25">
      <c r="A1067" t="s">
        <v>318</v>
      </c>
      <c r="B1067" s="32">
        <f t="shared" ca="1" si="14"/>
        <v>44450</v>
      </c>
    </row>
    <row r="1068" spans="1:2" ht="15" customHeight="1" x14ac:dyDescent="0.25">
      <c r="A1068" t="s">
        <v>319</v>
      </c>
      <c r="B1068" s="32">
        <f t="shared" ca="1" si="14"/>
        <v>44450</v>
      </c>
    </row>
    <row r="1069" spans="1:2" ht="15" customHeight="1" x14ac:dyDescent="0.25">
      <c r="A1069" t="s">
        <v>320</v>
      </c>
      <c r="B1069" s="32">
        <f t="shared" ca="1" si="14"/>
        <v>44450</v>
      </c>
    </row>
    <row r="1070" spans="1:2" ht="15" customHeight="1" x14ac:dyDescent="0.25">
      <c r="A1070" t="s">
        <v>873</v>
      </c>
      <c r="B1070" s="32">
        <f t="shared" ca="1" si="14"/>
        <v>44450</v>
      </c>
    </row>
    <row r="1071" spans="1:2" ht="15" customHeight="1" x14ac:dyDescent="0.25">
      <c r="A1071" t="s">
        <v>873</v>
      </c>
      <c r="B1071" s="32">
        <f t="shared" ca="1" si="14"/>
        <v>44450</v>
      </c>
    </row>
    <row r="1072" spans="1:2" ht="15" customHeight="1" x14ac:dyDescent="0.25">
      <c r="A1072" t="s">
        <v>873</v>
      </c>
      <c r="B1072" s="32">
        <f t="shared" ca="1" si="14"/>
        <v>44450</v>
      </c>
    </row>
    <row r="1073" spans="1:2" ht="15" customHeight="1" x14ac:dyDescent="0.25">
      <c r="A1073" t="s">
        <v>873</v>
      </c>
      <c r="B1073" s="32">
        <f t="shared" ca="1" si="14"/>
        <v>44450</v>
      </c>
    </row>
    <row r="1074" spans="1:2" ht="15" customHeight="1" x14ac:dyDescent="0.25">
      <c r="A1074" t="s">
        <v>321</v>
      </c>
      <c r="B1074" s="32">
        <f t="shared" ca="1" si="14"/>
        <v>44450</v>
      </c>
    </row>
    <row r="1075" spans="1:2" ht="15" customHeight="1" x14ac:dyDescent="0.25">
      <c r="A1075" t="s">
        <v>322</v>
      </c>
      <c r="B1075" s="32">
        <f t="shared" ca="1" si="14"/>
        <v>44450</v>
      </c>
    </row>
    <row r="1076" spans="1:2" ht="15" customHeight="1" x14ac:dyDescent="0.25">
      <c r="A1076" t="s">
        <v>323</v>
      </c>
      <c r="B1076" s="32">
        <f t="shared" ca="1" si="14"/>
        <v>44450</v>
      </c>
    </row>
    <row r="1077" spans="1:2" ht="15" customHeight="1" x14ac:dyDescent="0.25">
      <c r="A1077" t="s">
        <v>323</v>
      </c>
      <c r="B1077" s="32">
        <f t="shared" ca="1" si="14"/>
        <v>44450</v>
      </c>
    </row>
    <row r="1078" spans="1:2" ht="15" customHeight="1" x14ac:dyDescent="0.25">
      <c r="A1078" t="s">
        <v>324</v>
      </c>
      <c r="B1078" s="32">
        <f t="shared" ca="1" si="14"/>
        <v>44450</v>
      </c>
    </row>
    <row r="1079" spans="1:2" ht="15" customHeight="1" x14ac:dyDescent="0.25">
      <c r="A1079" t="s">
        <v>874</v>
      </c>
      <c r="B1079" s="32">
        <f t="shared" ca="1" si="14"/>
        <v>44450</v>
      </c>
    </row>
    <row r="1080" spans="1:2" ht="15" customHeight="1" x14ac:dyDescent="0.25">
      <c r="A1080" t="s">
        <v>874</v>
      </c>
      <c r="B1080" s="32">
        <f t="shared" ca="1" si="14"/>
        <v>44450</v>
      </c>
    </row>
    <row r="1081" spans="1:2" ht="15" customHeight="1" x14ac:dyDescent="0.25">
      <c r="A1081" t="s">
        <v>874</v>
      </c>
      <c r="B1081" s="32">
        <f t="shared" ca="1" si="14"/>
        <v>44450</v>
      </c>
    </row>
    <row r="1082" spans="1:2" ht="15" customHeight="1" x14ac:dyDescent="0.25">
      <c r="A1082" t="s">
        <v>874</v>
      </c>
      <c r="B1082" s="32">
        <f t="shared" ca="1" si="14"/>
        <v>44450</v>
      </c>
    </row>
    <row r="1083" spans="1:2" ht="15" customHeight="1" x14ac:dyDescent="0.25">
      <c r="A1083" t="s">
        <v>875</v>
      </c>
      <c r="B1083" s="32">
        <f t="shared" ca="1" si="14"/>
        <v>44450</v>
      </c>
    </row>
    <row r="1084" spans="1:2" ht="15" customHeight="1" x14ac:dyDescent="0.25">
      <c r="A1084" t="s">
        <v>875</v>
      </c>
      <c r="B1084" s="32">
        <f t="shared" ca="1" si="14"/>
        <v>44450</v>
      </c>
    </row>
    <row r="1085" spans="1:2" ht="15" customHeight="1" x14ac:dyDescent="0.25">
      <c r="A1085" t="s">
        <v>876</v>
      </c>
      <c r="B1085" s="32">
        <f t="shared" ca="1" si="14"/>
        <v>44450</v>
      </c>
    </row>
    <row r="1086" spans="1:2" ht="15" customHeight="1" x14ac:dyDescent="0.25">
      <c r="A1086" t="s">
        <v>876</v>
      </c>
      <c r="B1086" s="32">
        <f t="shared" ca="1" si="14"/>
        <v>44450</v>
      </c>
    </row>
    <row r="1087" spans="1:2" ht="15" customHeight="1" x14ac:dyDescent="0.25">
      <c r="A1087" t="s">
        <v>876</v>
      </c>
      <c r="B1087" s="32">
        <f t="shared" ca="1" si="14"/>
        <v>44450</v>
      </c>
    </row>
    <row r="1088" spans="1:2" ht="15" customHeight="1" x14ac:dyDescent="0.25">
      <c r="A1088" t="s">
        <v>877</v>
      </c>
      <c r="B1088" s="32">
        <f t="shared" ca="1" si="14"/>
        <v>44450</v>
      </c>
    </row>
    <row r="1089" spans="1:2" ht="15" customHeight="1" x14ac:dyDescent="0.25">
      <c r="A1089" t="s">
        <v>877</v>
      </c>
      <c r="B1089" s="32">
        <f t="shared" ca="1" si="14"/>
        <v>44450</v>
      </c>
    </row>
    <row r="1090" spans="1:2" ht="15" customHeight="1" x14ac:dyDescent="0.25">
      <c r="A1090" t="s">
        <v>877</v>
      </c>
      <c r="B1090" s="32">
        <f t="shared" ca="1" si="14"/>
        <v>44450</v>
      </c>
    </row>
    <row r="1091" spans="1:2" ht="15" customHeight="1" x14ac:dyDescent="0.25">
      <c r="A1091" t="s">
        <v>877</v>
      </c>
      <c r="B1091" s="32">
        <f t="shared" ca="1" si="14"/>
        <v>44450</v>
      </c>
    </row>
    <row r="1092" spans="1:2" ht="15" customHeight="1" x14ac:dyDescent="0.25">
      <c r="A1092" t="s">
        <v>877</v>
      </c>
      <c r="B1092" s="32">
        <f t="shared" ca="1" si="14"/>
        <v>44450</v>
      </c>
    </row>
    <row r="1093" spans="1:2" ht="15" customHeight="1" x14ac:dyDescent="0.25">
      <c r="A1093" t="s">
        <v>877</v>
      </c>
      <c r="B1093" s="32">
        <f t="shared" ca="1" si="14"/>
        <v>44450</v>
      </c>
    </row>
    <row r="1094" spans="1:2" ht="15" customHeight="1" x14ac:dyDescent="0.25">
      <c r="A1094" t="s">
        <v>877</v>
      </c>
      <c r="B1094" s="32">
        <f t="shared" ca="1" si="14"/>
        <v>44450</v>
      </c>
    </row>
    <row r="1095" spans="1:2" ht="15" customHeight="1" x14ac:dyDescent="0.25">
      <c r="A1095" t="s">
        <v>878</v>
      </c>
      <c r="B1095" s="32">
        <f t="shared" ref="B1095:B1158" ca="1" si="15">TODAY()-150</f>
        <v>44450</v>
      </c>
    </row>
    <row r="1096" spans="1:2" ht="15" customHeight="1" x14ac:dyDescent="0.25">
      <c r="A1096" t="s">
        <v>878</v>
      </c>
      <c r="B1096" s="32">
        <f t="shared" ca="1" si="15"/>
        <v>44450</v>
      </c>
    </row>
    <row r="1097" spans="1:2" ht="15" customHeight="1" x14ac:dyDescent="0.25">
      <c r="A1097" t="s">
        <v>878</v>
      </c>
      <c r="B1097" s="32">
        <f t="shared" ca="1" si="15"/>
        <v>44450</v>
      </c>
    </row>
    <row r="1098" spans="1:2" ht="15" customHeight="1" x14ac:dyDescent="0.25">
      <c r="A1098" t="s">
        <v>878</v>
      </c>
      <c r="B1098" s="32">
        <f t="shared" ca="1" si="15"/>
        <v>44450</v>
      </c>
    </row>
    <row r="1099" spans="1:2" ht="15" customHeight="1" x14ac:dyDescent="0.25">
      <c r="A1099" t="s">
        <v>878</v>
      </c>
      <c r="B1099" s="32">
        <f t="shared" ca="1" si="15"/>
        <v>44450</v>
      </c>
    </row>
    <row r="1100" spans="1:2" ht="15" customHeight="1" x14ac:dyDescent="0.25">
      <c r="A1100" t="s">
        <v>878</v>
      </c>
      <c r="B1100" s="32">
        <f t="shared" ca="1" si="15"/>
        <v>44450</v>
      </c>
    </row>
    <row r="1101" spans="1:2" ht="15" customHeight="1" x14ac:dyDescent="0.25">
      <c r="A1101" t="s">
        <v>878</v>
      </c>
      <c r="B1101" s="32">
        <f t="shared" ca="1" si="15"/>
        <v>44450</v>
      </c>
    </row>
    <row r="1102" spans="1:2" ht="15" customHeight="1" x14ac:dyDescent="0.25">
      <c r="A1102" t="s">
        <v>878</v>
      </c>
      <c r="B1102" s="32">
        <f t="shared" ca="1" si="15"/>
        <v>44450</v>
      </c>
    </row>
    <row r="1103" spans="1:2" ht="15" customHeight="1" x14ac:dyDescent="0.25">
      <c r="A1103" t="s">
        <v>878</v>
      </c>
      <c r="B1103" s="32">
        <f t="shared" ca="1" si="15"/>
        <v>44450</v>
      </c>
    </row>
    <row r="1104" spans="1:2" ht="15" customHeight="1" x14ac:dyDescent="0.25">
      <c r="A1104" t="s">
        <v>879</v>
      </c>
      <c r="B1104" s="32">
        <f t="shared" ca="1" si="15"/>
        <v>44450</v>
      </c>
    </row>
    <row r="1105" spans="1:2" ht="15" customHeight="1" x14ac:dyDescent="0.25">
      <c r="A1105" t="s">
        <v>879</v>
      </c>
      <c r="B1105" s="32">
        <f t="shared" ca="1" si="15"/>
        <v>44450</v>
      </c>
    </row>
    <row r="1106" spans="1:2" ht="15" customHeight="1" x14ac:dyDescent="0.25">
      <c r="A1106" t="s">
        <v>879</v>
      </c>
      <c r="B1106" s="32">
        <f t="shared" ca="1" si="15"/>
        <v>44450</v>
      </c>
    </row>
    <row r="1107" spans="1:2" ht="15" customHeight="1" x14ac:dyDescent="0.25">
      <c r="A1107" t="s">
        <v>879</v>
      </c>
      <c r="B1107" s="32">
        <f t="shared" ca="1" si="15"/>
        <v>44450</v>
      </c>
    </row>
    <row r="1108" spans="1:2" ht="15" customHeight="1" x14ac:dyDescent="0.25">
      <c r="A1108" t="s">
        <v>879</v>
      </c>
      <c r="B1108" s="32">
        <f t="shared" ca="1" si="15"/>
        <v>44450</v>
      </c>
    </row>
    <row r="1109" spans="1:2" ht="15" customHeight="1" x14ac:dyDescent="0.25">
      <c r="A1109" t="s">
        <v>879</v>
      </c>
      <c r="B1109" s="32">
        <f t="shared" ca="1" si="15"/>
        <v>44450</v>
      </c>
    </row>
    <row r="1110" spans="1:2" ht="15" customHeight="1" x14ac:dyDescent="0.25">
      <c r="A1110" t="s">
        <v>879</v>
      </c>
      <c r="B1110" s="32">
        <f t="shared" ca="1" si="15"/>
        <v>44450</v>
      </c>
    </row>
    <row r="1111" spans="1:2" ht="15" customHeight="1" x14ac:dyDescent="0.25">
      <c r="A1111" t="s">
        <v>325</v>
      </c>
      <c r="B1111" s="32">
        <f t="shared" ca="1" si="15"/>
        <v>44450</v>
      </c>
    </row>
    <row r="1112" spans="1:2" ht="15" customHeight="1" x14ac:dyDescent="0.25">
      <c r="A1112" t="s">
        <v>326</v>
      </c>
      <c r="B1112" s="32">
        <f t="shared" ca="1" si="15"/>
        <v>44450</v>
      </c>
    </row>
    <row r="1113" spans="1:2" ht="15" customHeight="1" x14ac:dyDescent="0.25">
      <c r="A1113" t="s">
        <v>327</v>
      </c>
      <c r="B1113" s="32">
        <f t="shared" ca="1" si="15"/>
        <v>44450</v>
      </c>
    </row>
    <row r="1114" spans="1:2" ht="15" customHeight="1" x14ac:dyDescent="0.25">
      <c r="A1114" t="s">
        <v>328</v>
      </c>
      <c r="B1114" s="32">
        <f t="shared" ca="1" si="15"/>
        <v>44450</v>
      </c>
    </row>
    <row r="1115" spans="1:2" ht="15" customHeight="1" x14ac:dyDescent="0.25">
      <c r="A1115" t="s">
        <v>880</v>
      </c>
      <c r="B1115" s="32">
        <f t="shared" ca="1" si="15"/>
        <v>44450</v>
      </c>
    </row>
    <row r="1116" spans="1:2" ht="15" customHeight="1" x14ac:dyDescent="0.25">
      <c r="A1116" t="s">
        <v>880</v>
      </c>
      <c r="B1116" s="32">
        <f t="shared" ca="1" si="15"/>
        <v>44450</v>
      </c>
    </row>
    <row r="1117" spans="1:2" ht="15" customHeight="1" x14ac:dyDescent="0.25">
      <c r="A1117" t="s">
        <v>880</v>
      </c>
      <c r="B1117" s="32">
        <f t="shared" ca="1" si="15"/>
        <v>44450</v>
      </c>
    </row>
    <row r="1118" spans="1:2" ht="15" customHeight="1" x14ac:dyDescent="0.25">
      <c r="A1118" t="s">
        <v>880</v>
      </c>
      <c r="B1118" s="32">
        <f t="shared" ca="1" si="15"/>
        <v>44450</v>
      </c>
    </row>
    <row r="1119" spans="1:2" ht="15" customHeight="1" x14ac:dyDescent="0.25">
      <c r="A1119" t="s">
        <v>881</v>
      </c>
      <c r="B1119" s="32">
        <f t="shared" ca="1" si="15"/>
        <v>44450</v>
      </c>
    </row>
    <row r="1120" spans="1:2" ht="15" customHeight="1" x14ac:dyDescent="0.25">
      <c r="A1120" t="s">
        <v>881</v>
      </c>
      <c r="B1120" s="32">
        <f t="shared" ca="1" si="15"/>
        <v>44450</v>
      </c>
    </row>
    <row r="1121" spans="1:2" ht="15" customHeight="1" x14ac:dyDescent="0.25">
      <c r="A1121" t="s">
        <v>882</v>
      </c>
      <c r="B1121" s="32">
        <f t="shared" ca="1" si="15"/>
        <v>44450</v>
      </c>
    </row>
    <row r="1122" spans="1:2" ht="15" customHeight="1" x14ac:dyDescent="0.25">
      <c r="A1122" t="s">
        <v>882</v>
      </c>
      <c r="B1122" s="32">
        <f t="shared" ca="1" si="15"/>
        <v>44450</v>
      </c>
    </row>
    <row r="1123" spans="1:2" ht="15" customHeight="1" x14ac:dyDescent="0.25">
      <c r="A1123" t="s">
        <v>882</v>
      </c>
      <c r="B1123" s="32">
        <f t="shared" ca="1" si="15"/>
        <v>44450</v>
      </c>
    </row>
    <row r="1124" spans="1:2" ht="15" customHeight="1" x14ac:dyDescent="0.25">
      <c r="A1124" t="s">
        <v>882</v>
      </c>
      <c r="B1124" s="32">
        <f t="shared" ca="1" si="15"/>
        <v>44450</v>
      </c>
    </row>
    <row r="1125" spans="1:2" ht="15" customHeight="1" x14ac:dyDescent="0.25">
      <c r="A1125" t="s">
        <v>882</v>
      </c>
      <c r="B1125" s="32">
        <f t="shared" ca="1" si="15"/>
        <v>44450</v>
      </c>
    </row>
    <row r="1126" spans="1:2" ht="15" customHeight="1" x14ac:dyDescent="0.25">
      <c r="A1126" t="s">
        <v>883</v>
      </c>
      <c r="B1126" s="32">
        <f t="shared" ca="1" si="15"/>
        <v>44450</v>
      </c>
    </row>
    <row r="1127" spans="1:2" ht="15" customHeight="1" x14ac:dyDescent="0.25">
      <c r="A1127" t="s">
        <v>883</v>
      </c>
      <c r="B1127" s="32">
        <f t="shared" ca="1" si="15"/>
        <v>44450</v>
      </c>
    </row>
    <row r="1128" spans="1:2" ht="15" customHeight="1" x14ac:dyDescent="0.25">
      <c r="A1128" t="s">
        <v>883</v>
      </c>
      <c r="B1128" s="32">
        <f t="shared" ca="1" si="15"/>
        <v>44450</v>
      </c>
    </row>
    <row r="1129" spans="1:2" ht="15" customHeight="1" x14ac:dyDescent="0.25">
      <c r="A1129" t="s">
        <v>883</v>
      </c>
      <c r="B1129" s="32">
        <f t="shared" ca="1" si="15"/>
        <v>44450</v>
      </c>
    </row>
    <row r="1130" spans="1:2" ht="15" customHeight="1" x14ac:dyDescent="0.25">
      <c r="A1130" t="s">
        <v>883</v>
      </c>
      <c r="B1130" s="32">
        <f t="shared" ca="1" si="15"/>
        <v>44450</v>
      </c>
    </row>
    <row r="1131" spans="1:2" ht="15" customHeight="1" x14ac:dyDescent="0.25">
      <c r="A1131" t="s">
        <v>884</v>
      </c>
      <c r="B1131" s="32">
        <f t="shared" ca="1" si="15"/>
        <v>44450</v>
      </c>
    </row>
    <row r="1132" spans="1:2" ht="15" customHeight="1" x14ac:dyDescent="0.25">
      <c r="A1132" t="s">
        <v>884</v>
      </c>
      <c r="B1132" s="32">
        <f t="shared" ca="1" si="15"/>
        <v>44450</v>
      </c>
    </row>
    <row r="1133" spans="1:2" ht="15" customHeight="1" x14ac:dyDescent="0.25">
      <c r="A1133" t="s">
        <v>884</v>
      </c>
      <c r="B1133" s="32">
        <f t="shared" ca="1" si="15"/>
        <v>44450</v>
      </c>
    </row>
    <row r="1134" spans="1:2" ht="15" customHeight="1" x14ac:dyDescent="0.25">
      <c r="A1134" t="s">
        <v>884</v>
      </c>
      <c r="B1134" s="32">
        <f t="shared" ca="1" si="15"/>
        <v>44450</v>
      </c>
    </row>
    <row r="1135" spans="1:2" ht="15" customHeight="1" x14ac:dyDescent="0.25">
      <c r="A1135" t="s">
        <v>884</v>
      </c>
      <c r="B1135" s="32">
        <f t="shared" ca="1" si="15"/>
        <v>44450</v>
      </c>
    </row>
    <row r="1136" spans="1:2" ht="15" customHeight="1" x14ac:dyDescent="0.25">
      <c r="A1136" t="s">
        <v>885</v>
      </c>
      <c r="B1136" s="32">
        <f t="shared" ca="1" si="15"/>
        <v>44450</v>
      </c>
    </row>
    <row r="1137" spans="1:2" ht="15" customHeight="1" x14ac:dyDescent="0.25">
      <c r="A1137" t="s">
        <v>886</v>
      </c>
      <c r="B1137" s="32">
        <f t="shared" ca="1" si="15"/>
        <v>44450</v>
      </c>
    </row>
    <row r="1138" spans="1:2" ht="15" customHeight="1" x14ac:dyDescent="0.25">
      <c r="A1138" t="s">
        <v>886</v>
      </c>
      <c r="B1138" s="32">
        <f t="shared" ca="1" si="15"/>
        <v>44450</v>
      </c>
    </row>
    <row r="1139" spans="1:2" ht="15" customHeight="1" x14ac:dyDescent="0.25">
      <c r="A1139" t="s">
        <v>886</v>
      </c>
      <c r="B1139" s="32">
        <f t="shared" ca="1" si="15"/>
        <v>44450</v>
      </c>
    </row>
    <row r="1140" spans="1:2" ht="15" customHeight="1" x14ac:dyDescent="0.25">
      <c r="A1140" t="s">
        <v>887</v>
      </c>
      <c r="B1140" s="32">
        <f t="shared" ca="1" si="15"/>
        <v>44450</v>
      </c>
    </row>
    <row r="1141" spans="1:2" ht="15" customHeight="1" x14ac:dyDescent="0.25">
      <c r="A1141" t="s">
        <v>887</v>
      </c>
      <c r="B1141" s="32">
        <f t="shared" ca="1" si="15"/>
        <v>44450</v>
      </c>
    </row>
    <row r="1142" spans="1:2" ht="15" customHeight="1" x14ac:dyDescent="0.25">
      <c r="A1142" t="s">
        <v>887</v>
      </c>
      <c r="B1142" s="32">
        <f t="shared" ca="1" si="15"/>
        <v>44450</v>
      </c>
    </row>
    <row r="1143" spans="1:2" ht="15" customHeight="1" x14ac:dyDescent="0.25">
      <c r="A1143" t="s">
        <v>329</v>
      </c>
      <c r="B1143" s="32">
        <f t="shared" ca="1" si="15"/>
        <v>44450</v>
      </c>
    </row>
    <row r="1144" spans="1:2" ht="15" customHeight="1" x14ac:dyDescent="0.25">
      <c r="A1144" t="s">
        <v>330</v>
      </c>
      <c r="B1144" s="32">
        <f t="shared" ca="1" si="15"/>
        <v>44450</v>
      </c>
    </row>
    <row r="1145" spans="1:2" ht="15" customHeight="1" x14ac:dyDescent="0.25">
      <c r="A1145" t="s">
        <v>331</v>
      </c>
      <c r="B1145" s="32">
        <f t="shared" ca="1" si="15"/>
        <v>44450</v>
      </c>
    </row>
    <row r="1146" spans="1:2" ht="15" customHeight="1" x14ac:dyDescent="0.25">
      <c r="A1146" t="s">
        <v>332</v>
      </c>
      <c r="B1146" s="32">
        <f t="shared" ca="1" si="15"/>
        <v>44450</v>
      </c>
    </row>
    <row r="1147" spans="1:2" ht="15" customHeight="1" x14ac:dyDescent="0.25">
      <c r="A1147" t="s">
        <v>888</v>
      </c>
      <c r="B1147" s="32">
        <f t="shared" ca="1" si="15"/>
        <v>44450</v>
      </c>
    </row>
    <row r="1148" spans="1:2" ht="15" customHeight="1" x14ac:dyDescent="0.25">
      <c r="A1148" t="s">
        <v>888</v>
      </c>
      <c r="B1148" s="32">
        <f t="shared" ca="1" si="15"/>
        <v>44450</v>
      </c>
    </row>
    <row r="1149" spans="1:2" ht="15" customHeight="1" x14ac:dyDescent="0.25">
      <c r="A1149" t="s">
        <v>888</v>
      </c>
      <c r="B1149" s="32">
        <f t="shared" ca="1" si="15"/>
        <v>44450</v>
      </c>
    </row>
    <row r="1150" spans="1:2" ht="15" customHeight="1" x14ac:dyDescent="0.25">
      <c r="A1150" t="s">
        <v>888</v>
      </c>
      <c r="B1150" s="32">
        <f t="shared" ca="1" si="15"/>
        <v>44450</v>
      </c>
    </row>
    <row r="1151" spans="1:2" ht="15" customHeight="1" x14ac:dyDescent="0.25">
      <c r="A1151" t="s">
        <v>333</v>
      </c>
      <c r="B1151" s="32">
        <f t="shared" ca="1" si="15"/>
        <v>44450</v>
      </c>
    </row>
    <row r="1152" spans="1:2" ht="15" customHeight="1" x14ac:dyDescent="0.25">
      <c r="A1152" t="s">
        <v>889</v>
      </c>
      <c r="B1152" s="32">
        <f t="shared" ca="1" si="15"/>
        <v>44450</v>
      </c>
    </row>
    <row r="1153" spans="1:2" ht="15" customHeight="1" x14ac:dyDescent="0.25">
      <c r="A1153" t="s">
        <v>889</v>
      </c>
      <c r="B1153" s="32">
        <f t="shared" ca="1" si="15"/>
        <v>44450</v>
      </c>
    </row>
    <row r="1154" spans="1:2" ht="15" customHeight="1" x14ac:dyDescent="0.25">
      <c r="A1154" t="s">
        <v>889</v>
      </c>
      <c r="B1154" s="32">
        <f t="shared" ca="1" si="15"/>
        <v>44450</v>
      </c>
    </row>
    <row r="1155" spans="1:2" ht="15" customHeight="1" x14ac:dyDescent="0.25">
      <c r="A1155" t="s">
        <v>889</v>
      </c>
      <c r="B1155" s="32">
        <f t="shared" ca="1" si="15"/>
        <v>44450</v>
      </c>
    </row>
    <row r="1156" spans="1:2" ht="15" customHeight="1" x14ac:dyDescent="0.25">
      <c r="A1156" t="s">
        <v>889</v>
      </c>
      <c r="B1156" s="32">
        <f t="shared" ca="1" si="15"/>
        <v>44450</v>
      </c>
    </row>
    <row r="1157" spans="1:2" ht="15" customHeight="1" x14ac:dyDescent="0.25">
      <c r="A1157" t="s">
        <v>889</v>
      </c>
      <c r="B1157" s="32">
        <f t="shared" ca="1" si="15"/>
        <v>44450</v>
      </c>
    </row>
    <row r="1158" spans="1:2" ht="15" customHeight="1" x14ac:dyDescent="0.25">
      <c r="A1158" t="s">
        <v>889</v>
      </c>
      <c r="B1158" s="32">
        <f t="shared" ca="1" si="15"/>
        <v>44450</v>
      </c>
    </row>
    <row r="1159" spans="1:2" ht="15" customHeight="1" x14ac:dyDescent="0.25">
      <c r="A1159" t="s">
        <v>890</v>
      </c>
      <c r="B1159" s="32">
        <f t="shared" ref="B1159:B1222" ca="1" si="16">TODAY()-150</f>
        <v>44450</v>
      </c>
    </row>
    <row r="1160" spans="1:2" ht="15" customHeight="1" x14ac:dyDescent="0.25">
      <c r="A1160" t="s">
        <v>890</v>
      </c>
      <c r="B1160" s="32">
        <f t="shared" ca="1" si="16"/>
        <v>44450</v>
      </c>
    </row>
    <row r="1161" spans="1:2" ht="15" customHeight="1" x14ac:dyDescent="0.25">
      <c r="A1161" t="s">
        <v>890</v>
      </c>
      <c r="B1161" s="32">
        <f t="shared" ca="1" si="16"/>
        <v>44450</v>
      </c>
    </row>
    <row r="1162" spans="1:2" ht="15" customHeight="1" x14ac:dyDescent="0.25">
      <c r="A1162" t="s">
        <v>890</v>
      </c>
      <c r="B1162" s="32">
        <f t="shared" ca="1" si="16"/>
        <v>44450</v>
      </c>
    </row>
    <row r="1163" spans="1:2" ht="15" customHeight="1" x14ac:dyDescent="0.25">
      <c r="A1163" t="s">
        <v>891</v>
      </c>
      <c r="B1163" s="32">
        <f t="shared" ca="1" si="16"/>
        <v>44450</v>
      </c>
    </row>
    <row r="1164" spans="1:2" ht="15" customHeight="1" x14ac:dyDescent="0.25">
      <c r="A1164" t="s">
        <v>891</v>
      </c>
      <c r="B1164" s="32">
        <f t="shared" ca="1" si="16"/>
        <v>44450</v>
      </c>
    </row>
    <row r="1165" spans="1:2" ht="15" customHeight="1" x14ac:dyDescent="0.25">
      <c r="A1165" t="s">
        <v>891</v>
      </c>
      <c r="B1165" s="32">
        <f t="shared" ca="1" si="16"/>
        <v>44450</v>
      </c>
    </row>
    <row r="1166" spans="1:2" ht="15" customHeight="1" x14ac:dyDescent="0.25">
      <c r="A1166" t="s">
        <v>891</v>
      </c>
      <c r="B1166" s="32">
        <f t="shared" ca="1" si="16"/>
        <v>44450</v>
      </c>
    </row>
    <row r="1167" spans="1:2" ht="15" customHeight="1" x14ac:dyDescent="0.25">
      <c r="A1167" t="s">
        <v>334</v>
      </c>
      <c r="B1167" s="32">
        <f t="shared" ca="1" si="16"/>
        <v>44450</v>
      </c>
    </row>
    <row r="1168" spans="1:2" ht="15" customHeight="1" x14ac:dyDescent="0.25">
      <c r="A1168" t="s">
        <v>334</v>
      </c>
      <c r="B1168" s="32">
        <f t="shared" ca="1" si="16"/>
        <v>44450</v>
      </c>
    </row>
    <row r="1169" spans="1:2" ht="15" customHeight="1" x14ac:dyDescent="0.25">
      <c r="A1169" t="s">
        <v>335</v>
      </c>
      <c r="B1169" s="32">
        <f t="shared" ca="1" si="16"/>
        <v>44450</v>
      </c>
    </row>
    <row r="1170" spans="1:2" ht="15" customHeight="1" x14ac:dyDescent="0.25">
      <c r="A1170" t="s">
        <v>336</v>
      </c>
      <c r="B1170" s="32">
        <f t="shared" ca="1" si="16"/>
        <v>44450</v>
      </c>
    </row>
    <row r="1171" spans="1:2" ht="15" customHeight="1" x14ac:dyDescent="0.25">
      <c r="A1171" t="s">
        <v>336</v>
      </c>
      <c r="B1171" s="32">
        <f t="shared" ca="1" si="16"/>
        <v>44450</v>
      </c>
    </row>
    <row r="1172" spans="1:2" ht="15" customHeight="1" x14ac:dyDescent="0.25">
      <c r="A1172" t="s">
        <v>337</v>
      </c>
      <c r="B1172" s="32">
        <f t="shared" ca="1" si="16"/>
        <v>44450</v>
      </c>
    </row>
    <row r="1173" spans="1:2" ht="15" customHeight="1" x14ac:dyDescent="0.25">
      <c r="A1173" t="s">
        <v>338</v>
      </c>
      <c r="B1173" s="32">
        <f t="shared" ca="1" si="16"/>
        <v>44450</v>
      </c>
    </row>
    <row r="1174" spans="1:2" ht="15" customHeight="1" x14ac:dyDescent="0.25">
      <c r="A1174" t="s">
        <v>339</v>
      </c>
      <c r="B1174" s="32">
        <f t="shared" ca="1" si="16"/>
        <v>44450</v>
      </c>
    </row>
    <row r="1175" spans="1:2" ht="15" customHeight="1" x14ac:dyDescent="0.25">
      <c r="A1175" t="s">
        <v>340</v>
      </c>
      <c r="B1175" s="32">
        <f t="shared" ca="1" si="16"/>
        <v>44450</v>
      </c>
    </row>
    <row r="1176" spans="1:2" ht="15" customHeight="1" x14ac:dyDescent="0.25">
      <c r="A1176" t="s">
        <v>341</v>
      </c>
      <c r="B1176" s="32">
        <f t="shared" ca="1" si="16"/>
        <v>44450</v>
      </c>
    </row>
    <row r="1177" spans="1:2" ht="15" customHeight="1" x14ac:dyDescent="0.25">
      <c r="A1177" t="s">
        <v>526</v>
      </c>
      <c r="B1177" s="32">
        <f t="shared" ca="1" si="16"/>
        <v>44450</v>
      </c>
    </row>
    <row r="1178" spans="1:2" ht="15" customHeight="1" x14ac:dyDescent="0.25">
      <c r="A1178" t="s">
        <v>527</v>
      </c>
      <c r="B1178" s="32">
        <f t="shared" ca="1" si="16"/>
        <v>44450</v>
      </c>
    </row>
    <row r="1179" spans="1:2" ht="15" customHeight="1" x14ac:dyDescent="0.25">
      <c r="A1179" t="s">
        <v>528</v>
      </c>
      <c r="B1179" s="32">
        <f t="shared" ca="1" si="16"/>
        <v>44450</v>
      </c>
    </row>
    <row r="1180" spans="1:2" ht="15" customHeight="1" x14ac:dyDescent="0.25">
      <c r="A1180" t="s">
        <v>529</v>
      </c>
      <c r="B1180" s="32">
        <f t="shared" ca="1" si="16"/>
        <v>44450</v>
      </c>
    </row>
    <row r="1181" spans="1:2" ht="15" customHeight="1" x14ac:dyDescent="0.25">
      <c r="A1181" t="s">
        <v>892</v>
      </c>
      <c r="B1181" s="32">
        <f t="shared" ca="1" si="16"/>
        <v>44450</v>
      </c>
    </row>
    <row r="1182" spans="1:2" ht="15" customHeight="1" x14ac:dyDescent="0.25">
      <c r="A1182" t="s">
        <v>892</v>
      </c>
      <c r="B1182" s="32">
        <f t="shared" ca="1" si="16"/>
        <v>44450</v>
      </c>
    </row>
    <row r="1183" spans="1:2" ht="15" customHeight="1" x14ac:dyDescent="0.25">
      <c r="A1183" t="s">
        <v>892</v>
      </c>
      <c r="B1183" s="32">
        <f t="shared" ca="1" si="16"/>
        <v>44450</v>
      </c>
    </row>
    <row r="1184" spans="1:2" ht="15" customHeight="1" x14ac:dyDescent="0.25">
      <c r="A1184" t="s">
        <v>892</v>
      </c>
      <c r="B1184" s="32">
        <f t="shared" ca="1" si="16"/>
        <v>44450</v>
      </c>
    </row>
    <row r="1185" spans="1:2" ht="15" customHeight="1" x14ac:dyDescent="0.25">
      <c r="A1185" t="s">
        <v>893</v>
      </c>
      <c r="B1185" s="32">
        <f t="shared" ca="1" si="16"/>
        <v>44450</v>
      </c>
    </row>
    <row r="1186" spans="1:2" ht="15" customHeight="1" x14ac:dyDescent="0.25">
      <c r="A1186" t="s">
        <v>893</v>
      </c>
      <c r="B1186" s="32">
        <f t="shared" ca="1" si="16"/>
        <v>44450</v>
      </c>
    </row>
    <row r="1187" spans="1:2" ht="15" customHeight="1" x14ac:dyDescent="0.25">
      <c r="A1187" t="s">
        <v>875</v>
      </c>
      <c r="B1187" s="32">
        <f t="shared" ca="1" si="16"/>
        <v>44450</v>
      </c>
    </row>
    <row r="1188" spans="1:2" ht="15" customHeight="1" x14ac:dyDescent="0.25">
      <c r="A1188" t="s">
        <v>875</v>
      </c>
      <c r="B1188" s="32">
        <f t="shared" ca="1" si="16"/>
        <v>44450</v>
      </c>
    </row>
    <row r="1189" spans="1:2" ht="15" customHeight="1" x14ac:dyDescent="0.25">
      <c r="A1189" t="s">
        <v>875</v>
      </c>
      <c r="B1189" s="32">
        <f t="shared" ca="1" si="16"/>
        <v>44450</v>
      </c>
    </row>
    <row r="1190" spans="1:2" ht="15" customHeight="1" x14ac:dyDescent="0.25">
      <c r="A1190" t="s">
        <v>875</v>
      </c>
      <c r="B1190" s="32">
        <f t="shared" ca="1" si="16"/>
        <v>44450</v>
      </c>
    </row>
    <row r="1191" spans="1:2" ht="15" customHeight="1" x14ac:dyDescent="0.25">
      <c r="A1191" t="s">
        <v>875</v>
      </c>
      <c r="B1191" s="32">
        <f t="shared" ca="1" si="16"/>
        <v>44450</v>
      </c>
    </row>
    <row r="1192" spans="1:2" ht="15" customHeight="1" x14ac:dyDescent="0.25">
      <c r="A1192" t="s">
        <v>875</v>
      </c>
      <c r="B1192" s="32">
        <f t="shared" ca="1" si="16"/>
        <v>44450</v>
      </c>
    </row>
    <row r="1193" spans="1:2" ht="15" customHeight="1" x14ac:dyDescent="0.25">
      <c r="A1193" t="s">
        <v>875</v>
      </c>
      <c r="B1193" s="32">
        <f t="shared" ca="1" si="16"/>
        <v>44450</v>
      </c>
    </row>
    <row r="1194" spans="1:2" ht="15" customHeight="1" x14ac:dyDescent="0.25">
      <c r="A1194" t="s">
        <v>894</v>
      </c>
      <c r="B1194" s="32">
        <f t="shared" ca="1" si="16"/>
        <v>44450</v>
      </c>
    </row>
    <row r="1195" spans="1:2" ht="15" customHeight="1" x14ac:dyDescent="0.25">
      <c r="A1195" t="s">
        <v>894</v>
      </c>
      <c r="B1195" s="32">
        <f t="shared" ca="1" si="16"/>
        <v>44450</v>
      </c>
    </row>
    <row r="1196" spans="1:2" ht="15" customHeight="1" x14ac:dyDescent="0.25">
      <c r="A1196" t="s">
        <v>894</v>
      </c>
      <c r="B1196" s="32">
        <f t="shared" ca="1" si="16"/>
        <v>44450</v>
      </c>
    </row>
    <row r="1197" spans="1:2" ht="15" customHeight="1" x14ac:dyDescent="0.25">
      <c r="A1197" t="s">
        <v>894</v>
      </c>
      <c r="B1197" s="32">
        <f t="shared" ca="1" si="16"/>
        <v>44450</v>
      </c>
    </row>
    <row r="1198" spans="1:2" ht="15" customHeight="1" x14ac:dyDescent="0.25">
      <c r="A1198" t="s">
        <v>894</v>
      </c>
      <c r="B1198" s="32">
        <f t="shared" ca="1" si="16"/>
        <v>44450</v>
      </c>
    </row>
    <row r="1199" spans="1:2" ht="15" customHeight="1" x14ac:dyDescent="0.25">
      <c r="A1199" t="s">
        <v>894</v>
      </c>
      <c r="B1199" s="32">
        <f t="shared" ca="1" si="16"/>
        <v>44450</v>
      </c>
    </row>
    <row r="1200" spans="1:2" ht="15" customHeight="1" x14ac:dyDescent="0.25">
      <c r="A1200" t="s">
        <v>894</v>
      </c>
      <c r="B1200" s="32">
        <f t="shared" ca="1" si="16"/>
        <v>44450</v>
      </c>
    </row>
    <row r="1201" spans="1:2" ht="15" customHeight="1" x14ac:dyDescent="0.25">
      <c r="A1201" t="s">
        <v>895</v>
      </c>
      <c r="B1201" s="32">
        <f t="shared" ca="1" si="16"/>
        <v>44450</v>
      </c>
    </row>
    <row r="1202" spans="1:2" ht="15" customHeight="1" x14ac:dyDescent="0.25">
      <c r="A1202" t="s">
        <v>895</v>
      </c>
      <c r="B1202" s="32">
        <f t="shared" ca="1" si="16"/>
        <v>44450</v>
      </c>
    </row>
    <row r="1203" spans="1:2" ht="15" customHeight="1" x14ac:dyDescent="0.25">
      <c r="A1203" t="s">
        <v>895</v>
      </c>
      <c r="B1203" s="32">
        <f t="shared" ca="1" si="16"/>
        <v>44450</v>
      </c>
    </row>
    <row r="1204" spans="1:2" ht="15" customHeight="1" x14ac:dyDescent="0.25">
      <c r="A1204" t="s">
        <v>895</v>
      </c>
      <c r="B1204" s="32">
        <f t="shared" ca="1" si="16"/>
        <v>44450</v>
      </c>
    </row>
    <row r="1205" spans="1:2" ht="15" customHeight="1" x14ac:dyDescent="0.25">
      <c r="A1205" t="s">
        <v>896</v>
      </c>
      <c r="B1205" s="32">
        <f t="shared" ca="1" si="16"/>
        <v>44450</v>
      </c>
    </row>
    <row r="1206" spans="1:2" ht="15" customHeight="1" x14ac:dyDescent="0.25">
      <c r="A1206" t="s">
        <v>896</v>
      </c>
      <c r="B1206" s="32">
        <f t="shared" ca="1" si="16"/>
        <v>44450</v>
      </c>
    </row>
    <row r="1207" spans="1:2" ht="15" customHeight="1" x14ac:dyDescent="0.25">
      <c r="A1207" t="s">
        <v>896</v>
      </c>
      <c r="B1207" s="32">
        <f t="shared" ca="1" si="16"/>
        <v>44450</v>
      </c>
    </row>
    <row r="1208" spans="1:2" ht="15" customHeight="1" x14ac:dyDescent="0.25">
      <c r="A1208" t="s">
        <v>896</v>
      </c>
      <c r="B1208" s="32">
        <f t="shared" ca="1" si="16"/>
        <v>44450</v>
      </c>
    </row>
    <row r="1209" spans="1:2" ht="15" customHeight="1" x14ac:dyDescent="0.25">
      <c r="A1209" t="s">
        <v>896</v>
      </c>
      <c r="B1209" s="32">
        <f t="shared" ca="1" si="16"/>
        <v>44450</v>
      </c>
    </row>
    <row r="1210" spans="1:2" ht="15" customHeight="1" x14ac:dyDescent="0.25">
      <c r="A1210" t="s">
        <v>896</v>
      </c>
      <c r="B1210" s="32">
        <f t="shared" ca="1" si="16"/>
        <v>44450</v>
      </c>
    </row>
    <row r="1211" spans="1:2" ht="15" customHeight="1" x14ac:dyDescent="0.25">
      <c r="A1211" t="s">
        <v>896</v>
      </c>
      <c r="B1211" s="32">
        <f t="shared" ca="1" si="16"/>
        <v>44450</v>
      </c>
    </row>
    <row r="1212" spans="1:2" ht="15" customHeight="1" x14ac:dyDescent="0.25">
      <c r="A1212" t="s">
        <v>897</v>
      </c>
      <c r="B1212" s="32">
        <f t="shared" ca="1" si="16"/>
        <v>44450</v>
      </c>
    </row>
    <row r="1213" spans="1:2" ht="15" customHeight="1" x14ac:dyDescent="0.25">
      <c r="A1213" t="s">
        <v>897</v>
      </c>
      <c r="B1213" s="32">
        <f t="shared" ca="1" si="16"/>
        <v>44450</v>
      </c>
    </row>
    <row r="1214" spans="1:2" ht="15" customHeight="1" x14ac:dyDescent="0.25">
      <c r="A1214" t="s">
        <v>897</v>
      </c>
      <c r="B1214" s="32">
        <f t="shared" ca="1" si="16"/>
        <v>44450</v>
      </c>
    </row>
    <row r="1215" spans="1:2" ht="15" customHeight="1" x14ac:dyDescent="0.25">
      <c r="A1215" t="s">
        <v>897</v>
      </c>
      <c r="B1215" s="32">
        <f t="shared" ca="1" si="16"/>
        <v>44450</v>
      </c>
    </row>
    <row r="1216" spans="1:2" ht="15" customHeight="1" x14ac:dyDescent="0.25">
      <c r="A1216" t="s">
        <v>897</v>
      </c>
      <c r="B1216" s="32">
        <f t="shared" ca="1" si="16"/>
        <v>44450</v>
      </c>
    </row>
    <row r="1217" spans="1:2" ht="15" customHeight="1" x14ac:dyDescent="0.25">
      <c r="A1217" t="s">
        <v>897</v>
      </c>
      <c r="B1217" s="32">
        <f t="shared" ca="1" si="16"/>
        <v>44450</v>
      </c>
    </row>
    <row r="1218" spans="1:2" ht="15" customHeight="1" x14ac:dyDescent="0.25">
      <c r="A1218" t="s">
        <v>897</v>
      </c>
      <c r="B1218" s="32">
        <f t="shared" ca="1" si="16"/>
        <v>44450</v>
      </c>
    </row>
    <row r="1219" spans="1:2" ht="15" customHeight="1" x14ac:dyDescent="0.25">
      <c r="A1219" t="s">
        <v>898</v>
      </c>
      <c r="B1219" s="32">
        <f t="shared" ca="1" si="16"/>
        <v>44450</v>
      </c>
    </row>
    <row r="1220" spans="1:2" ht="15" customHeight="1" x14ac:dyDescent="0.25">
      <c r="A1220" t="s">
        <v>898</v>
      </c>
      <c r="B1220" s="32">
        <f t="shared" ca="1" si="16"/>
        <v>44450</v>
      </c>
    </row>
    <row r="1221" spans="1:2" ht="15" customHeight="1" x14ac:dyDescent="0.25">
      <c r="A1221" t="s">
        <v>898</v>
      </c>
      <c r="B1221" s="32">
        <f t="shared" ca="1" si="16"/>
        <v>44450</v>
      </c>
    </row>
    <row r="1222" spans="1:2" ht="15" customHeight="1" x14ac:dyDescent="0.25">
      <c r="A1222" t="s">
        <v>898</v>
      </c>
      <c r="B1222" s="32">
        <f t="shared" ca="1" si="16"/>
        <v>44450</v>
      </c>
    </row>
    <row r="1223" spans="1:2" ht="15" customHeight="1" x14ac:dyDescent="0.25">
      <c r="A1223" t="s">
        <v>898</v>
      </c>
      <c r="B1223" s="32">
        <f t="shared" ref="B1223:B1286" ca="1" si="17">TODAY()-150</f>
        <v>44450</v>
      </c>
    </row>
    <row r="1224" spans="1:2" ht="15" customHeight="1" x14ac:dyDescent="0.25">
      <c r="A1224" t="s">
        <v>898</v>
      </c>
      <c r="B1224" s="32">
        <f t="shared" ca="1" si="17"/>
        <v>44450</v>
      </c>
    </row>
    <row r="1225" spans="1:2" ht="15" customHeight="1" x14ac:dyDescent="0.25">
      <c r="A1225" t="s">
        <v>342</v>
      </c>
      <c r="B1225" s="32">
        <f t="shared" ca="1" si="17"/>
        <v>44450</v>
      </c>
    </row>
    <row r="1226" spans="1:2" ht="15" customHeight="1" x14ac:dyDescent="0.25">
      <c r="A1226" t="s">
        <v>899</v>
      </c>
      <c r="B1226" s="32">
        <f t="shared" ca="1" si="17"/>
        <v>44450</v>
      </c>
    </row>
    <row r="1227" spans="1:2" ht="15" customHeight="1" x14ac:dyDescent="0.25">
      <c r="A1227" t="s">
        <v>899</v>
      </c>
      <c r="B1227" s="32">
        <f t="shared" ca="1" si="17"/>
        <v>44450</v>
      </c>
    </row>
    <row r="1228" spans="1:2" ht="15" customHeight="1" x14ac:dyDescent="0.25">
      <c r="A1228" t="s">
        <v>899</v>
      </c>
      <c r="B1228" s="32">
        <f t="shared" ca="1" si="17"/>
        <v>44450</v>
      </c>
    </row>
    <row r="1229" spans="1:2" ht="15" customHeight="1" x14ac:dyDescent="0.25">
      <c r="A1229" t="s">
        <v>899</v>
      </c>
      <c r="B1229" s="32">
        <f t="shared" ca="1" si="17"/>
        <v>44450</v>
      </c>
    </row>
    <row r="1230" spans="1:2" ht="15" customHeight="1" x14ac:dyDescent="0.25">
      <c r="A1230" t="s">
        <v>899</v>
      </c>
      <c r="B1230" s="32">
        <f t="shared" ca="1" si="17"/>
        <v>44450</v>
      </c>
    </row>
    <row r="1231" spans="1:2" ht="15" customHeight="1" x14ac:dyDescent="0.25">
      <c r="A1231" t="s">
        <v>899</v>
      </c>
      <c r="B1231" s="32">
        <f t="shared" ca="1" si="17"/>
        <v>44450</v>
      </c>
    </row>
    <row r="1232" spans="1:2" ht="15" customHeight="1" x14ac:dyDescent="0.25">
      <c r="A1232" t="s">
        <v>899</v>
      </c>
      <c r="B1232" s="32">
        <f t="shared" ca="1" si="17"/>
        <v>44450</v>
      </c>
    </row>
    <row r="1233" spans="1:2" ht="15" customHeight="1" x14ac:dyDescent="0.25">
      <c r="A1233" t="s">
        <v>899</v>
      </c>
      <c r="B1233" s="32">
        <f t="shared" ca="1" si="17"/>
        <v>44450</v>
      </c>
    </row>
    <row r="1234" spans="1:2" ht="15" customHeight="1" x14ac:dyDescent="0.25">
      <c r="A1234" t="s">
        <v>900</v>
      </c>
      <c r="B1234" s="32">
        <f t="shared" ca="1" si="17"/>
        <v>44450</v>
      </c>
    </row>
    <row r="1235" spans="1:2" ht="15" customHeight="1" x14ac:dyDescent="0.25">
      <c r="A1235" t="s">
        <v>900</v>
      </c>
      <c r="B1235" s="32">
        <f t="shared" ca="1" si="17"/>
        <v>44450</v>
      </c>
    </row>
    <row r="1236" spans="1:2" ht="15" customHeight="1" x14ac:dyDescent="0.25">
      <c r="A1236" t="s">
        <v>900</v>
      </c>
      <c r="B1236" s="32">
        <f t="shared" ca="1" si="17"/>
        <v>44450</v>
      </c>
    </row>
    <row r="1237" spans="1:2" ht="15" customHeight="1" x14ac:dyDescent="0.25">
      <c r="A1237" t="s">
        <v>900</v>
      </c>
      <c r="B1237" s="32">
        <f t="shared" ca="1" si="17"/>
        <v>44450</v>
      </c>
    </row>
    <row r="1238" spans="1:2" ht="15" customHeight="1" x14ac:dyDescent="0.25">
      <c r="A1238" t="s">
        <v>900</v>
      </c>
      <c r="B1238" s="32">
        <f t="shared" ca="1" si="17"/>
        <v>44450</v>
      </c>
    </row>
    <row r="1239" spans="1:2" ht="15" customHeight="1" x14ac:dyDescent="0.25">
      <c r="A1239" t="s">
        <v>900</v>
      </c>
      <c r="B1239" s="32">
        <f t="shared" ca="1" si="17"/>
        <v>44450</v>
      </c>
    </row>
    <row r="1240" spans="1:2" ht="15" customHeight="1" x14ac:dyDescent="0.25">
      <c r="A1240" t="s">
        <v>900</v>
      </c>
      <c r="B1240" s="32">
        <f t="shared" ca="1" si="17"/>
        <v>44450</v>
      </c>
    </row>
    <row r="1241" spans="1:2" ht="15" customHeight="1" x14ac:dyDescent="0.25">
      <c r="A1241" t="s">
        <v>343</v>
      </c>
      <c r="B1241" s="32">
        <f t="shared" ca="1" si="17"/>
        <v>44450</v>
      </c>
    </row>
    <row r="1242" spans="1:2" ht="15" customHeight="1" x14ac:dyDescent="0.25">
      <c r="A1242" t="s">
        <v>344</v>
      </c>
      <c r="B1242" s="32">
        <f t="shared" ca="1" si="17"/>
        <v>44450</v>
      </c>
    </row>
    <row r="1243" spans="1:2" ht="15" customHeight="1" x14ac:dyDescent="0.25">
      <c r="A1243" t="s">
        <v>345</v>
      </c>
      <c r="B1243" s="32">
        <f t="shared" ca="1" si="17"/>
        <v>44450</v>
      </c>
    </row>
    <row r="1244" spans="1:2" ht="15" customHeight="1" x14ac:dyDescent="0.25">
      <c r="A1244" t="s">
        <v>346</v>
      </c>
      <c r="B1244" s="32">
        <f t="shared" ca="1" si="17"/>
        <v>44450</v>
      </c>
    </row>
    <row r="1245" spans="1:2" ht="15" customHeight="1" x14ac:dyDescent="0.25">
      <c r="A1245" t="s">
        <v>347</v>
      </c>
      <c r="B1245" s="32">
        <f t="shared" ca="1" si="17"/>
        <v>44450</v>
      </c>
    </row>
    <row r="1246" spans="1:2" ht="15" customHeight="1" x14ac:dyDescent="0.25">
      <c r="A1246" t="s">
        <v>348</v>
      </c>
      <c r="B1246" s="32">
        <f t="shared" ca="1" si="17"/>
        <v>44450</v>
      </c>
    </row>
    <row r="1247" spans="1:2" ht="15" customHeight="1" x14ac:dyDescent="0.25">
      <c r="A1247" t="s">
        <v>594</v>
      </c>
      <c r="B1247" s="32">
        <f t="shared" ca="1" si="17"/>
        <v>44450</v>
      </c>
    </row>
    <row r="1248" spans="1:2" ht="15" customHeight="1" x14ac:dyDescent="0.25">
      <c r="A1248" t="s">
        <v>595</v>
      </c>
      <c r="B1248" s="32">
        <f t="shared" ca="1" si="17"/>
        <v>44450</v>
      </c>
    </row>
    <row r="1249" spans="1:2" ht="15" customHeight="1" x14ac:dyDescent="0.25">
      <c r="A1249" t="s">
        <v>901</v>
      </c>
      <c r="B1249" s="32">
        <f t="shared" ca="1" si="17"/>
        <v>44450</v>
      </c>
    </row>
    <row r="1250" spans="1:2" ht="15" customHeight="1" x14ac:dyDescent="0.25">
      <c r="A1250" t="s">
        <v>901</v>
      </c>
      <c r="B1250" s="32">
        <f t="shared" ca="1" si="17"/>
        <v>44450</v>
      </c>
    </row>
    <row r="1251" spans="1:2" ht="15" customHeight="1" x14ac:dyDescent="0.25">
      <c r="A1251" t="s">
        <v>901</v>
      </c>
      <c r="B1251" s="32">
        <f t="shared" ca="1" si="17"/>
        <v>44450</v>
      </c>
    </row>
    <row r="1252" spans="1:2" ht="15" customHeight="1" x14ac:dyDescent="0.25">
      <c r="A1252" t="s">
        <v>902</v>
      </c>
      <c r="B1252" s="32">
        <f t="shared" ca="1" si="17"/>
        <v>44450</v>
      </c>
    </row>
    <row r="1253" spans="1:2" ht="15" customHeight="1" x14ac:dyDescent="0.25">
      <c r="A1253" t="s">
        <v>902</v>
      </c>
      <c r="B1253" s="32">
        <f t="shared" ca="1" si="17"/>
        <v>44450</v>
      </c>
    </row>
    <row r="1254" spans="1:2" ht="15" customHeight="1" x14ac:dyDescent="0.25">
      <c r="A1254" t="s">
        <v>349</v>
      </c>
      <c r="B1254" s="32">
        <f t="shared" ca="1" si="17"/>
        <v>44450</v>
      </c>
    </row>
    <row r="1255" spans="1:2" ht="15" customHeight="1" x14ac:dyDescent="0.25">
      <c r="A1255" t="s">
        <v>350</v>
      </c>
      <c r="B1255" s="32">
        <f t="shared" ca="1" si="17"/>
        <v>44450</v>
      </c>
    </row>
    <row r="1256" spans="1:2" ht="15" customHeight="1" x14ac:dyDescent="0.25">
      <c r="A1256" t="s">
        <v>351</v>
      </c>
      <c r="B1256" s="32">
        <f t="shared" ca="1" si="17"/>
        <v>44450</v>
      </c>
    </row>
    <row r="1257" spans="1:2" ht="15" customHeight="1" x14ac:dyDescent="0.25">
      <c r="A1257" t="s">
        <v>351</v>
      </c>
      <c r="B1257" s="32">
        <f t="shared" ca="1" si="17"/>
        <v>44450</v>
      </c>
    </row>
    <row r="1258" spans="1:2" ht="15" customHeight="1" x14ac:dyDescent="0.25">
      <c r="A1258" t="s">
        <v>352</v>
      </c>
      <c r="B1258" s="32">
        <f t="shared" ca="1" si="17"/>
        <v>44450</v>
      </c>
    </row>
    <row r="1259" spans="1:2" ht="15" customHeight="1" x14ac:dyDescent="0.25">
      <c r="A1259" t="s">
        <v>352</v>
      </c>
      <c r="B1259" s="32">
        <f t="shared" ca="1" si="17"/>
        <v>44450</v>
      </c>
    </row>
    <row r="1260" spans="1:2" ht="15" customHeight="1" x14ac:dyDescent="0.25">
      <c r="A1260" t="s">
        <v>353</v>
      </c>
      <c r="B1260" s="32">
        <f t="shared" ca="1" si="17"/>
        <v>44450</v>
      </c>
    </row>
    <row r="1261" spans="1:2" ht="15" customHeight="1" x14ac:dyDescent="0.25">
      <c r="A1261" t="s">
        <v>353</v>
      </c>
      <c r="B1261" s="32">
        <f t="shared" ca="1" si="17"/>
        <v>44450</v>
      </c>
    </row>
    <row r="1262" spans="1:2" ht="15" customHeight="1" x14ac:dyDescent="0.25">
      <c r="A1262" t="s">
        <v>354</v>
      </c>
      <c r="B1262" s="32">
        <f t="shared" ca="1" si="17"/>
        <v>44450</v>
      </c>
    </row>
    <row r="1263" spans="1:2" ht="15" customHeight="1" x14ac:dyDescent="0.25">
      <c r="A1263" t="s">
        <v>354</v>
      </c>
      <c r="B1263" s="32">
        <f t="shared" ca="1" si="17"/>
        <v>44450</v>
      </c>
    </row>
    <row r="1264" spans="1:2" ht="15" customHeight="1" x14ac:dyDescent="0.25">
      <c r="A1264" t="s">
        <v>355</v>
      </c>
      <c r="B1264" s="32">
        <f t="shared" ca="1" si="17"/>
        <v>44450</v>
      </c>
    </row>
    <row r="1265" spans="1:2" ht="15" customHeight="1" x14ac:dyDescent="0.25">
      <c r="A1265" t="s">
        <v>355</v>
      </c>
      <c r="B1265" s="32">
        <f t="shared" ca="1" si="17"/>
        <v>44450</v>
      </c>
    </row>
    <row r="1266" spans="1:2" ht="15" customHeight="1" x14ac:dyDescent="0.25">
      <c r="A1266" t="s">
        <v>356</v>
      </c>
      <c r="B1266" s="32">
        <f t="shared" ca="1" si="17"/>
        <v>44450</v>
      </c>
    </row>
    <row r="1267" spans="1:2" ht="15" customHeight="1" x14ac:dyDescent="0.25">
      <c r="A1267" t="s">
        <v>356</v>
      </c>
      <c r="B1267" s="32">
        <f t="shared" ca="1" si="17"/>
        <v>44450</v>
      </c>
    </row>
    <row r="1268" spans="1:2" ht="15" customHeight="1" x14ac:dyDescent="0.25">
      <c r="A1268" t="s">
        <v>357</v>
      </c>
      <c r="B1268" s="32">
        <f t="shared" ca="1" si="17"/>
        <v>44450</v>
      </c>
    </row>
    <row r="1269" spans="1:2" ht="15" customHeight="1" x14ac:dyDescent="0.25">
      <c r="A1269" t="s">
        <v>357</v>
      </c>
      <c r="B1269" s="32">
        <f t="shared" ca="1" si="17"/>
        <v>44450</v>
      </c>
    </row>
    <row r="1270" spans="1:2" ht="15" customHeight="1" x14ac:dyDescent="0.25">
      <c r="A1270" t="s">
        <v>358</v>
      </c>
      <c r="B1270" s="32">
        <f t="shared" ca="1" si="17"/>
        <v>44450</v>
      </c>
    </row>
    <row r="1271" spans="1:2" ht="15" customHeight="1" x14ac:dyDescent="0.25">
      <c r="A1271" t="s">
        <v>358</v>
      </c>
      <c r="B1271" s="32">
        <f t="shared" ca="1" si="17"/>
        <v>44450</v>
      </c>
    </row>
    <row r="1272" spans="1:2" ht="15" customHeight="1" x14ac:dyDescent="0.25">
      <c r="A1272" t="s">
        <v>359</v>
      </c>
      <c r="B1272" s="32">
        <f t="shared" ca="1" si="17"/>
        <v>44450</v>
      </c>
    </row>
    <row r="1273" spans="1:2" ht="15" customHeight="1" x14ac:dyDescent="0.25">
      <c r="A1273" t="s">
        <v>359</v>
      </c>
      <c r="B1273" s="32">
        <f t="shared" ca="1" si="17"/>
        <v>44450</v>
      </c>
    </row>
    <row r="1274" spans="1:2" ht="15" customHeight="1" x14ac:dyDescent="0.25">
      <c r="A1274" t="s">
        <v>360</v>
      </c>
      <c r="B1274" s="32">
        <f t="shared" ca="1" si="17"/>
        <v>44450</v>
      </c>
    </row>
    <row r="1275" spans="1:2" ht="15" customHeight="1" x14ac:dyDescent="0.25">
      <c r="A1275" t="s">
        <v>360</v>
      </c>
      <c r="B1275" s="32">
        <f t="shared" ca="1" si="17"/>
        <v>44450</v>
      </c>
    </row>
    <row r="1276" spans="1:2" ht="15" customHeight="1" x14ac:dyDescent="0.25">
      <c r="A1276" t="s">
        <v>361</v>
      </c>
      <c r="B1276" s="32">
        <f t="shared" ca="1" si="17"/>
        <v>44450</v>
      </c>
    </row>
    <row r="1277" spans="1:2" ht="15" customHeight="1" x14ac:dyDescent="0.25">
      <c r="A1277" t="s">
        <v>361</v>
      </c>
      <c r="B1277" s="32">
        <f t="shared" ca="1" si="17"/>
        <v>44450</v>
      </c>
    </row>
    <row r="1278" spans="1:2" ht="15" customHeight="1" x14ac:dyDescent="0.25">
      <c r="A1278" t="s">
        <v>362</v>
      </c>
      <c r="B1278" s="32">
        <f t="shared" ca="1" si="17"/>
        <v>44450</v>
      </c>
    </row>
    <row r="1279" spans="1:2" ht="15" customHeight="1" x14ac:dyDescent="0.25">
      <c r="A1279" t="s">
        <v>903</v>
      </c>
      <c r="B1279" s="32">
        <f t="shared" ca="1" si="17"/>
        <v>44450</v>
      </c>
    </row>
    <row r="1280" spans="1:2" ht="15" customHeight="1" x14ac:dyDescent="0.25">
      <c r="A1280" t="s">
        <v>903</v>
      </c>
      <c r="B1280" s="32">
        <f t="shared" ca="1" si="17"/>
        <v>44450</v>
      </c>
    </row>
    <row r="1281" spans="1:2" ht="15" customHeight="1" x14ac:dyDescent="0.25">
      <c r="A1281" t="s">
        <v>904</v>
      </c>
      <c r="B1281" s="32">
        <f t="shared" ca="1" si="17"/>
        <v>44450</v>
      </c>
    </row>
    <row r="1282" spans="1:2" ht="15" customHeight="1" x14ac:dyDescent="0.25">
      <c r="A1282" t="s">
        <v>363</v>
      </c>
      <c r="B1282" s="32">
        <f t="shared" ca="1" si="17"/>
        <v>44450</v>
      </c>
    </row>
    <row r="1283" spans="1:2" ht="15" customHeight="1" x14ac:dyDescent="0.25">
      <c r="A1283" t="s">
        <v>364</v>
      </c>
      <c r="B1283" s="32">
        <f t="shared" ca="1" si="17"/>
        <v>44450</v>
      </c>
    </row>
    <row r="1284" spans="1:2" ht="15" customHeight="1" x14ac:dyDescent="0.25">
      <c r="A1284" t="s">
        <v>365</v>
      </c>
      <c r="B1284" s="32">
        <f t="shared" ca="1" si="17"/>
        <v>44450</v>
      </c>
    </row>
    <row r="1285" spans="1:2" ht="15" customHeight="1" x14ac:dyDescent="0.25">
      <c r="A1285" t="s">
        <v>905</v>
      </c>
      <c r="B1285" s="32">
        <f t="shared" ca="1" si="17"/>
        <v>44450</v>
      </c>
    </row>
    <row r="1286" spans="1:2" ht="15" customHeight="1" x14ac:dyDescent="0.25">
      <c r="A1286" t="s">
        <v>905</v>
      </c>
      <c r="B1286" s="32">
        <f t="shared" ca="1" si="17"/>
        <v>44450</v>
      </c>
    </row>
    <row r="1287" spans="1:2" ht="15" customHeight="1" x14ac:dyDescent="0.25">
      <c r="A1287" t="s">
        <v>906</v>
      </c>
      <c r="B1287" s="32">
        <f t="shared" ref="B1287:B1350" ca="1" si="18">TODAY()-150</f>
        <v>44450</v>
      </c>
    </row>
    <row r="1288" spans="1:2" ht="15" customHeight="1" x14ac:dyDescent="0.25">
      <c r="A1288" t="s">
        <v>907</v>
      </c>
      <c r="B1288" s="32">
        <f t="shared" ca="1" si="18"/>
        <v>44450</v>
      </c>
    </row>
    <row r="1289" spans="1:2" ht="15" customHeight="1" x14ac:dyDescent="0.25">
      <c r="A1289" t="s">
        <v>907</v>
      </c>
      <c r="B1289" s="32">
        <f t="shared" ca="1" si="18"/>
        <v>44450</v>
      </c>
    </row>
    <row r="1290" spans="1:2" ht="15" customHeight="1" x14ac:dyDescent="0.25">
      <c r="A1290" t="s">
        <v>366</v>
      </c>
      <c r="B1290" s="32">
        <f t="shared" ca="1" si="18"/>
        <v>44450</v>
      </c>
    </row>
    <row r="1291" spans="1:2" ht="15" customHeight="1" x14ac:dyDescent="0.25">
      <c r="A1291" t="s">
        <v>366</v>
      </c>
      <c r="B1291" s="32">
        <f t="shared" ca="1" si="18"/>
        <v>44450</v>
      </c>
    </row>
    <row r="1292" spans="1:2" ht="15" customHeight="1" x14ac:dyDescent="0.25">
      <c r="A1292" t="s">
        <v>366</v>
      </c>
      <c r="B1292" s="32">
        <f t="shared" ca="1" si="18"/>
        <v>44450</v>
      </c>
    </row>
    <row r="1293" spans="1:2" ht="15" customHeight="1" x14ac:dyDescent="0.25">
      <c r="A1293" t="s">
        <v>367</v>
      </c>
      <c r="B1293" s="32">
        <f t="shared" ca="1" si="18"/>
        <v>44450</v>
      </c>
    </row>
    <row r="1294" spans="1:2" ht="15" customHeight="1" x14ac:dyDescent="0.25">
      <c r="A1294" t="s">
        <v>368</v>
      </c>
      <c r="B1294" s="32">
        <f t="shared" ca="1" si="18"/>
        <v>44450</v>
      </c>
    </row>
    <row r="1295" spans="1:2" ht="15" customHeight="1" x14ac:dyDescent="0.25">
      <c r="A1295" t="s">
        <v>368</v>
      </c>
      <c r="B1295" s="32">
        <f t="shared" ca="1" si="18"/>
        <v>44450</v>
      </c>
    </row>
    <row r="1296" spans="1:2" ht="15" customHeight="1" x14ac:dyDescent="0.25">
      <c r="A1296" t="s">
        <v>369</v>
      </c>
      <c r="B1296" s="32">
        <f t="shared" ca="1" si="18"/>
        <v>44450</v>
      </c>
    </row>
    <row r="1297" spans="1:2" ht="15" customHeight="1" x14ac:dyDescent="0.25">
      <c r="A1297" t="s">
        <v>369</v>
      </c>
      <c r="B1297" s="32">
        <f t="shared" ca="1" si="18"/>
        <v>44450</v>
      </c>
    </row>
    <row r="1298" spans="1:2" ht="15" customHeight="1" x14ac:dyDescent="0.25">
      <c r="A1298" t="s">
        <v>370</v>
      </c>
      <c r="B1298" s="32">
        <f t="shared" ca="1" si="18"/>
        <v>44450</v>
      </c>
    </row>
    <row r="1299" spans="1:2" ht="15" customHeight="1" x14ac:dyDescent="0.25">
      <c r="A1299" t="s">
        <v>370</v>
      </c>
      <c r="B1299" s="32">
        <f t="shared" ca="1" si="18"/>
        <v>44450</v>
      </c>
    </row>
    <row r="1300" spans="1:2" ht="15" customHeight="1" x14ac:dyDescent="0.25">
      <c r="A1300" t="s">
        <v>371</v>
      </c>
      <c r="B1300" s="32">
        <f t="shared" ca="1" si="18"/>
        <v>44450</v>
      </c>
    </row>
    <row r="1301" spans="1:2" ht="15" customHeight="1" x14ac:dyDescent="0.25">
      <c r="A1301" t="s">
        <v>371</v>
      </c>
      <c r="B1301" s="32">
        <f t="shared" ca="1" si="18"/>
        <v>44450</v>
      </c>
    </row>
    <row r="1302" spans="1:2" ht="15" customHeight="1" x14ac:dyDescent="0.25">
      <c r="A1302" t="s">
        <v>371</v>
      </c>
      <c r="B1302" s="32">
        <f t="shared" ca="1" si="18"/>
        <v>44450</v>
      </c>
    </row>
    <row r="1303" spans="1:2" ht="15" customHeight="1" x14ac:dyDescent="0.25">
      <c r="A1303" t="s">
        <v>372</v>
      </c>
      <c r="B1303" s="32">
        <f t="shared" ca="1" si="18"/>
        <v>44450</v>
      </c>
    </row>
    <row r="1304" spans="1:2" ht="15" customHeight="1" x14ac:dyDescent="0.25">
      <c r="A1304" t="s">
        <v>372</v>
      </c>
      <c r="B1304" s="32">
        <f t="shared" ca="1" si="18"/>
        <v>44450</v>
      </c>
    </row>
    <row r="1305" spans="1:2" ht="15" customHeight="1" x14ac:dyDescent="0.25">
      <c r="A1305" t="s">
        <v>373</v>
      </c>
      <c r="B1305" s="32">
        <f t="shared" ca="1" si="18"/>
        <v>44450</v>
      </c>
    </row>
    <row r="1306" spans="1:2" ht="15" customHeight="1" x14ac:dyDescent="0.25">
      <c r="A1306" t="s">
        <v>373</v>
      </c>
      <c r="B1306" s="32">
        <f t="shared" ca="1" si="18"/>
        <v>44450</v>
      </c>
    </row>
    <row r="1307" spans="1:2" ht="15" customHeight="1" x14ac:dyDescent="0.25">
      <c r="A1307" t="s">
        <v>908</v>
      </c>
      <c r="B1307" s="32">
        <f t="shared" ca="1" si="18"/>
        <v>44450</v>
      </c>
    </row>
    <row r="1308" spans="1:2" ht="15" customHeight="1" x14ac:dyDescent="0.25">
      <c r="A1308" t="s">
        <v>908</v>
      </c>
      <c r="B1308" s="32">
        <f t="shared" ca="1" si="18"/>
        <v>44450</v>
      </c>
    </row>
    <row r="1309" spans="1:2" ht="15" customHeight="1" x14ac:dyDescent="0.25">
      <c r="A1309" t="s">
        <v>908</v>
      </c>
      <c r="B1309" s="32">
        <f t="shared" ca="1" si="18"/>
        <v>44450</v>
      </c>
    </row>
    <row r="1310" spans="1:2" ht="15" customHeight="1" x14ac:dyDescent="0.25">
      <c r="A1310" t="s">
        <v>908</v>
      </c>
      <c r="B1310" s="32">
        <f t="shared" ca="1" si="18"/>
        <v>44450</v>
      </c>
    </row>
    <row r="1311" spans="1:2" ht="15" customHeight="1" x14ac:dyDescent="0.25">
      <c r="A1311" t="s">
        <v>909</v>
      </c>
      <c r="B1311" s="32">
        <f t="shared" ca="1" si="18"/>
        <v>44450</v>
      </c>
    </row>
    <row r="1312" spans="1:2" ht="15" customHeight="1" x14ac:dyDescent="0.25">
      <c r="A1312" t="s">
        <v>909</v>
      </c>
      <c r="B1312" s="32">
        <f t="shared" ca="1" si="18"/>
        <v>44450</v>
      </c>
    </row>
    <row r="1313" spans="1:2" ht="15" customHeight="1" x14ac:dyDescent="0.25">
      <c r="A1313" t="s">
        <v>909</v>
      </c>
      <c r="B1313" s="32">
        <f t="shared" ca="1" si="18"/>
        <v>44450</v>
      </c>
    </row>
    <row r="1314" spans="1:2" ht="15" customHeight="1" x14ac:dyDescent="0.25">
      <c r="A1314" t="s">
        <v>909</v>
      </c>
      <c r="B1314" s="32">
        <f t="shared" ca="1" si="18"/>
        <v>44450</v>
      </c>
    </row>
    <row r="1315" spans="1:2" ht="15" customHeight="1" x14ac:dyDescent="0.25">
      <c r="A1315" t="s">
        <v>909</v>
      </c>
      <c r="B1315" s="32">
        <f t="shared" ca="1" si="18"/>
        <v>44450</v>
      </c>
    </row>
    <row r="1316" spans="1:2" ht="15" customHeight="1" x14ac:dyDescent="0.25">
      <c r="A1316" t="s">
        <v>909</v>
      </c>
      <c r="B1316" s="32">
        <f t="shared" ca="1" si="18"/>
        <v>44450</v>
      </c>
    </row>
    <row r="1317" spans="1:2" ht="15" customHeight="1" x14ac:dyDescent="0.25">
      <c r="A1317" t="s">
        <v>909</v>
      </c>
      <c r="B1317" s="32">
        <f t="shared" ca="1" si="18"/>
        <v>44450</v>
      </c>
    </row>
    <row r="1318" spans="1:2" ht="15" customHeight="1" x14ac:dyDescent="0.25">
      <c r="A1318" t="s">
        <v>909</v>
      </c>
      <c r="B1318" s="32">
        <f t="shared" ca="1" si="18"/>
        <v>44450</v>
      </c>
    </row>
    <row r="1319" spans="1:2" ht="15" customHeight="1" x14ac:dyDescent="0.25">
      <c r="A1319" t="s">
        <v>374</v>
      </c>
      <c r="B1319" s="32">
        <f t="shared" ca="1" si="18"/>
        <v>44450</v>
      </c>
    </row>
    <row r="1320" spans="1:2" ht="15" customHeight="1" x14ac:dyDescent="0.25">
      <c r="A1320" t="s">
        <v>375</v>
      </c>
      <c r="B1320" s="32">
        <f t="shared" ca="1" si="18"/>
        <v>44450</v>
      </c>
    </row>
    <row r="1321" spans="1:2" ht="15" customHeight="1" x14ac:dyDescent="0.25">
      <c r="A1321" t="s">
        <v>376</v>
      </c>
      <c r="B1321" s="32">
        <f t="shared" ca="1" si="18"/>
        <v>44450</v>
      </c>
    </row>
    <row r="1322" spans="1:2" ht="15" customHeight="1" x14ac:dyDescent="0.25">
      <c r="A1322" t="s">
        <v>377</v>
      </c>
      <c r="B1322" s="32">
        <f t="shared" ca="1" si="18"/>
        <v>44450</v>
      </c>
    </row>
    <row r="1323" spans="1:2" ht="15" customHeight="1" x14ac:dyDescent="0.25">
      <c r="A1323" t="s">
        <v>378</v>
      </c>
      <c r="B1323" s="32">
        <f t="shared" ca="1" si="18"/>
        <v>44450</v>
      </c>
    </row>
    <row r="1324" spans="1:2" ht="15" customHeight="1" x14ac:dyDescent="0.25">
      <c r="A1324" t="s">
        <v>910</v>
      </c>
      <c r="B1324" s="32">
        <f t="shared" ca="1" si="18"/>
        <v>44450</v>
      </c>
    </row>
    <row r="1325" spans="1:2" ht="15" customHeight="1" x14ac:dyDescent="0.25">
      <c r="A1325" t="s">
        <v>379</v>
      </c>
      <c r="B1325" s="32">
        <f t="shared" ca="1" si="18"/>
        <v>44450</v>
      </c>
    </row>
    <row r="1326" spans="1:2" ht="15" customHeight="1" x14ac:dyDescent="0.25">
      <c r="A1326" t="s">
        <v>911</v>
      </c>
      <c r="B1326" s="32">
        <f t="shared" ca="1" si="18"/>
        <v>44450</v>
      </c>
    </row>
    <row r="1327" spans="1:2" ht="15" customHeight="1" x14ac:dyDescent="0.25">
      <c r="A1327" t="s">
        <v>912</v>
      </c>
      <c r="B1327" s="32">
        <f t="shared" ca="1" si="18"/>
        <v>44450</v>
      </c>
    </row>
    <row r="1328" spans="1:2" ht="15" customHeight="1" x14ac:dyDescent="0.25">
      <c r="A1328" t="s">
        <v>912</v>
      </c>
      <c r="B1328" s="32">
        <f t="shared" ca="1" si="18"/>
        <v>44450</v>
      </c>
    </row>
    <row r="1329" spans="1:2" ht="15" customHeight="1" x14ac:dyDescent="0.25">
      <c r="A1329" t="s">
        <v>912</v>
      </c>
      <c r="B1329" s="32">
        <f t="shared" ca="1" si="18"/>
        <v>44450</v>
      </c>
    </row>
    <row r="1330" spans="1:2" ht="15" customHeight="1" x14ac:dyDescent="0.25">
      <c r="A1330" t="s">
        <v>596</v>
      </c>
      <c r="B1330" s="32">
        <f t="shared" ca="1" si="18"/>
        <v>44450</v>
      </c>
    </row>
    <row r="1331" spans="1:2" ht="15" customHeight="1" x14ac:dyDescent="0.25">
      <c r="A1331" t="s">
        <v>597</v>
      </c>
      <c r="B1331" s="32">
        <f t="shared" ca="1" si="18"/>
        <v>44450</v>
      </c>
    </row>
    <row r="1332" spans="1:2" ht="15" customHeight="1" x14ac:dyDescent="0.25">
      <c r="A1332" t="s">
        <v>597</v>
      </c>
      <c r="B1332" s="32">
        <f t="shared" ca="1" si="18"/>
        <v>44450</v>
      </c>
    </row>
    <row r="1333" spans="1:2" ht="15" customHeight="1" x14ac:dyDescent="0.25">
      <c r="A1333" t="s">
        <v>598</v>
      </c>
      <c r="B1333" s="32">
        <f t="shared" ca="1" si="18"/>
        <v>44450</v>
      </c>
    </row>
    <row r="1334" spans="1:2" ht="15" customHeight="1" x14ac:dyDescent="0.25">
      <c r="A1334" t="s">
        <v>913</v>
      </c>
      <c r="B1334" s="32">
        <f t="shared" ca="1" si="18"/>
        <v>44450</v>
      </c>
    </row>
    <row r="1335" spans="1:2" ht="15" customHeight="1" x14ac:dyDescent="0.25">
      <c r="A1335" t="s">
        <v>913</v>
      </c>
      <c r="B1335" s="32">
        <f t="shared" ca="1" si="18"/>
        <v>44450</v>
      </c>
    </row>
    <row r="1336" spans="1:2" ht="15" customHeight="1" x14ac:dyDescent="0.25">
      <c r="A1336" t="s">
        <v>913</v>
      </c>
      <c r="B1336" s="32">
        <f t="shared" ca="1" si="18"/>
        <v>44450</v>
      </c>
    </row>
    <row r="1337" spans="1:2" ht="15" customHeight="1" x14ac:dyDescent="0.25">
      <c r="A1337" t="s">
        <v>914</v>
      </c>
      <c r="B1337" s="32">
        <f t="shared" ca="1" si="18"/>
        <v>44450</v>
      </c>
    </row>
    <row r="1338" spans="1:2" ht="15" customHeight="1" x14ac:dyDescent="0.25">
      <c r="A1338" t="s">
        <v>914</v>
      </c>
      <c r="B1338" s="32">
        <f t="shared" ca="1" si="18"/>
        <v>44450</v>
      </c>
    </row>
    <row r="1339" spans="1:2" ht="15" customHeight="1" x14ac:dyDescent="0.25">
      <c r="A1339" t="s">
        <v>914</v>
      </c>
      <c r="B1339" s="32">
        <f t="shared" ca="1" si="18"/>
        <v>44450</v>
      </c>
    </row>
    <row r="1340" spans="1:2" ht="15" customHeight="1" x14ac:dyDescent="0.25">
      <c r="A1340" t="s">
        <v>914</v>
      </c>
      <c r="B1340" s="32">
        <f t="shared" ca="1" si="18"/>
        <v>44450</v>
      </c>
    </row>
    <row r="1341" spans="1:2" ht="15" customHeight="1" x14ac:dyDescent="0.25">
      <c r="A1341" t="s">
        <v>914</v>
      </c>
      <c r="B1341" s="32">
        <f t="shared" ca="1" si="18"/>
        <v>44450</v>
      </c>
    </row>
    <row r="1342" spans="1:2" ht="15" customHeight="1" x14ac:dyDescent="0.25">
      <c r="A1342" t="s">
        <v>915</v>
      </c>
      <c r="B1342" s="32">
        <f t="shared" ca="1" si="18"/>
        <v>44450</v>
      </c>
    </row>
    <row r="1343" spans="1:2" ht="15" customHeight="1" x14ac:dyDescent="0.25">
      <c r="A1343" t="s">
        <v>915</v>
      </c>
      <c r="B1343" s="32">
        <f t="shared" ca="1" si="18"/>
        <v>44450</v>
      </c>
    </row>
    <row r="1344" spans="1:2" ht="15" customHeight="1" x14ac:dyDescent="0.25">
      <c r="A1344" t="s">
        <v>915</v>
      </c>
      <c r="B1344" s="32">
        <f t="shared" ca="1" si="18"/>
        <v>44450</v>
      </c>
    </row>
    <row r="1345" spans="1:2" ht="15" customHeight="1" x14ac:dyDescent="0.25">
      <c r="A1345" t="s">
        <v>915</v>
      </c>
      <c r="B1345" s="32">
        <f t="shared" ca="1" si="18"/>
        <v>44450</v>
      </c>
    </row>
    <row r="1346" spans="1:2" ht="15" customHeight="1" x14ac:dyDescent="0.25">
      <c r="A1346" t="s">
        <v>915</v>
      </c>
      <c r="B1346" s="32">
        <f t="shared" ca="1" si="18"/>
        <v>44450</v>
      </c>
    </row>
    <row r="1347" spans="1:2" ht="15" customHeight="1" x14ac:dyDescent="0.25">
      <c r="A1347" t="s">
        <v>916</v>
      </c>
      <c r="B1347" s="32">
        <f t="shared" ca="1" si="18"/>
        <v>44450</v>
      </c>
    </row>
    <row r="1348" spans="1:2" ht="15" customHeight="1" x14ac:dyDescent="0.25">
      <c r="A1348" t="s">
        <v>916</v>
      </c>
      <c r="B1348" s="32">
        <f t="shared" ca="1" si="18"/>
        <v>44450</v>
      </c>
    </row>
    <row r="1349" spans="1:2" ht="15" customHeight="1" x14ac:dyDescent="0.25">
      <c r="A1349" t="s">
        <v>916</v>
      </c>
      <c r="B1349" s="32">
        <f t="shared" ca="1" si="18"/>
        <v>44450</v>
      </c>
    </row>
    <row r="1350" spans="1:2" ht="15" customHeight="1" x14ac:dyDescent="0.25">
      <c r="A1350" t="s">
        <v>916</v>
      </c>
      <c r="B1350" s="32">
        <f t="shared" ca="1" si="18"/>
        <v>44450</v>
      </c>
    </row>
    <row r="1351" spans="1:2" ht="15" customHeight="1" x14ac:dyDescent="0.25">
      <c r="A1351" t="s">
        <v>916</v>
      </c>
      <c r="B1351" s="32">
        <f t="shared" ref="B1351:B1414" ca="1" si="19">TODAY()-150</f>
        <v>44450</v>
      </c>
    </row>
    <row r="1352" spans="1:2" ht="15" customHeight="1" x14ac:dyDescent="0.25">
      <c r="A1352" t="s">
        <v>825</v>
      </c>
      <c r="B1352" s="32">
        <f t="shared" ca="1" si="19"/>
        <v>44450</v>
      </c>
    </row>
    <row r="1353" spans="1:2" ht="15" customHeight="1" x14ac:dyDescent="0.25">
      <c r="A1353" t="s">
        <v>917</v>
      </c>
      <c r="B1353" s="32">
        <f t="shared" ca="1" si="19"/>
        <v>44450</v>
      </c>
    </row>
    <row r="1354" spans="1:2" ht="15" customHeight="1" x14ac:dyDescent="0.25">
      <c r="A1354" t="s">
        <v>380</v>
      </c>
      <c r="B1354" s="32">
        <f t="shared" ca="1" si="19"/>
        <v>44450</v>
      </c>
    </row>
    <row r="1355" spans="1:2" ht="15" customHeight="1" x14ac:dyDescent="0.25">
      <c r="A1355" t="s">
        <v>918</v>
      </c>
      <c r="B1355" s="32">
        <f t="shared" ca="1" si="19"/>
        <v>44450</v>
      </c>
    </row>
    <row r="1356" spans="1:2" ht="15" customHeight="1" x14ac:dyDescent="0.25">
      <c r="A1356" t="s">
        <v>918</v>
      </c>
      <c r="B1356" s="32">
        <f t="shared" ca="1" si="19"/>
        <v>44450</v>
      </c>
    </row>
    <row r="1357" spans="1:2" ht="15" customHeight="1" x14ac:dyDescent="0.25">
      <c r="A1357" t="s">
        <v>381</v>
      </c>
      <c r="B1357" s="32">
        <f t="shared" ca="1" si="19"/>
        <v>44450</v>
      </c>
    </row>
    <row r="1358" spans="1:2" ht="15" customHeight="1" x14ac:dyDescent="0.25">
      <c r="A1358" t="s">
        <v>382</v>
      </c>
      <c r="B1358" s="32">
        <f t="shared" ca="1" si="19"/>
        <v>44450</v>
      </c>
    </row>
    <row r="1359" spans="1:2" ht="15" customHeight="1" x14ac:dyDescent="0.25">
      <c r="A1359" t="s">
        <v>383</v>
      </c>
      <c r="B1359" s="32">
        <f t="shared" ca="1" si="19"/>
        <v>44450</v>
      </c>
    </row>
    <row r="1360" spans="1:2" ht="15" customHeight="1" x14ac:dyDescent="0.25">
      <c r="A1360" t="s">
        <v>919</v>
      </c>
      <c r="B1360" s="32">
        <f t="shared" ca="1" si="19"/>
        <v>44450</v>
      </c>
    </row>
    <row r="1361" spans="1:2" ht="15" customHeight="1" x14ac:dyDescent="0.25">
      <c r="A1361" t="s">
        <v>919</v>
      </c>
      <c r="B1361" s="32">
        <f t="shared" ca="1" si="19"/>
        <v>44450</v>
      </c>
    </row>
    <row r="1362" spans="1:2" ht="15" customHeight="1" x14ac:dyDescent="0.25">
      <c r="A1362" t="s">
        <v>919</v>
      </c>
      <c r="B1362" s="32">
        <f t="shared" ca="1" si="19"/>
        <v>44450</v>
      </c>
    </row>
    <row r="1363" spans="1:2" ht="15" customHeight="1" x14ac:dyDescent="0.25">
      <c r="A1363" t="s">
        <v>919</v>
      </c>
      <c r="B1363" s="32">
        <f t="shared" ca="1" si="19"/>
        <v>44450</v>
      </c>
    </row>
    <row r="1364" spans="1:2" ht="15" customHeight="1" x14ac:dyDescent="0.25">
      <c r="A1364" t="s">
        <v>384</v>
      </c>
      <c r="B1364" s="32">
        <f t="shared" ca="1" si="19"/>
        <v>44450</v>
      </c>
    </row>
    <row r="1365" spans="1:2" ht="15" customHeight="1" x14ac:dyDescent="0.25">
      <c r="A1365" t="s">
        <v>385</v>
      </c>
      <c r="B1365" s="32">
        <f t="shared" ca="1" si="19"/>
        <v>44450</v>
      </c>
    </row>
    <row r="1366" spans="1:2" ht="15" customHeight="1" x14ac:dyDescent="0.25">
      <c r="A1366" t="s">
        <v>386</v>
      </c>
      <c r="B1366" s="32">
        <f t="shared" ca="1" si="19"/>
        <v>44450</v>
      </c>
    </row>
    <row r="1367" spans="1:2" ht="15" customHeight="1" x14ac:dyDescent="0.25">
      <c r="A1367" t="s">
        <v>387</v>
      </c>
      <c r="B1367" s="32">
        <f t="shared" ca="1" si="19"/>
        <v>44450</v>
      </c>
    </row>
    <row r="1368" spans="1:2" ht="15" customHeight="1" x14ac:dyDescent="0.25">
      <c r="A1368" t="s">
        <v>920</v>
      </c>
      <c r="B1368" s="32">
        <f t="shared" ca="1" si="19"/>
        <v>44450</v>
      </c>
    </row>
    <row r="1369" spans="1:2" ht="15" customHeight="1" x14ac:dyDescent="0.25">
      <c r="A1369" t="s">
        <v>920</v>
      </c>
      <c r="B1369" s="32">
        <f t="shared" ca="1" si="19"/>
        <v>44450</v>
      </c>
    </row>
    <row r="1370" spans="1:2" ht="15" customHeight="1" x14ac:dyDescent="0.25">
      <c r="A1370" t="s">
        <v>920</v>
      </c>
      <c r="B1370" s="32">
        <f t="shared" ca="1" si="19"/>
        <v>44450</v>
      </c>
    </row>
    <row r="1371" spans="1:2" ht="15" customHeight="1" x14ac:dyDescent="0.25">
      <c r="A1371" t="s">
        <v>920</v>
      </c>
      <c r="B1371" s="32">
        <f t="shared" ca="1" si="19"/>
        <v>44450</v>
      </c>
    </row>
    <row r="1372" spans="1:2" ht="15" customHeight="1" x14ac:dyDescent="0.25">
      <c r="A1372" t="s">
        <v>920</v>
      </c>
      <c r="B1372" s="32">
        <f t="shared" ca="1" si="19"/>
        <v>44450</v>
      </c>
    </row>
    <row r="1373" spans="1:2" ht="15" customHeight="1" x14ac:dyDescent="0.25">
      <c r="A1373" t="s">
        <v>921</v>
      </c>
      <c r="B1373" s="32">
        <f t="shared" ca="1" si="19"/>
        <v>44450</v>
      </c>
    </row>
    <row r="1374" spans="1:2" ht="15" customHeight="1" x14ac:dyDescent="0.25">
      <c r="A1374" t="s">
        <v>921</v>
      </c>
      <c r="B1374" s="32">
        <f t="shared" ca="1" si="19"/>
        <v>44450</v>
      </c>
    </row>
    <row r="1375" spans="1:2" ht="15" customHeight="1" x14ac:dyDescent="0.25">
      <c r="A1375" t="s">
        <v>921</v>
      </c>
      <c r="B1375" s="32">
        <f t="shared" ca="1" si="19"/>
        <v>44450</v>
      </c>
    </row>
    <row r="1376" spans="1:2" ht="15" customHeight="1" x14ac:dyDescent="0.25">
      <c r="A1376" t="s">
        <v>921</v>
      </c>
      <c r="B1376" s="32">
        <f t="shared" ca="1" si="19"/>
        <v>44450</v>
      </c>
    </row>
    <row r="1377" spans="1:2" ht="15" customHeight="1" x14ac:dyDescent="0.25">
      <c r="A1377" t="s">
        <v>921</v>
      </c>
      <c r="B1377" s="32">
        <f t="shared" ca="1" si="19"/>
        <v>44450</v>
      </c>
    </row>
    <row r="1378" spans="1:2" ht="15" customHeight="1" x14ac:dyDescent="0.25">
      <c r="A1378" t="s">
        <v>921</v>
      </c>
      <c r="B1378" s="32">
        <f t="shared" ca="1" si="19"/>
        <v>44450</v>
      </c>
    </row>
    <row r="1379" spans="1:2" ht="15" customHeight="1" x14ac:dyDescent="0.25">
      <c r="A1379" t="s">
        <v>922</v>
      </c>
      <c r="B1379" s="32">
        <f t="shared" ca="1" si="19"/>
        <v>44450</v>
      </c>
    </row>
    <row r="1380" spans="1:2" ht="15" customHeight="1" x14ac:dyDescent="0.25">
      <c r="A1380" t="s">
        <v>922</v>
      </c>
      <c r="B1380" s="32">
        <f t="shared" ca="1" si="19"/>
        <v>44450</v>
      </c>
    </row>
    <row r="1381" spans="1:2" ht="15" customHeight="1" x14ac:dyDescent="0.25">
      <c r="A1381" t="s">
        <v>922</v>
      </c>
      <c r="B1381" s="32">
        <f t="shared" ca="1" si="19"/>
        <v>44450</v>
      </c>
    </row>
    <row r="1382" spans="1:2" ht="15" customHeight="1" x14ac:dyDescent="0.25">
      <c r="A1382" t="s">
        <v>922</v>
      </c>
      <c r="B1382" s="32">
        <f t="shared" ca="1" si="19"/>
        <v>44450</v>
      </c>
    </row>
    <row r="1383" spans="1:2" ht="15" customHeight="1" x14ac:dyDescent="0.25">
      <c r="A1383" t="s">
        <v>530</v>
      </c>
      <c r="B1383" s="32">
        <f t="shared" ca="1" si="19"/>
        <v>44450</v>
      </c>
    </row>
    <row r="1384" spans="1:2" ht="15" customHeight="1" x14ac:dyDescent="0.25">
      <c r="A1384" t="s">
        <v>388</v>
      </c>
      <c r="B1384" s="32">
        <f t="shared" ca="1" si="19"/>
        <v>44450</v>
      </c>
    </row>
    <row r="1385" spans="1:2" ht="15" customHeight="1" x14ac:dyDescent="0.25">
      <c r="A1385" t="s">
        <v>599</v>
      </c>
      <c r="B1385" s="32">
        <f t="shared" ca="1" si="19"/>
        <v>44450</v>
      </c>
    </row>
    <row r="1386" spans="1:2" ht="15" customHeight="1" x14ac:dyDescent="0.25">
      <c r="A1386" t="s">
        <v>553</v>
      </c>
      <c r="B1386" s="32">
        <f t="shared" ca="1" si="19"/>
        <v>44450</v>
      </c>
    </row>
    <row r="1387" spans="1:2" ht="15" customHeight="1" x14ac:dyDescent="0.25">
      <c r="A1387" t="s">
        <v>553</v>
      </c>
      <c r="B1387" s="32">
        <f t="shared" ca="1" si="19"/>
        <v>44450</v>
      </c>
    </row>
    <row r="1388" spans="1:2" ht="15" customHeight="1" x14ac:dyDescent="0.25">
      <c r="A1388" t="s">
        <v>600</v>
      </c>
      <c r="B1388" s="32">
        <f t="shared" ca="1" si="19"/>
        <v>44450</v>
      </c>
    </row>
    <row r="1389" spans="1:2" ht="15" customHeight="1" x14ac:dyDescent="0.25">
      <c r="A1389" t="s">
        <v>600</v>
      </c>
      <c r="B1389" s="32">
        <f t="shared" ca="1" si="19"/>
        <v>44450</v>
      </c>
    </row>
    <row r="1390" spans="1:2" ht="15" customHeight="1" x14ac:dyDescent="0.25">
      <c r="A1390" t="s">
        <v>531</v>
      </c>
      <c r="B1390" s="32">
        <f t="shared" ca="1" si="19"/>
        <v>44450</v>
      </c>
    </row>
    <row r="1391" spans="1:2" ht="15" customHeight="1" x14ac:dyDescent="0.25">
      <c r="A1391" t="s">
        <v>923</v>
      </c>
      <c r="B1391" s="32">
        <f t="shared" ca="1" si="19"/>
        <v>44450</v>
      </c>
    </row>
    <row r="1392" spans="1:2" ht="15" customHeight="1" x14ac:dyDescent="0.25">
      <c r="A1392" t="s">
        <v>924</v>
      </c>
      <c r="B1392" s="32">
        <f t="shared" ca="1" si="19"/>
        <v>44450</v>
      </c>
    </row>
    <row r="1393" spans="1:2" ht="15" customHeight="1" x14ac:dyDescent="0.25">
      <c r="A1393" t="s">
        <v>924</v>
      </c>
      <c r="B1393" s="32">
        <f t="shared" ca="1" si="19"/>
        <v>44450</v>
      </c>
    </row>
    <row r="1394" spans="1:2" ht="15" customHeight="1" x14ac:dyDescent="0.25">
      <c r="A1394" t="s">
        <v>601</v>
      </c>
      <c r="B1394" s="32">
        <f t="shared" ca="1" si="19"/>
        <v>44450</v>
      </c>
    </row>
    <row r="1395" spans="1:2" ht="15" customHeight="1" x14ac:dyDescent="0.25">
      <c r="A1395" t="s">
        <v>389</v>
      </c>
      <c r="B1395" s="32">
        <f t="shared" ca="1" si="19"/>
        <v>44450</v>
      </c>
    </row>
    <row r="1396" spans="1:2" ht="15" customHeight="1" x14ac:dyDescent="0.25">
      <c r="A1396" t="s">
        <v>532</v>
      </c>
      <c r="B1396" s="32">
        <f t="shared" ca="1" si="19"/>
        <v>44450</v>
      </c>
    </row>
    <row r="1397" spans="1:2" ht="15" customHeight="1" x14ac:dyDescent="0.25">
      <c r="A1397" t="s">
        <v>532</v>
      </c>
      <c r="B1397" s="32">
        <f t="shared" ca="1" si="19"/>
        <v>44450</v>
      </c>
    </row>
    <row r="1398" spans="1:2" ht="15" customHeight="1" x14ac:dyDescent="0.25">
      <c r="A1398" t="s">
        <v>925</v>
      </c>
      <c r="B1398" s="32">
        <f t="shared" ca="1" si="19"/>
        <v>44450</v>
      </c>
    </row>
    <row r="1399" spans="1:2" ht="15" customHeight="1" x14ac:dyDescent="0.25">
      <c r="A1399" t="s">
        <v>926</v>
      </c>
      <c r="B1399" s="32">
        <f t="shared" ca="1" si="19"/>
        <v>44450</v>
      </c>
    </row>
    <row r="1400" spans="1:2" ht="15" customHeight="1" x14ac:dyDescent="0.25">
      <c r="A1400" t="s">
        <v>927</v>
      </c>
      <c r="B1400" s="32">
        <f t="shared" ca="1" si="19"/>
        <v>44450</v>
      </c>
    </row>
    <row r="1401" spans="1:2" ht="15" customHeight="1" x14ac:dyDescent="0.25">
      <c r="A1401" t="s">
        <v>928</v>
      </c>
      <c r="B1401" s="32">
        <f t="shared" ca="1" si="19"/>
        <v>44450</v>
      </c>
    </row>
    <row r="1402" spans="1:2" ht="15" customHeight="1" x14ac:dyDescent="0.25">
      <c r="A1402" t="s">
        <v>390</v>
      </c>
      <c r="B1402" s="32">
        <f t="shared" ca="1" si="19"/>
        <v>44450</v>
      </c>
    </row>
    <row r="1403" spans="1:2" ht="15" customHeight="1" x14ac:dyDescent="0.25">
      <c r="A1403" t="s">
        <v>533</v>
      </c>
      <c r="B1403" s="32">
        <f t="shared" ca="1" si="19"/>
        <v>44450</v>
      </c>
    </row>
    <row r="1404" spans="1:2" ht="15" customHeight="1" x14ac:dyDescent="0.25">
      <c r="A1404" t="s">
        <v>534</v>
      </c>
      <c r="B1404" s="32">
        <f t="shared" ca="1" si="19"/>
        <v>44450</v>
      </c>
    </row>
    <row r="1405" spans="1:2" ht="15" customHeight="1" x14ac:dyDescent="0.25">
      <c r="A1405" t="s">
        <v>391</v>
      </c>
      <c r="B1405" s="32">
        <f t="shared" ca="1" si="19"/>
        <v>44450</v>
      </c>
    </row>
    <row r="1406" spans="1:2" ht="15" customHeight="1" x14ac:dyDescent="0.25">
      <c r="A1406" t="s">
        <v>392</v>
      </c>
      <c r="B1406" s="32">
        <f t="shared" ca="1" si="19"/>
        <v>44450</v>
      </c>
    </row>
    <row r="1407" spans="1:2" ht="15" customHeight="1" x14ac:dyDescent="0.25">
      <c r="A1407" t="s">
        <v>393</v>
      </c>
      <c r="B1407" s="32">
        <f t="shared" ca="1" si="19"/>
        <v>44450</v>
      </c>
    </row>
    <row r="1408" spans="1:2" ht="15" customHeight="1" x14ac:dyDescent="0.25">
      <c r="A1408" t="s">
        <v>394</v>
      </c>
      <c r="B1408" s="32">
        <f t="shared" ca="1" si="19"/>
        <v>44450</v>
      </c>
    </row>
    <row r="1409" spans="1:2" ht="15" customHeight="1" x14ac:dyDescent="0.25">
      <c r="A1409" t="s">
        <v>394</v>
      </c>
      <c r="B1409" s="32">
        <f t="shared" ca="1" si="19"/>
        <v>44450</v>
      </c>
    </row>
    <row r="1410" spans="1:2" ht="15" customHeight="1" x14ac:dyDescent="0.25">
      <c r="A1410" t="s">
        <v>395</v>
      </c>
      <c r="B1410" s="32">
        <f t="shared" ca="1" si="19"/>
        <v>44450</v>
      </c>
    </row>
    <row r="1411" spans="1:2" ht="15" customHeight="1" x14ac:dyDescent="0.25">
      <c r="A1411" t="s">
        <v>396</v>
      </c>
      <c r="B1411" s="32">
        <f t="shared" ca="1" si="19"/>
        <v>44450</v>
      </c>
    </row>
    <row r="1412" spans="1:2" ht="15" customHeight="1" x14ac:dyDescent="0.25">
      <c r="A1412" t="s">
        <v>397</v>
      </c>
      <c r="B1412" s="32">
        <f t="shared" ca="1" si="19"/>
        <v>44450</v>
      </c>
    </row>
    <row r="1413" spans="1:2" ht="15" customHeight="1" x14ac:dyDescent="0.25">
      <c r="A1413" t="s">
        <v>398</v>
      </c>
      <c r="B1413" s="32">
        <f t="shared" ca="1" si="19"/>
        <v>44450</v>
      </c>
    </row>
    <row r="1414" spans="1:2" ht="15" customHeight="1" x14ac:dyDescent="0.25">
      <c r="A1414" t="s">
        <v>399</v>
      </c>
      <c r="B1414" s="32">
        <f t="shared" ca="1" si="19"/>
        <v>44450</v>
      </c>
    </row>
    <row r="1415" spans="1:2" ht="15" customHeight="1" x14ac:dyDescent="0.25">
      <c r="A1415" t="s">
        <v>400</v>
      </c>
      <c r="B1415" s="32">
        <f t="shared" ref="B1415:B1478" ca="1" si="20">TODAY()-150</f>
        <v>44450</v>
      </c>
    </row>
    <row r="1416" spans="1:2" ht="15" customHeight="1" x14ac:dyDescent="0.25">
      <c r="A1416" t="s">
        <v>602</v>
      </c>
      <c r="B1416" s="32">
        <f t="shared" ca="1" si="20"/>
        <v>44450</v>
      </c>
    </row>
    <row r="1417" spans="1:2" ht="15" customHeight="1" x14ac:dyDescent="0.25">
      <c r="A1417" t="s">
        <v>602</v>
      </c>
      <c r="B1417" s="32">
        <f t="shared" ca="1" si="20"/>
        <v>44450</v>
      </c>
    </row>
    <row r="1418" spans="1:2" ht="15" customHeight="1" x14ac:dyDescent="0.25">
      <c r="A1418" t="s">
        <v>401</v>
      </c>
      <c r="B1418" s="32">
        <f t="shared" ca="1" si="20"/>
        <v>44450</v>
      </c>
    </row>
    <row r="1419" spans="1:2" ht="15" customHeight="1" x14ac:dyDescent="0.25">
      <c r="A1419" t="s">
        <v>929</v>
      </c>
      <c r="B1419" s="32">
        <f t="shared" ca="1" si="20"/>
        <v>44450</v>
      </c>
    </row>
    <row r="1420" spans="1:2" ht="15" customHeight="1" x14ac:dyDescent="0.25">
      <c r="A1420" t="s">
        <v>929</v>
      </c>
      <c r="B1420" s="32">
        <f t="shared" ca="1" si="20"/>
        <v>44450</v>
      </c>
    </row>
    <row r="1421" spans="1:2" ht="15" customHeight="1" x14ac:dyDescent="0.25">
      <c r="A1421" t="s">
        <v>929</v>
      </c>
      <c r="B1421" s="32">
        <f t="shared" ca="1" si="20"/>
        <v>44450</v>
      </c>
    </row>
    <row r="1422" spans="1:2" ht="15" customHeight="1" x14ac:dyDescent="0.25">
      <c r="A1422" t="s">
        <v>929</v>
      </c>
      <c r="B1422" s="32">
        <f t="shared" ca="1" si="20"/>
        <v>44450</v>
      </c>
    </row>
    <row r="1423" spans="1:2" ht="15" customHeight="1" x14ac:dyDescent="0.25">
      <c r="A1423" t="s">
        <v>402</v>
      </c>
      <c r="B1423" s="32">
        <f t="shared" ca="1" si="20"/>
        <v>44450</v>
      </c>
    </row>
    <row r="1424" spans="1:2" ht="15" customHeight="1" x14ac:dyDescent="0.25">
      <c r="A1424" t="s">
        <v>403</v>
      </c>
      <c r="B1424" s="32">
        <f t="shared" ca="1" si="20"/>
        <v>44450</v>
      </c>
    </row>
    <row r="1425" spans="1:2" ht="15" customHeight="1" x14ac:dyDescent="0.25">
      <c r="A1425" t="s">
        <v>404</v>
      </c>
      <c r="B1425" s="32">
        <f t="shared" ca="1" si="20"/>
        <v>44450</v>
      </c>
    </row>
    <row r="1426" spans="1:2" ht="15" customHeight="1" x14ac:dyDescent="0.25">
      <c r="A1426" t="s">
        <v>405</v>
      </c>
      <c r="B1426" s="32">
        <f t="shared" ca="1" si="20"/>
        <v>44450</v>
      </c>
    </row>
    <row r="1427" spans="1:2" ht="15" customHeight="1" x14ac:dyDescent="0.25">
      <c r="A1427" t="s">
        <v>930</v>
      </c>
      <c r="B1427" s="32">
        <f t="shared" ca="1" si="20"/>
        <v>44450</v>
      </c>
    </row>
    <row r="1428" spans="1:2" ht="15" customHeight="1" x14ac:dyDescent="0.25">
      <c r="A1428" t="s">
        <v>406</v>
      </c>
      <c r="B1428" s="32">
        <f t="shared" ca="1" si="20"/>
        <v>44450</v>
      </c>
    </row>
    <row r="1429" spans="1:2" ht="15" customHeight="1" x14ac:dyDescent="0.25">
      <c r="A1429" t="s">
        <v>407</v>
      </c>
      <c r="B1429" s="32">
        <f t="shared" ca="1" si="20"/>
        <v>44450</v>
      </c>
    </row>
    <row r="1430" spans="1:2" ht="15" customHeight="1" x14ac:dyDescent="0.25">
      <c r="A1430" t="s">
        <v>408</v>
      </c>
      <c r="B1430" s="32">
        <f t="shared" ca="1" si="20"/>
        <v>44450</v>
      </c>
    </row>
    <row r="1431" spans="1:2" ht="15" customHeight="1" x14ac:dyDescent="0.25">
      <c r="A1431" t="s">
        <v>409</v>
      </c>
      <c r="B1431" s="32">
        <f t="shared" ca="1" si="20"/>
        <v>44450</v>
      </c>
    </row>
    <row r="1432" spans="1:2" ht="15" customHeight="1" x14ac:dyDescent="0.25">
      <c r="A1432" t="s">
        <v>931</v>
      </c>
      <c r="B1432" s="32">
        <f t="shared" ca="1" si="20"/>
        <v>44450</v>
      </c>
    </row>
    <row r="1433" spans="1:2" ht="15" customHeight="1" x14ac:dyDescent="0.25">
      <c r="A1433" t="s">
        <v>931</v>
      </c>
      <c r="B1433" s="32">
        <f t="shared" ca="1" si="20"/>
        <v>44450</v>
      </c>
    </row>
    <row r="1434" spans="1:2" ht="15" customHeight="1" x14ac:dyDescent="0.25">
      <c r="A1434" t="s">
        <v>931</v>
      </c>
      <c r="B1434" s="32">
        <f t="shared" ca="1" si="20"/>
        <v>44450</v>
      </c>
    </row>
    <row r="1435" spans="1:2" ht="15" customHeight="1" x14ac:dyDescent="0.25">
      <c r="A1435" t="s">
        <v>931</v>
      </c>
      <c r="B1435" s="32">
        <f t="shared" ca="1" si="20"/>
        <v>44450</v>
      </c>
    </row>
    <row r="1436" spans="1:2" ht="15" customHeight="1" x14ac:dyDescent="0.25">
      <c r="A1436" t="s">
        <v>931</v>
      </c>
      <c r="B1436" s="32">
        <f t="shared" ca="1" si="20"/>
        <v>44450</v>
      </c>
    </row>
    <row r="1437" spans="1:2" ht="15" customHeight="1" x14ac:dyDescent="0.25">
      <c r="A1437" t="s">
        <v>932</v>
      </c>
      <c r="B1437" s="32">
        <f t="shared" ca="1" si="20"/>
        <v>44450</v>
      </c>
    </row>
    <row r="1438" spans="1:2" ht="15" customHeight="1" x14ac:dyDescent="0.25">
      <c r="A1438" t="s">
        <v>933</v>
      </c>
      <c r="B1438" s="32">
        <f t="shared" ca="1" si="20"/>
        <v>44450</v>
      </c>
    </row>
    <row r="1439" spans="1:2" ht="15" customHeight="1" x14ac:dyDescent="0.25">
      <c r="A1439" t="s">
        <v>410</v>
      </c>
      <c r="B1439" s="32">
        <f t="shared" ca="1" si="20"/>
        <v>44450</v>
      </c>
    </row>
    <row r="1440" spans="1:2" ht="15" customHeight="1" x14ac:dyDescent="0.25">
      <c r="A1440" t="s">
        <v>411</v>
      </c>
      <c r="B1440" s="32">
        <f t="shared" ca="1" si="20"/>
        <v>44450</v>
      </c>
    </row>
    <row r="1441" spans="1:2" ht="15" customHeight="1" x14ac:dyDescent="0.25">
      <c r="A1441" t="s">
        <v>412</v>
      </c>
      <c r="B1441" s="32">
        <f t="shared" ca="1" si="20"/>
        <v>44450</v>
      </c>
    </row>
    <row r="1442" spans="1:2" ht="15" customHeight="1" x14ac:dyDescent="0.25">
      <c r="A1442" t="s">
        <v>413</v>
      </c>
      <c r="B1442" s="32">
        <f t="shared" ca="1" si="20"/>
        <v>44450</v>
      </c>
    </row>
    <row r="1443" spans="1:2" ht="15" customHeight="1" x14ac:dyDescent="0.25">
      <c r="A1443" t="s">
        <v>413</v>
      </c>
      <c r="B1443" s="32">
        <f t="shared" ca="1" si="20"/>
        <v>44450</v>
      </c>
    </row>
    <row r="1444" spans="1:2" ht="15" customHeight="1" x14ac:dyDescent="0.25">
      <c r="A1444" t="s">
        <v>414</v>
      </c>
      <c r="B1444" s="32">
        <f t="shared" ca="1" si="20"/>
        <v>44450</v>
      </c>
    </row>
    <row r="1445" spans="1:2" ht="15" customHeight="1" x14ac:dyDescent="0.25">
      <c r="A1445" t="s">
        <v>415</v>
      </c>
      <c r="B1445" s="32">
        <f t="shared" ca="1" si="20"/>
        <v>44450</v>
      </c>
    </row>
    <row r="1446" spans="1:2" ht="15" customHeight="1" x14ac:dyDescent="0.25">
      <c r="A1446" t="s">
        <v>416</v>
      </c>
      <c r="B1446" s="32">
        <f t="shared" ca="1" si="20"/>
        <v>44450</v>
      </c>
    </row>
    <row r="1447" spans="1:2" ht="15" customHeight="1" x14ac:dyDescent="0.25">
      <c r="A1447" t="s">
        <v>417</v>
      </c>
      <c r="B1447" s="32">
        <f t="shared" ca="1" si="20"/>
        <v>44450</v>
      </c>
    </row>
    <row r="1448" spans="1:2" ht="15" customHeight="1" x14ac:dyDescent="0.25">
      <c r="A1448" t="s">
        <v>418</v>
      </c>
      <c r="B1448" s="32">
        <f t="shared" ca="1" si="20"/>
        <v>44450</v>
      </c>
    </row>
    <row r="1449" spans="1:2" ht="15" customHeight="1" x14ac:dyDescent="0.25">
      <c r="A1449" t="s">
        <v>419</v>
      </c>
      <c r="B1449" s="32">
        <f t="shared" ca="1" si="20"/>
        <v>44450</v>
      </c>
    </row>
    <row r="1450" spans="1:2" ht="15" customHeight="1" x14ac:dyDescent="0.25">
      <c r="A1450" t="s">
        <v>420</v>
      </c>
      <c r="B1450" s="32">
        <f t="shared" ca="1" si="20"/>
        <v>44450</v>
      </c>
    </row>
    <row r="1451" spans="1:2" ht="15" customHeight="1" x14ac:dyDescent="0.25">
      <c r="A1451" t="s">
        <v>421</v>
      </c>
      <c r="B1451" s="32">
        <f t="shared" ca="1" si="20"/>
        <v>44450</v>
      </c>
    </row>
    <row r="1452" spans="1:2" ht="15" customHeight="1" x14ac:dyDescent="0.25">
      <c r="A1452" t="s">
        <v>422</v>
      </c>
      <c r="B1452" s="32">
        <f t="shared" ca="1" si="20"/>
        <v>44450</v>
      </c>
    </row>
    <row r="1453" spans="1:2" ht="15" customHeight="1" x14ac:dyDescent="0.25">
      <c r="A1453" t="s">
        <v>423</v>
      </c>
      <c r="B1453" s="32">
        <f t="shared" ca="1" si="20"/>
        <v>44450</v>
      </c>
    </row>
    <row r="1454" spans="1:2" ht="15" customHeight="1" x14ac:dyDescent="0.25">
      <c r="A1454" t="s">
        <v>424</v>
      </c>
      <c r="B1454" s="32">
        <f t="shared" ca="1" si="20"/>
        <v>44450</v>
      </c>
    </row>
    <row r="1455" spans="1:2" ht="15" customHeight="1" x14ac:dyDescent="0.25">
      <c r="A1455" t="s">
        <v>425</v>
      </c>
      <c r="B1455" s="32">
        <f t="shared" ca="1" si="20"/>
        <v>44450</v>
      </c>
    </row>
    <row r="1456" spans="1:2" ht="15" customHeight="1" x14ac:dyDescent="0.25">
      <c r="A1456" t="s">
        <v>425</v>
      </c>
      <c r="B1456" s="32">
        <f t="shared" ca="1" si="20"/>
        <v>44450</v>
      </c>
    </row>
    <row r="1457" spans="1:2" ht="15" customHeight="1" x14ac:dyDescent="0.25">
      <c r="A1457" t="s">
        <v>426</v>
      </c>
      <c r="B1457" s="32">
        <f t="shared" ca="1" si="20"/>
        <v>44450</v>
      </c>
    </row>
    <row r="1458" spans="1:2" ht="15" customHeight="1" x14ac:dyDescent="0.25">
      <c r="A1458" t="s">
        <v>426</v>
      </c>
      <c r="B1458" s="32">
        <f t="shared" ca="1" si="20"/>
        <v>44450</v>
      </c>
    </row>
    <row r="1459" spans="1:2" ht="15" customHeight="1" x14ac:dyDescent="0.25">
      <c r="A1459" t="s">
        <v>427</v>
      </c>
      <c r="B1459" s="32">
        <f t="shared" ca="1" si="20"/>
        <v>44450</v>
      </c>
    </row>
    <row r="1460" spans="1:2" ht="15" customHeight="1" x14ac:dyDescent="0.25">
      <c r="A1460" t="s">
        <v>428</v>
      </c>
      <c r="B1460" s="32">
        <f t="shared" ca="1" si="20"/>
        <v>44450</v>
      </c>
    </row>
    <row r="1461" spans="1:2" ht="15" customHeight="1" x14ac:dyDescent="0.25">
      <c r="A1461" t="s">
        <v>428</v>
      </c>
      <c r="B1461" s="32">
        <f t="shared" ca="1" si="20"/>
        <v>44450</v>
      </c>
    </row>
    <row r="1462" spans="1:2" ht="15" customHeight="1" x14ac:dyDescent="0.25">
      <c r="A1462" t="s">
        <v>429</v>
      </c>
      <c r="B1462" s="32">
        <f t="shared" ca="1" si="20"/>
        <v>44450</v>
      </c>
    </row>
    <row r="1463" spans="1:2" ht="15" customHeight="1" x14ac:dyDescent="0.25">
      <c r="A1463" t="s">
        <v>430</v>
      </c>
      <c r="B1463" s="32">
        <f t="shared" ca="1" si="20"/>
        <v>44450</v>
      </c>
    </row>
    <row r="1464" spans="1:2" ht="15" customHeight="1" x14ac:dyDescent="0.25">
      <c r="A1464" t="s">
        <v>430</v>
      </c>
      <c r="B1464" s="32">
        <f t="shared" ca="1" si="20"/>
        <v>44450</v>
      </c>
    </row>
    <row r="1465" spans="1:2" ht="15" customHeight="1" x14ac:dyDescent="0.25">
      <c r="A1465" t="s">
        <v>431</v>
      </c>
      <c r="B1465" s="32">
        <f t="shared" ca="1" si="20"/>
        <v>44450</v>
      </c>
    </row>
    <row r="1466" spans="1:2" ht="15" customHeight="1" x14ac:dyDescent="0.25">
      <c r="A1466" t="s">
        <v>431</v>
      </c>
      <c r="B1466" s="32">
        <f t="shared" ca="1" si="20"/>
        <v>44450</v>
      </c>
    </row>
    <row r="1467" spans="1:2" ht="15" customHeight="1" x14ac:dyDescent="0.25">
      <c r="A1467" t="s">
        <v>432</v>
      </c>
      <c r="B1467" s="32">
        <f t="shared" ca="1" si="20"/>
        <v>44450</v>
      </c>
    </row>
    <row r="1468" spans="1:2" ht="15" customHeight="1" x14ac:dyDescent="0.25">
      <c r="A1468" t="s">
        <v>603</v>
      </c>
      <c r="B1468" s="32">
        <f t="shared" ca="1" si="20"/>
        <v>44450</v>
      </c>
    </row>
    <row r="1469" spans="1:2" ht="15" customHeight="1" x14ac:dyDescent="0.25">
      <c r="A1469" t="s">
        <v>934</v>
      </c>
      <c r="B1469" s="32">
        <f t="shared" ca="1" si="20"/>
        <v>44450</v>
      </c>
    </row>
    <row r="1470" spans="1:2" ht="15" customHeight="1" x14ac:dyDescent="0.25">
      <c r="A1470" t="s">
        <v>934</v>
      </c>
      <c r="B1470" s="32">
        <f t="shared" ca="1" si="20"/>
        <v>44450</v>
      </c>
    </row>
    <row r="1471" spans="1:2" ht="15" customHeight="1" x14ac:dyDescent="0.25">
      <c r="A1471" t="s">
        <v>934</v>
      </c>
      <c r="B1471" s="32">
        <f t="shared" ca="1" si="20"/>
        <v>44450</v>
      </c>
    </row>
    <row r="1472" spans="1:2" ht="15" customHeight="1" x14ac:dyDescent="0.25">
      <c r="A1472" t="s">
        <v>934</v>
      </c>
      <c r="B1472" s="32">
        <f t="shared" ca="1" si="20"/>
        <v>44450</v>
      </c>
    </row>
    <row r="1473" spans="1:2" ht="15" customHeight="1" x14ac:dyDescent="0.25">
      <c r="A1473" t="s">
        <v>934</v>
      </c>
      <c r="B1473" s="32">
        <f t="shared" ca="1" si="20"/>
        <v>44450</v>
      </c>
    </row>
    <row r="1474" spans="1:2" ht="15" customHeight="1" x14ac:dyDescent="0.25">
      <c r="A1474" t="s">
        <v>934</v>
      </c>
      <c r="B1474" s="32">
        <f t="shared" ca="1" si="20"/>
        <v>44450</v>
      </c>
    </row>
    <row r="1475" spans="1:2" ht="15" customHeight="1" x14ac:dyDescent="0.25">
      <c r="A1475" t="s">
        <v>934</v>
      </c>
      <c r="B1475" s="32">
        <f t="shared" ca="1" si="20"/>
        <v>44450</v>
      </c>
    </row>
    <row r="1476" spans="1:2" ht="15" customHeight="1" x14ac:dyDescent="0.25">
      <c r="A1476" t="s">
        <v>934</v>
      </c>
      <c r="B1476" s="32">
        <f t="shared" ca="1" si="20"/>
        <v>44450</v>
      </c>
    </row>
    <row r="1477" spans="1:2" ht="15" customHeight="1" x14ac:dyDescent="0.25">
      <c r="A1477" t="s">
        <v>934</v>
      </c>
      <c r="B1477" s="32">
        <f t="shared" ca="1" si="20"/>
        <v>44450</v>
      </c>
    </row>
    <row r="1478" spans="1:2" ht="15" customHeight="1" x14ac:dyDescent="0.25">
      <c r="A1478" t="s">
        <v>934</v>
      </c>
      <c r="B1478" s="32">
        <f t="shared" ca="1" si="20"/>
        <v>44450</v>
      </c>
    </row>
    <row r="1479" spans="1:2" ht="15" customHeight="1" x14ac:dyDescent="0.25">
      <c r="A1479" t="s">
        <v>934</v>
      </c>
      <c r="B1479" s="32">
        <f t="shared" ref="B1479:B1542" ca="1" si="21">TODAY()-150</f>
        <v>44450</v>
      </c>
    </row>
    <row r="1480" spans="1:2" ht="15" customHeight="1" x14ac:dyDescent="0.25">
      <c r="A1480" t="s">
        <v>934</v>
      </c>
      <c r="B1480" s="32">
        <f t="shared" ca="1" si="21"/>
        <v>44450</v>
      </c>
    </row>
    <row r="1481" spans="1:2" ht="15" customHeight="1" x14ac:dyDescent="0.25">
      <c r="A1481" t="s">
        <v>934</v>
      </c>
      <c r="B1481" s="32">
        <f t="shared" ca="1" si="21"/>
        <v>44450</v>
      </c>
    </row>
    <row r="1482" spans="1:2" ht="15" customHeight="1" x14ac:dyDescent="0.25">
      <c r="A1482" t="s">
        <v>934</v>
      </c>
      <c r="B1482" s="32">
        <f t="shared" ca="1" si="21"/>
        <v>44450</v>
      </c>
    </row>
    <row r="1483" spans="1:2" ht="15" customHeight="1" x14ac:dyDescent="0.25">
      <c r="A1483" t="s">
        <v>934</v>
      </c>
      <c r="B1483" s="32">
        <f t="shared" ca="1" si="21"/>
        <v>44450</v>
      </c>
    </row>
    <row r="1484" spans="1:2" ht="15" customHeight="1" x14ac:dyDescent="0.25">
      <c r="A1484" t="s">
        <v>935</v>
      </c>
      <c r="B1484" s="32">
        <f t="shared" ca="1" si="21"/>
        <v>44450</v>
      </c>
    </row>
    <row r="1485" spans="1:2" ht="15" customHeight="1" x14ac:dyDescent="0.25">
      <c r="A1485" t="s">
        <v>935</v>
      </c>
      <c r="B1485" s="32">
        <f t="shared" ca="1" si="21"/>
        <v>44450</v>
      </c>
    </row>
    <row r="1486" spans="1:2" ht="15" customHeight="1" x14ac:dyDescent="0.25">
      <c r="A1486" t="s">
        <v>935</v>
      </c>
      <c r="B1486" s="32">
        <f t="shared" ca="1" si="21"/>
        <v>44450</v>
      </c>
    </row>
    <row r="1487" spans="1:2" ht="15" customHeight="1" x14ac:dyDescent="0.25">
      <c r="A1487" t="s">
        <v>935</v>
      </c>
      <c r="B1487" s="32">
        <f t="shared" ca="1" si="21"/>
        <v>44450</v>
      </c>
    </row>
    <row r="1488" spans="1:2" ht="15" customHeight="1" x14ac:dyDescent="0.25">
      <c r="A1488" t="s">
        <v>935</v>
      </c>
      <c r="B1488" s="32">
        <f t="shared" ca="1" si="21"/>
        <v>44450</v>
      </c>
    </row>
    <row r="1489" spans="1:2" ht="15" customHeight="1" x14ac:dyDescent="0.25">
      <c r="A1489" t="s">
        <v>935</v>
      </c>
      <c r="B1489" s="32">
        <f t="shared" ca="1" si="21"/>
        <v>44450</v>
      </c>
    </row>
    <row r="1490" spans="1:2" ht="15" customHeight="1" x14ac:dyDescent="0.25">
      <c r="A1490" t="s">
        <v>935</v>
      </c>
      <c r="B1490" s="32">
        <f t="shared" ca="1" si="21"/>
        <v>44450</v>
      </c>
    </row>
    <row r="1491" spans="1:2" ht="15" customHeight="1" x14ac:dyDescent="0.25">
      <c r="A1491" t="s">
        <v>935</v>
      </c>
      <c r="B1491" s="32">
        <f t="shared" ca="1" si="21"/>
        <v>44450</v>
      </c>
    </row>
    <row r="1492" spans="1:2" ht="15" customHeight="1" x14ac:dyDescent="0.25">
      <c r="A1492" t="s">
        <v>935</v>
      </c>
      <c r="B1492" s="32">
        <f t="shared" ca="1" si="21"/>
        <v>44450</v>
      </c>
    </row>
    <row r="1493" spans="1:2" ht="15" customHeight="1" x14ac:dyDescent="0.25">
      <c r="A1493" t="s">
        <v>935</v>
      </c>
      <c r="B1493" s="32">
        <f t="shared" ca="1" si="21"/>
        <v>44450</v>
      </c>
    </row>
    <row r="1494" spans="1:2" ht="15" customHeight="1" x14ac:dyDescent="0.25">
      <c r="A1494" t="s">
        <v>935</v>
      </c>
      <c r="B1494" s="32">
        <f t="shared" ca="1" si="21"/>
        <v>44450</v>
      </c>
    </row>
    <row r="1495" spans="1:2" ht="15" customHeight="1" x14ac:dyDescent="0.25">
      <c r="A1495" t="s">
        <v>935</v>
      </c>
      <c r="B1495" s="32">
        <f t="shared" ca="1" si="21"/>
        <v>44450</v>
      </c>
    </row>
    <row r="1496" spans="1:2" ht="15" customHeight="1" x14ac:dyDescent="0.25">
      <c r="A1496" t="s">
        <v>935</v>
      </c>
      <c r="B1496" s="32">
        <f t="shared" ca="1" si="21"/>
        <v>44450</v>
      </c>
    </row>
    <row r="1497" spans="1:2" ht="15" customHeight="1" x14ac:dyDescent="0.25">
      <c r="A1497" t="s">
        <v>936</v>
      </c>
      <c r="B1497" s="32">
        <f t="shared" ca="1" si="21"/>
        <v>44450</v>
      </c>
    </row>
    <row r="1498" spans="1:2" ht="15" customHeight="1" x14ac:dyDescent="0.25">
      <c r="A1498" t="s">
        <v>936</v>
      </c>
      <c r="B1498" s="32">
        <f t="shared" ca="1" si="21"/>
        <v>44450</v>
      </c>
    </row>
    <row r="1499" spans="1:2" ht="15" customHeight="1" x14ac:dyDescent="0.25">
      <c r="A1499" t="s">
        <v>936</v>
      </c>
      <c r="B1499" s="32">
        <f t="shared" ca="1" si="21"/>
        <v>44450</v>
      </c>
    </row>
    <row r="1500" spans="1:2" ht="15" customHeight="1" x14ac:dyDescent="0.25">
      <c r="A1500" t="s">
        <v>936</v>
      </c>
      <c r="B1500" s="32">
        <f t="shared" ca="1" si="21"/>
        <v>44450</v>
      </c>
    </row>
    <row r="1501" spans="1:2" ht="15" customHeight="1" x14ac:dyDescent="0.25">
      <c r="A1501" t="s">
        <v>936</v>
      </c>
      <c r="B1501" s="32">
        <f t="shared" ca="1" si="21"/>
        <v>44450</v>
      </c>
    </row>
    <row r="1502" spans="1:2" ht="15" customHeight="1" x14ac:dyDescent="0.25">
      <c r="A1502" t="s">
        <v>936</v>
      </c>
      <c r="B1502" s="32">
        <f t="shared" ca="1" si="21"/>
        <v>44450</v>
      </c>
    </row>
    <row r="1503" spans="1:2" ht="15" customHeight="1" x14ac:dyDescent="0.25">
      <c r="A1503" t="s">
        <v>433</v>
      </c>
      <c r="B1503" s="32">
        <f t="shared" ca="1" si="21"/>
        <v>44450</v>
      </c>
    </row>
    <row r="1504" spans="1:2" ht="15" customHeight="1" x14ac:dyDescent="0.25">
      <c r="A1504" t="s">
        <v>434</v>
      </c>
      <c r="B1504" s="32">
        <f t="shared" ca="1" si="21"/>
        <v>44450</v>
      </c>
    </row>
    <row r="1505" spans="1:2" ht="15" customHeight="1" x14ac:dyDescent="0.25">
      <c r="A1505" t="s">
        <v>434</v>
      </c>
      <c r="B1505" s="32">
        <f t="shared" ca="1" si="21"/>
        <v>44450</v>
      </c>
    </row>
    <row r="1506" spans="1:2" ht="15" customHeight="1" x14ac:dyDescent="0.25">
      <c r="A1506" t="s">
        <v>435</v>
      </c>
      <c r="B1506" s="32">
        <f t="shared" ca="1" si="21"/>
        <v>44450</v>
      </c>
    </row>
    <row r="1507" spans="1:2" ht="15" customHeight="1" x14ac:dyDescent="0.25">
      <c r="A1507" t="s">
        <v>436</v>
      </c>
      <c r="B1507" s="32">
        <f t="shared" ca="1" si="21"/>
        <v>44450</v>
      </c>
    </row>
    <row r="1508" spans="1:2" ht="15" customHeight="1" x14ac:dyDescent="0.25">
      <c r="A1508" t="s">
        <v>437</v>
      </c>
      <c r="B1508" s="32">
        <f t="shared" ca="1" si="21"/>
        <v>44450</v>
      </c>
    </row>
    <row r="1509" spans="1:2" ht="15" customHeight="1" x14ac:dyDescent="0.25">
      <c r="A1509" t="s">
        <v>438</v>
      </c>
      <c r="B1509" s="32">
        <f t="shared" ca="1" si="21"/>
        <v>44450</v>
      </c>
    </row>
    <row r="1510" spans="1:2" ht="15" customHeight="1" x14ac:dyDescent="0.25">
      <c r="A1510" t="s">
        <v>937</v>
      </c>
      <c r="B1510" s="32">
        <f t="shared" ca="1" si="21"/>
        <v>44450</v>
      </c>
    </row>
    <row r="1511" spans="1:2" ht="15" customHeight="1" x14ac:dyDescent="0.25">
      <c r="A1511" t="s">
        <v>937</v>
      </c>
      <c r="B1511" s="32">
        <f t="shared" ca="1" si="21"/>
        <v>44450</v>
      </c>
    </row>
    <row r="1512" spans="1:2" ht="15" customHeight="1" x14ac:dyDescent="0.25">
      <c r="A1512" t="s">
        <v>937</v>
      </c>
      <c r="B1512" s="32">
        <f t="shared" ca="1" si="21"/>
        <v>44450</v>
      </c>
    </row>
    <row r="1513" spans="1:2" ht="15" customHeight="1" x14ac:dyDescent="0.25">
      <c r="A1513" t="s">
        <v>937</v>
      </c>
      <c r="B1513" s="32">
        <f t="shared" ca="1" si="21"/>
        <v>44450</v>
      </c>
    </row>
    <row r="1514" spans="1:2" ht="15" customHeight="1" x14ac:dyDescent="0.25">
      <c r="A1514" t="s">
        <v>937</v>
      </c>
      <c r="B1514" s="32">
        <f t="shared" ca="1" si="21"/>
        <v>44450</v>
      </c>
    </row>
    <row r="1515" spans="1:2" ht="15" customHeight="1" x14ac:dyDescent="0.25">
      <c r="A1515" t="s">
        <v>937</v>
      </c>
      <c r="B1515" s="32">
        <f t="shared" ca="1" si="21"/>
        <v>44450</v>
      </c>
    </row>
    <row r="1516" spans="1:2" ht="15" customHeight="1" x14ac:dyDescent="0.25">
      <c r="A1516" t="s">
        <v>439</v>
      </c>
      <c r="B1516" s="32">
        <f t="shared" ca="1" si="21"/>
        <v>44450</v>
      </c>
    </row>
    <row r="1517" spans="1:2" ht="15" customHeight="1" x14ac:dyDescent="0.25">
      <c r="A1517" t="s">
        <v>440</v>
      </c>
      <c r="B1517" s="32">
        <f t="shared" ca="1" si="21"/>
        <v>44450</v>
      </c>
    </row>
    <row r="1518" spans="1:2" ht="15" customHeight="1" x14ac:dyDescent="0.25">
      <c r="A1518" t="s">
        <v>441</v>
      </c>
      <c r="B1518" s="32">
        <f t="shared" ca="1" si="21"/>
        <v>44450</v>
      </c>
    </row>
    <row r="1519" spans="1:2" ht="15" customHeight="1" x14ac:dyDescent="0.25">
      <c r="A1519" t="s">
        <v>442</v>
      </c>
      <c r="B1519" s="32">
        <f t="shared" ca="1" si="21"/>
        <v>44450</v>
      </c>
    </row>
    <row r="1520" spans="1:2" ht="15" customHeight="1" x14ac:dyDescent="0.25">
      <c r="A1520" t="s">
        <v>443</v>
      </c>
      <c r="B1520" s="32">
        <f t="shared" ca="1" si="21"/>
        <v>44450</v>
      </c>
    </row>
    <row r="1521" spans="1:2" ht="15" customHeight="1" x14ac:dyDescent="0.25">
      <c r="A1521" t="s">
        <v>444</v>
      </c>
      <c r="B1521" s="32">
        <f t="shared" ca="1" si="21"/>
        <v>44450</v>
      </c>
    </row>
    <row r="1522" spans="1:2" ht="15" customHeight="1" x14ac:dyDescent="0.25">
      <c r="A1522" t="s">
        <v>445</v>
      </c>
      <c r="B1522" s="32">
        <f t="shared" ca="1" si="21"/>
        <v>44450</v>
      </c>
    </row>
    <row r="1523" spans="1:2" ht="15" customHeight="1" x14ac:dyDescent="0.25">
      <c r="A1523" t="s">
        <v>446</v>
      </c>
      <c r="B1523" s="32">
        <f t="shared" ca="1" si="21"/>
        <v>44450</v>
      </c>
    </row>
    <row r="1524" spans="1:2" ht="15" customHeight="1" x14ac:dyDescent="0.25">
      <c r="A1524" t="s">
        <v>447</v>
      </c>
      <c r="B1524" s="32">
        <f t="shared" ca="1" si="21"/>
        <v>44450</v>
      </c>
    </row>
    <row r="1525" spans="1:2" ht="15" customHeight="1" x14ac:dyDescent="0.25">
      <c r="A1525" t="s">
        <v>448</v>
      </c>
      <c r="B1525" s="32">
        <f t="shared" ca="1" si="21"/>
        <v>44450</v>
      </c>
    </row>
    <row r="1526" spans="1:2" ht="15" customHeight="1" x14ac:dyDescent="0.25">
      <c r="A1526" t="s">
        <v>449</v>
      </c>
      <c r="B1526" s="32">
        <f t="shared" ca="1" si="21"/>
        <v>44450</v>
      </c>
    </row>
    <row r="1527" spans="1:2" ht="15" customHeight="1" x14ac:dyDescent="0.25">
      <c r="A1527" t="s">
        <v>450</v>
      </c>
      <c r="B1527" s="32">
        <f t="shared" ca="1" si="21"/>
        <v>44450</v>
      </c>
    </row>
    <row r="1528" spans="1:2" ht="15" customHeight="1" x14ac:dyDescent="0.25">
      <c r="A1528" t="s">
        <v>938</v>
      </c>
      <c r="B1528" s="32">
        <f t="shared" ca="1" si="21"/>
        <v>44450</v>
      </c>
    </row>
    <row r="1529" spans="1:2" ht="15" customHeight="1" x14ac:dyDescent="0.25">
      <c r="A1529" t="s">
        <v>938</v>
      </c>
      <c r="B1529" s="32">
        <f t="shared" ca="1" si="21"/>
        <v>44450</v>
      </c>
    </row>
    <row r="1530" spans="1:2" ht="15" customHeight="1" x14ac:dyDescent="0.25">
      <c r="A1530" t="s">
        <v>938</v>
      </c>
      <c r="B1530" s="32">
        <f t="shared" ca="1" si="21"/>
        <v>44450</v>
      </c>
    </row>
    <row r="1531" spans="1:2" ht="15" customHeight="1" x14ac:dyDescent="0.25">
      <c r="A1531" t="s">
        <v>938</v>
      </c>
      <c r="B1531" s="32">
        <f t="shared" ca="1" si="21"/>
        <v>44450</v>
      </c>
    </row>
    <row r="1532" spans="1:2" ht="15" customHeight="1" x14ac:dyDescent="0.25">
      <c r="A1532" t="s">
        <v>938</v>
      </c>
      <c r="B1532" s="32">
        <f t="shared" ca="1" si="21"/>
        <v>44450</v>
      </c>
    </row>
    <row r="1533" spans="1:2" ht="15" customHeight="1" x14ac:dyDescent="0.25">
      <c r="A1533" t="s">
        <v>938</v>
      </c>
      <c r="B1533" s="32">
        <f t="shared" ca="1" si="21"/>
        <v>44450</v>
      </c>
    </row>
    <row r="1534" spans="1:2" ht="15" customHeight="1" x14ac:dyDescent="0.25">
      <c r="A1534" t="s">
        <v>938</v>
      </c>
      <c r="B1534" s="32">
        <f t="shared" ca="1" si="21"/>
        <v>44450</v>
      </c>
    </row>
    <row r="1535" spans="1:2" ht="15" customHeight="1" x14ac:dyDescent="0.25">
      <c r="A1535" t="s">
        <v>939</v>
      </c>
      <c r="B1535" s="32">
        <f t="shared" ca="1" si="21"/>
        <v>44450</v>
      </c>
    </row>
    <row r="1536" spans="1:2" ht="15" customHeight="1" x14ac:dyDescent="0.25">
      <c r="A1536" t="s">
        <v>939</v>
      </c>
      <c r="B1536" s="32">
        <f t="shared" ca="1" si="21"/>
        <v>44450</v>
      </c>
    </row>
    <row r="1537" spans="1:2" ht="15" customHeight="1" x14ac:dyDescent="0.25">
      <c r="A1537" t="s">
        <v>939</v>
      </c>
      <c r="B1537" s="32">
        <f t="shared" ca="1" si="21"/>
        <v>44450</v>
      </c>
    </row>
    <row r="1538" spans="1:2" ht="15" customHeight="1" x14ac:dyDescent="0.25">
      <c r="A1538" t="s">
        <v>939</v>
      </c>
      <c r="B1538" s="32">
        <f t="shared" ca="1" si="21"/>
        <v>44450</v>
      </c>
    </row>
    <row r="1539" spans="1:2" ht="15" customHeight="1" x14ac:dyDescent="0.25">
      <c r="A1539" t="s">
        <v>939</v>
      </c>
      <c r="B1539" s="32">
        <f t="shared" ca="1" si="21"/>
        <v>44450</v>
      </c>
    </row>
    <row r="1540" spans="1:2" ht="15" customHeight="1" x14ac:dyDescent="0.25">
      <c r="A1540" t="s">
        <v>939</v>
      </c>
      <c r="B1540" s="32">
        <f t="shared" ca="1" si="21"/>
        <v>44450</v>
      </c>
    </row>
    <row r="1541" spans="1:2" ht="15" customHeight="1" x14ac:dyDescent="0.25">
      <c r="A1541" t="s">
        <v>547</v>
      </c>
      <c r="B1541" s="32">
        <f t="shared" ca="1" si="21"/>
        <v>44450</v>
      </c>
    </row>
    <row r="1542" spans="1:2" ht="15" customHeight="1" x14ac:dyDescent="0.25">
      <c r="A1542" t="s">
        <v>548</v>
      </c>
      <c r="B1542" s="32">
        <f t="shared" ca="1" si="21"/>
        <v>44450</v>
      </c>
    </row>
    <row r="1543" spans="1:2" ht="15" customHeight="1" x14ac:dyDescent="0.25">
      <c r="A1543" t="s">
        <v>549</v>
      </c>
      <c r="B1543" s="32">
        <f t="shared" ref="B1543:B1606" ca="1" si="22">TODAY()-150</f>
        <v>44450</v>
      </c>
    </row>
    <row r="1544" spans="1:2" ht="15" customHeight="1" x14ac:dyDescent="0.25">
      <c r="A1544" t="s">
        <v>550</v>
      </c>
      <c r="B1544" s="32">
        <f t="shared" ca="1" si="22"/>
        <v>44450</v>
      </c>
    </row>
    <row r="1545" spans="1:2" ht="15" customHeight="1" x14ac:dyDescent="0.25">
      <c r="A1545" t="s">
        <v>551</v>
      </c>
      <c r="B1545" s="32">
        <f t="shared" ca="1" si="22"/>
        <v>44450</v>
      </c>
    </row>
    <row r="1546" spans="1:2" ht="15" customHeight="1" x14ac:dyDescent="0.25">
      <c r="A1546" t="s">
        <v>552</v>
      </c>
      <c r="B1546" s="32">
        <f t="shared" ca="1" si="22"/>
        <v>44450</v>
      </c>
    </row>
    <row r="1547" spans="1:2" ht="15" customHeight="1" x14ac:dyDescent="0.25">
      <c r="A1547" t="s">
        <v>940</v>
      </c>
      <c r="B1547" s="32">
        <f t="shared" ca="1" si="22"/>
        <v>44450</v>
      </c>
    </row>
    <row r="1548" spans="1:2" ht="15" customHeight="1" x14ac:dyDescent="0.25">
      <c r="A1548" t="s">
        <v>940</v>
      </c>
      <c r="B1548" s="32">
        <f t="shared" ca="1" si="22"/>
        <v>44450</v>
      </c>
    </row>
    <row r="1549" spans="1:2" ht="15" customHeight="1" x14ac:dyDescent="0.25">
      <c r="A1549" t="s">
        <v>940</v>
      </c>
      <c r="B1549" s="32">
        <f t="shared" ca="1" si="22"/>
        <v>44450</v>
      </c>
    </row>
    <row r="1550" spans="1:2" ht="15" customHeight="1" x14ac:dyDescent="0.25">
      <c r="A1550" t="s">
        <v>941</v>
      </c>
      <c r="B1550" s="32">
        <f t="shared" ca="1" si="22"/>
        <v>44450</v>
      </c>
    </row>
    <row r="1551" spans="1:2" ht="15" customHeight="1" x14ac:dyDescent="0.25">
      <c r="A1551" t="s">
        <v>941</v>
      </c>
      <c r="B1551" s="32">
        <f t="shared" ca="1" si="22"/>
        <v>44450</v>
      </c>
    </row>
    <row r="1552" spans="1:2" ht="15" customHeight="1" x14ac:dyDescent="0.25">
      <c r="A1552" t="s">
        <v>941</v>
      </c>
      <c r="B1552" s="32">
        <f t="shared" ca="1" si="22"/>
        <v>44450</v>
      </c>
    </row>
    <row r="1553" spans="1:2" ht="15" customHeight="1" x14ac:dyDescent="0.25">
      <c r="A1553" t="s">
        <v>451</v>
      </c>
      <c r="B1553" s="32">
        <f t="shared" ca="1" si="22"/>
        <v>44450</v>
      </c>
    </row>
    <row r="1554" spans="1:2" ht="15" customHeight="1" x14ac:dyDescent="0.25">
      <c r="A1554" t="s">
        <v>452</v>
      </c>
      <c r="B1554" s="32">
        <f t="shared" ca="1" si="22"/>
        <v>44450</v>
      </c>
    </row>
    <row r="1555" spans="1:2" ht="15" customHeight="1" x14ac:dyDescent="0.25">
      <c r="A1555" t="s">
        <v>453</v>
      </c>
      <c r="B1555" s="32">
        <f t="shared" ca="1" si="22"/>
        <v>44450</v>
      </c>
    </row>
    <row r="1556" spans="1:2" ht="15" customHeight="1" x14ac:dyDescent="0.25">
      <c r="A1556" t="s">
        <v>454</v>
      </c>
      <c r="B1556" s="32">
        <f t="shared" ca="1" si="22"/>
        <v>44450</v>
      </c>
    </row>
    <row r="1557" spans="1:2" ht="15" customHeight="1" x14ac:dyDescent="0.25">
      <c r="A1557" t="s">
        <v>942</v>
      </c>
      <c r="B1557" s="32">
        <f t="shared" ca="1" si="22"/>
        <v>44450</v>
      </c>
    </row>
    <row r="1558" spans="1:2" ht="15" customHeight="1" x14ac:dyDescent="0.25">
      <c r="A1558" t="s">
        <v>942</v>
      </c>
      <c r="B1558" s="32">
        <f t="shared" ca="1" si="22"/>
        <v>44450</v>
      </c>
    </row>
    <row r="1559" spans="1:2" ht="15" customHeight="1" x14ac:dyDescent="0.25">
      <c r="A1559" t="s">
        <v>942</v>
      </c>
      <c r="B1559" s="32">
        <f t="shared" ca="1" si="22"/>
        <v>44450</v>
      </c>
    </row>
    <row r="1560" spans="1:2" ht="15" customHeight="1" x14ac:dyDescent="0.25">
      <c r="A1560" t="s">
        <v>942</v>
      </c>
      <c r="B1560" s="32">
        <f t="shared" ca="1" si="22"/>
        <v>44450</v>
      </c>
    </row>
    <row r="1561" spans="1:2" ht="15" customHeight="1" x14ac:dyDescent="0.25">
      <c r="A1561" t="s">
        <v>943</v>
      </c>
      <c r="B1561" s="32">
        <f t="shared" ca="1" si="22"/>
        <v>44450</v>
      </c>
    </row>
    <row r="1562" spans="1:2" ht="15" customHeight="1" x14ac:dyDescent="0.25">
      <c r="A1562" t="s">
        <v>943</v>
      </c>
      <c r="B1562" s="32">
        <f t="shared" ca="1" si="22"/>
        <v>44450</v>
      </c>
    </row>
    <row r="1563" spans="1:2" ht="15" customHeight="1" x14ac:dyDescent="0.25">
      <c r="A1563" t="s">
        <v>455</v>
      </c>
      <c r="B1563" s="32">
        <f t="shared" ca="1" si="22"/>
        <v>44450</v>
      </c>
    </row>
    <row r="1564" spans="1:2" ht="15" customHeight="1" x14ac:dyDescent="0.25">
      <c r="A1564" t="s">
        <v>944</v>
      </c>
      <c r="B1564" s="32">
        <f t="shared" ca="1" si="22"/>
        <v>44450</v>
      </c>
    </row>
    <row r="1565" spans="1:2" ht="15" customHeight="1" x14ac:dyDescent="0.25">
      <c r="A1565" t="s">
        <v>456</v>
      </c>
      <c r="B1565" s="32">
        <f t="shared" ca="1" si="22"/>
        <v>44450</v>
      </c>
    </row>
    <row r="1566" spans="1:2" ht="15" customHeight="1" x14ac:dyDescent="0.25">
      <c r="A1566" t="s">
        <v>456</v>
      </c>
      <c r="B1566" s="32">
        <f t="shared" ca="1" si="22"/>
        <v>44450</v>
      </c>
    </row>
    <row r="1567" spans="1:2" ht="15" customHeight="1" x14ac:dyDescent="0.25">
      <c r="A1567" t="s">
        <v>924</v>
      </c>
      <c r="B1567" s="32">
        <f t="shared" ca="1" si="22"/>
        <v>44450</v>
      </c>
    </row>
    <row r="1568" spans="1:2" ht="15" customHeight="1" x14ac:dyDescent="0.25">
      <c r="A1568" t="s">
        <v>924</v>
      </c>
      <c r="B1568" s="32">
        <f t="shared" ca="1" si="22"/>
        <v>44450</v>
      </c>
    </row>
    <row r="1569" spans="1:2" ht="15" customHeight="1" x14ac:dyDescent="0.25">
      <c r="A1569" t="s">
        <v>924</v>
      </c>
      <c r="B1569" s="32">
        <f t="shared" ca="1" si="22"/>
        <v>44450</v>
      </c>
    </row>
    <row r="1570" spans="1:2" ht="15" customHeight="1" x14ac:dyDescent="0.25">
      <c r="A1570" t="s">
        <v>924</v>
      </c>
      <c r="B1570" s="32">
        <f t="shared" ca="1" si="22"/>
        <v>44450</v>
      </c>
    </row>
    <row r="1571" spans="1:2" ht="15" customHeight="1" x14ac:dyDescent="0.25">
      <c r="A1571" t="s">
        <v>924</v>
      </c>
      <c r="B1571" s="32">
        <f t="shared" ca="1" si="22"/>
        <v>44450</v>
      </c>
    </row>
    <row r="1572" spans="1:2" ht="15" customHeight="1" x14ac:dyDescent="0.25">
      <c r="A1572" t="s">
        <v>924</v>
      </c>
      <c r="B1572" s="32">
        <f t="shared" ca="1" si="22"/>
        <v>44450</v>
      </c>
    </row>
    <row r="1573" spans="1:2" ht="15" customHeight="1" x14ac:dyDescent="0.25">
      <c r="A1573" t="s">
        <v>924</v>
      </c>
      <c r="B1573" s="32">
        <f t="shared" ca="1" si="22"/>
        <v>44450</v>
      </c>
    </row>
    <row r="1574" spans="1:2" ht="15" customHeight="1" x14ac:dyDescent="0.25">
      <c r="A1574" t="s">
        <v>924</v>
      </c>
      <c r="B1574" s="32">
        <f t="shared" ca="1" si="22"/>
        <v>44450</v>
      </c>
    </row>
    <row r="1575" spans="1:2" ht="15" customHeight="1" x14ac:dyDescent="0.25">
      <c r="A1575" t="s">
        <v>924</v>
      </c>
      <c r="B1575" s="32">
        <f t="shared" ca="1" si="22"/>
        <v>44450</v>
      </c>
    </row>
    <row r="1576" spans="1:2" ht="15" customHeight="1" x14ac:dyDescent="0.25">
      <c r="A1576" t="s">
        <v>924</v>
      </c>
      <c r="B1576" s="32">
        <f t="shared" ca="1" si="22"/>
        <v>44450</v>
      </c>
    </row>
    <row r="1577" spans="1:2" ht="15" customHeight="1" x14ac:dyDescent="0.25">
      <c r="A1577" t="s">
        <v>924</v>
      </c>
      <c r="B1577" s="32">
        <f t="shared" ca="1" si="22"/>
        <v>44450</v>
      </c>
    </row>
    <row r="1578" spans="1:2" ht="15" customHeight="1" x14ac:dyDescent="0.25">
      <c r="A1578" t="s">
        <v>924</v>
      </c>
      <c r="B1578" s="32">
        <f t="shared" ca="1" si="22"/>
        <v>44450</v>
      </c>
    </row>
    <row r="1579" spans="1:2" ht="15" customHeight="1" x14ac:dyDescent="0.25">
      <c r="A1579" t="s">
        <v>924</v>
      </c>
      <c r="B1579" s="32">
        <f t="shared" ca="1" si="22"/>
        <v>44450</v>
      </c>
    </row>
    <row r="1580" spans="1:2" ht="15" customHeight="1" x14ac:dyDescent="0.25">
      <c r="A1580" t="s">
        <v>924</v>
      </c>
      <c r="B1580" s="32">
        <f t="shared" ca="1" si="22"/>
        <v>44450</v>
      </c>
    </row>
    <row r="1581" spans="1:2" ht="15" customHeight="1" x14ac:dyDescent="0.25">
      <c r="A1581" t="s">
        <v>924</v>
      </c>
      <c r="B1581" s="32">
        <f t="shared" ca="1" si="22"/>
        <v>44450</v>
      </c>
    </row>
    <row r="1582" spans="1:2" ht="15" customHeight="1" x14ac:dyDescent="0.25">
      <c r="A1582" t="s">
        <v>457</v>
      </c>
      <c r="B1582" s="32">
        <f t="shared" ca="1" si="22"/>
        <v>44450</v>
      </c>
    </row>
    <row r="1583" spans="1:2" ht="15" customHeight="1" x14ac:dyDescent="0.25">
      <c r="A1583" t="s">
        <v>945</v>
      </c>
      <c r="B1583" s="32">
        <f t="shared" ca="1" si="22"/>
        <v>44450</v>
      </c>
    </row>
    <row r="1584" spans="1:2" ht="15" customHeight="1" x14ac:dyDescent="0.25">
      <c r="A1584" t="s">
        <v>458</v>
      </c>
      <c r="B1584" s="32">
        <f t="shared" ca="1" si="22"/>
        <v>44450</v>
      </c>
    </row>
    <row r="1585" spans="1:2" ht="15" customHeight="1" x14ac:dyDescent="0.25">
      <c r="A1585" t="s">
        <v>458</v>
      </c>
      <c r="B1585" s="32">
        <f t="shared" ca="1" si="22"/>
        <v>44450</v>
      </c>
    </row>
    <row r="1586" spans="1:2" ht="15" customHeight="1" x14ac:dyDescent="0.25">
      <c r="A1586" t="s">
        <v>946</v>
      </c>
      <c r="B1586" s="32">
        <f t="shared" ca="1" si="22"/>
        <v>44450</v>
      </c>
    </row>
    <row r="1587" spans="1:2" ht="15" customHeight="1" x14ac:dyDescent="0.25">
      <c r="A1587" t="s">
        <v>946</v>
      </c>
      <c r="B1587" s="32">
        <f t="shared" ca="1" si="22"/>
        <v>44450</v>
      </c>
    </row>
    <row r="1588" spans="1:2" ht="15" customHeight="1" x14ac:dyDescent="0.25">
      <c r="A1588" t="s">
        <v>459</v>
      </c>
      <c r="B1588" s="32">
        <f t="shared" ca="1" si="22"/>
        <v>44450</v>
      </c>
    </row>
    <row r="1589" spans="1:2" ht="15" customHeight="1" x14ac:dyDescent="0.25">
      <c r="A1589" t="s">
        <v>460</v>
      </c>
      <c r="B1589" s="32">
        <f t="shared" ca="1" si="22"/>
        <v>44450</v>
      </c>
    </row>
    <row r="1590" spans="1:2" ht="15" customHeight="1" x14ac:dyDescent="0.25">
      <c r="A1590" t="s">
        <v>461</v>
      </c>
      <c r="B1590" s="32">
        <f t="shared" ca="1" si="22"/>
        <v>44450</v>
      </c>
    </row>
    <row r="1591" spans="1:2" ht="15" customHeight="1" x14ac:dyDescent="0.25">
      <c r="A1591" t="s">
        <v>947</v>
      </c>
      <c r="B1591" s="32">
        <f t="shared" ca="1" si="22"/>
        <v>44450</v>
      </c>
    </row>
    <row r="1592" spans="1:2" ht="15" customHeight="1" x14ac:dyDescent="0.25">
      <c r="A1592" t="s">
        <v>947</v>
      </c>
      <c r="B1592" s="32">
        <f t="shared" ca="1" si="22"/>
        <v>44450</v>
      </c>
    </row>
    <row r="1593" spans="1:2" ht="15" customHeight="1" x14ac:dyDescent="0.25">
      <c r="A1593" t="s">
        <v>947</v>
      </c>
      <c r="B1593" s="32">
        <f t="shared" ca="1" si="22"/>
        <v>44450</v>
      </c>
    </row>
    <row r="1594" spans="1:2" ht="15" customHeight="1" x14ac:dyDescent="0.25">
      <c r="A1594" t="s">
        <v>947</v>
      </c>
      <c r="B1594" s="32">
        <f t="shared" ca="1" si="22"/>
        <v>44450</v>
      </c>
    </row>
    <row r="1595" spans="1:2" ht="15" customHeight="1" x14ac:dyDescent="0.25">
      <c r="A1595" t="s">
        <v>947</v>
      </c>
      <c r="B1595" s="32">
        <f t="shared" ca="1" si="22"/>
        <v>44450</v>
      </c>
    </row>
    <row r="1596" spans="1:2" ht="15" customHeight="1" x14ac:dyDescent="0.25">
      <c r="A1596" t="s">
        <v>948</v>
      </c>
      <c r="B1596" s="32">
        <f t="shared" ca="1" si="22"/>
        <v>44450</v>
      </c>
    </row>
    <row r="1597" spans="1:2" ht="15" customHeight="1" x14ac:dyDescent="0.25">
      <c r="A1597" t="s">
        <v>949</v>
      </c>
      <c r="B1597" s="32">
        <f t="shared" ca="1" si="22"/>
        <v>44450</v>
      </c>
    </row>
    <row r="1598" spans="1:2" ht="15" customHeight="1" x14ac:dyDescent="0.25">
      <c r="A1598" t="s">
        <v>949</v>
      </c>
      <c r="B1598" s="32">
        <f t="shared" ca="1" si="22"/>
        <v>44450</v>
      </c>
    </row>
    <row r="1599" spans="1:2" ht="15" customHeight="1" x14ac:dyDescent="0.25">
      <c r="A1599" t="s">
        <v>949</v>
      </c>
      <c r="B1599" s="32">
        <f t="shared" ca="1" si="22"/>
        <v>44450</v>
      </c>
    </row>
    <row r="1600" spans="1:2" ht="15" customHeight="1" x14ac:dyDescent="0.25">
      <c r="A1600" t="s">
        <v>949</v>
      </c>
      <c r="B1600" s="32">
        <f t="shared" ca="1" si="22"/>
        <v>44450</v>
      </c>
    </row>
    <row r="1601" spans="1:2" ht="15" customHeight="1" x14ac:dyDescent="0.25">
      <c r="A1601" t="s">
        <v>949</v>
      </c>
      <c r="B1601" s="32">
        <f t="shared" ca="1" si="22"/>
        <v>44450</v>
      </c>
    </row>
    <row r="1602" spans="1:2" ht="15" customHeight="1" x14ac:dyDescent="0.25">
      <c r="A1602" t="s">
        <v>949</v>
      </c>
      <c r="B1602" s="32">
        <f t="shared" ca="1" si="22"/>
        <v>44450</v>
      </c>
    </row>
    <row r="1603" spans="1:2" ht="15" customHeight="1" x14ac:dyDescent="0.25">
      <c r="A1603" t="s">
        <v>950</v>
      </c>
      <c r="B1603" s="32">
        <f t="shared" ca="1" si="22"/>
        <v>44450</v>
      </c>
    </row>
    <row r="1604" spans="1:2" ht="15" customHeight="1" x14ac:dyDescent="0.25">
      <c r="A1604" t="s">
        <v>950</v>
      </c>
      <c r="B1604" s="32">
        <f t="shared" ca="1" si="22"/>
        <v>44450</v>
      </c>
    </row>
    <row r="1605" spans="1:2" ht="15" customHeight="1" x14ac:dyDescent="0.25">
      <c r="A1605" t="s">
        <v>950</v>
      </c>
      <c r="B1605" s="32">
        <f t="shared" ca="1" si="22"/>
        <v>44450</v>
      </c>
    </row>
    <row r="1606" spans="1:2" ht="15" customHeight="1" x14ac:dyDescent="0.25">
      <c r="A1606" t="s">
        <v>950</v>
      </c>
      <c r="B1606" s="32">
        <f t="shared" ca="1" si="22"/>
        <v>44450</v>
      </c>
    </row>
    <row r="1607" spans="1:2" ht="15" customHeight="1" x14ac:dyDescent="0.25">
      <c r="A1607" t="s">
        <v>950</v>
      </c>
      <c r="B1607" s="32">
        <f t="shared" ref="B1607:B1670" ca="1" si="23">TODAY()-150</f>
        <v>44450</v>
      </c>
    </row>
    <row r="1608" spans="1:2" ht="15" customHeight="1" x14ac:dyDescent="0.25">
      <c r="A1608" t="s">
        <v>950</v>
      </c>
      <c r="B1608" s="32">
        <f t="shared" ca="1" si="23"/>
        <v>44450</v>
      </c>
    </row>
    <row r="1609" spans="1:2" ht="15" customHeight="1" x14ac:dyDescent="0.25">
      <c r="A1609" t="s">
        <v>950</v>
      </c>
      <c r="B1609" s="32">
        <f t="shared" ca="1" si="23"/>
        <v>44450</v>
      </c>
    </row>
    <row r="1610" spans="1:2" ht="15" customHeight="1" x14ac:dyDescent="0.25">
      <c r="A1610" t="s">
        <v>950</v>
      </c>
      <c r="B1610" s="32">
        <f t="shared" ca="1" si="23"/>
        <v>44450</v>
      </c>
    </row>
    <row r="1611" spans="1:2" ht="15" customHeight="1" x14ac:dyDescent="0.25">
      <c r="A1611" t="s">
        <v>951</v>
      </c>
      <c r="B1611" s="32">
        <f t="shared" ca="1" si="23"/>
        <v>44450</v>
      </c>
    </row>
    <row r="1612" spans="1:2" ht="15" customHeight="1" x14ac:dyDescent="0.25">
      <c r="A1612" t="s">
        <v>951</v>
      </c>
      <c r="B1612" s="32">
        <f t="shared" ca="1" si="23"/>
        <v>44450</v>
      </c>
    </row>
    <row r="1613" spans="1:2" ht="15" customHeight="1" x14ac:dyDescent="0.25">
      <c r="A1613" t="s">
        <v>462</v>
      </c>
      <c r="B1613" s="32">
        <f t="shared" ca="1" si="23"/>
        <v>44450</v>
      </c>
    </row>
    <row r="1614" spans="1:2" ht="15" customHeight="1" x14ac:dyDescent="0.25">
      <c r="A1614" t="s">
        <v>463</v>
      </c>
      <c r="B1614" s="32">
        <f t="shared" ca="1" si="23"/>
        <v>44450</v>
      </c>
    </row>
    <row r="1615" spans="1:2" ht="15" customHeight="1" x14ac:dyDescent="0.25">
      <c r="A1615" t="s">
        <v>464</v>
      </c>
      <c r="B1615" s="32">
        <f t="shared" ca="1" si="23"/>
        <v>44450</v>
      </c>
    </row>
    <row r="1616" spans="1:2" ht="15" customHeight="1" x14ac:dyDescent="0.25">
      <c r="A1616" t="s">
        <v>952</v>
      </c>
      <c r="B1616" s="32">
        <f t="shared" ca="1" si="23"/>
        <v>44450</v>
      </c>
    </row>
    <row r="1617" spans="1:2" ht="15" customHeight="1" x14ac:dyDescent="0.25">
      <c r="A1617" t="s">
        <v>952</v>
      </c>
      <c r="B1617" s="32">
        <f t="shared" ca="1" si="23"/>
        <v>44450</v>
      </c>
    </row>
    <row r="1618" spans="1:2" ht="15" customHeight="1" x14ac:dyDescent="0.25">
      <c r="A1618" t="s">
        <v>953</v>
      </c>
      <c r="B1618" s="32">
        <f t="shared" ca="1" si="23"/>
        <v>44450</v>
      </c>
    </row>
    <row r="1619" spans="1:2" ht="15" customHeight="1" x14ac:dyDescent="0.25">
      <c r="A1619" t="s">
        <v>953</v>
      </c>
      <c r="B1619" s="32">
        <f t="shared" ca="1" si="23"/>
        <v>44450</v>
      </c>
    </row>
    <row r="1620" spans="1:2" ht="15" customHeight="1" x14ac:dyDescent="0.25">
      <c r="A1620" t="s">
        <v>954</v>
      </c>
      <c r="B1620" s="32">
        <f t="shared" ca="1" si="23"/>
        <v>44450</v>
      </c>
    </row>
    <row r="1621" spans="1:2" ht="15" customHeight="1" x14ac:dyDescent="0.25">
      <c r="A1621" t="s">
        <v>954</v>
      </c>
      <c r="B1621" s="32">
        <f t="shared" ca="1" si="23"/>
        <v>44450</v>
      </c>
    </row>
    <row r="1622" spans="1:2" ht="15" customHeight="1" x14ac:dyDescent="0.25">
      <c r="A1622" t="s">
        <v>955</v>
      </c>
      <c r="B1622" s="32">
        <f t="shared" ca="1" si="23"/>
        <v>44450</v>
      </c>
    </row>
    <row r="1623" spans="1:2" ht="15" customHeight="1" x14ac:dyDescent="0.25">
      <c r="A1623" t="s">
        <v>955</v>
      </c>
      <c r="B1623" s="32">
        <f t="shared" ca="1" si="23"/>
        <v>44450</v>
      </c>
    </row>
    <row r="1624" spans="1:2" ht="15" customHeight="1" x14ac:dyDescent="0.25">
      <c r="A1624" t="s">
        <v>955</v>
      </c>
      <c r="B1624" s="32">
        <f t="shared" ca="1" si="23"/>
        <v>44450</v>
      </c>
    </row>
    <row r="1625" spans="1:2" ht="15" customHeight="1" x14ac:dyDescent="0.25">
      <c r="A1625" t="s">
        <v>956</v>
      </c>
      <c r="B1625" s="32">
        <f t="shared" ca="1" si="23"/>
        <v>44450</v>
      </c>
    </row>
    <row r="1626" spans="1:2" ht="15" customHeight="1" x14ac:dyDescent="0.25">
      <c r="A1626" t="s">
        <v>956</v>
      </c>
      <c r="B1626" s="32">
        <f t="shared" ca="1" si="23"/>
        <v>44450</v>
      </c>
    </row>
    <row r="1627" spans="1:2" ht="15" customHeight="1" x14ac:dyDescent="0.25">
      <c r="A1627" t="s">
        <v>957</v>
      </c>
      <c r="B1627" s="32">
        <f t="shared" ca="1" si="23"/>
        <v>44450</v>
      </c>
    </row>
    <row r="1628" spans="1:2" ht="15" customHeight="1" x14ac:dyDescent="0.25">
      <c r="A1628" t="s">
        <v>958</v>
      </c>
      <c r="B1628" s="32">
        <f t="shared" ca="1" si="23"/>
        <v>44450</v>
      </c>
    </row>
    <row r="1629" spans="1:2" ht="15" customHeight="1" x14ac:dyDescent="0.25">
      <c r="A1629" t="s">
        <v>958</v>
      </c>
      <c r="B1629" s="32">
        <f t="shared" ca="1" si="23"/>
        <v>44450</v>
      </c>
    </row>
    <row r="1630" spans="1:2" ht="15" customHeight="1" x14ac:dyDescent="0.25">
      <c r="A1630" t="s">
        <v>959</v>
      </c>
      <c r="B1630" s="32">
        <f t="shared" ca="1" si="23"/>
        <v>44450</v>
      </c>
    </row>
    <row r="1631" spans="1:2" ht="15" customHeight="1" x14ac:dyDescent="0.25">
      <c r="A1631" t="s">
        <v>959</v>
      </c>
      <c r="B1631" s="32">
        <f t="shared" ca="1" si="23"/>
        <v>44450</v>
      </c>
    </row>
    <row r="1632" spans="1:2" ht="15" customHeight="1" x14ac:dyDescent="0.25">
      <c r="A1632" t="s">
        <v>959</v>
      </c>
      <c r="B1632" s="32">
        <f t="shared" ca="1" si="23"/>
        <v>44450</v>
      </c>
    </row>
    <row r="1633" spans="1:2" ht="15" customHeight="1" x14ac:dyDescent="0.25">
      <c r="A1633" t="s">
        <v>959</v>
      </c>
      <c r="B1633" s="32">
        <f t="shared" ca="1" si="23"/>
        <v>44450</v>
      </c>
    </row>
    <row r="1634" spans="1:2" ht="15" customHeight="1" x14ac:dyDescent="0.25">
      <c r="A1634" t="s">
        <v>959</v>
      </c>
      <c r="B1634" s="32">
        <f t="shared" ca="1" si="23"/>
        <v>44450</v>
      </c>
    </row>
    <row r="1635" spans="1:2" ht="15" customHeight="1" x14ac:dyDescent="0.25">
      <c r="A1635" t="s">
        <v>960</v>
      </c>
      <c r="B1635" s="32">
        <f t="shared" ca="1" si="23"/>
        <v>44450</v>
      </c>
    </row>
    <row r="1636" spans="1:2" ht="15" customHeight="1" x14ac:dyDescent="0.25">
      <c r="A1636" t="s">
        <v>960</v>
      </c>
      <c r="B1636" s="32">
        <f t="shared" ca="1" si="23"/>
        <v>44450</v>
      </c>
    </row>
    <row r="1637" spans="1:2" ht="15" customHeight="1" x14ac:dyDescent="0.25">
      <c r="A1637" t="s">
        <v>535</v>
      </c>
      <c r="B1637" s="32">
        <f t="shared" ca="1" si="23"/>
        <v>44450</v>
      </c>
    </row>
    <row r="1638" spans="1:2" ht="15" customHeight="1" x14ac:dyDescent="0.25">
      <c r="A1638" t="s">
        <v>536</v>
      </c>
      <c r="B1638" s="32">
        <f t="shared" ca="1" si="23"/>
        <v>44450</v>
      </c>
    </row>
    <row r="1639" spans="1:2" ht="15" customHeight="1" x14ac:dyDescent="0.25">
      <c r="A1639" t="s">
        <v>537</v>
      </c>
      <c r="B1639" s="32">
        <f t="shared" ca="1" si="23"/>
        <v>44450</v>
      </c>
    </row>
    <row r="1640" spans="1:2" ht="15" customHeight="1" x14ac:dyDescent="0.25">
      <c r="A1640" t="s">
        <v>961</v>
      </c>
      <c r="B1640" s="32">
        <f t="shared" ca="1" si="23"/>
        <v>44450</v>
      </c>
    </row>
    <row r="1641" spans="1:2" ht="15" customHeight="1" x14ac:dyDescent="0.25">
      <c r="A1641" t="s">
        <v>962</v>
      </c>
      <c r="B1641" s="32">
        <f t="shared" ca="1" si="23"/>
        <v>44450</v>
      </c>
    </row>
    <row r="1642" spans="1:2" ht="15" customHeight="1" x14ac:dyDescent="0.25">
      <c r="A1642" t="s">
        <v>962</v>
      </c>
      <c r="B1642" s="32">
        <f t="shared" ca="1" si="23"/>
        <v>44450</v>
      </c>
    </row>
    <row r="1643" spans="1:2" ht="15" customHeight="1" x14ac:dyDescent="0.25">
      <c r="A1643" t="s">
        <v>962</v>
      </c>
      <c r="B1643" s="32">
        <f t="shared" ca="1" si="23"/>
        <v>44450</v>
      </c>
    </row>
    <row r="1644" spans="1:2" ht="15" customHeight="1" x14ac:dyDescent="0.25">
      <c r="A1644" t="s">
        <v>962</v>
      </c>
      <c r="B1644" s="32">
        <f t="shared" ca="1" si="23"/>
        <v>44450</v>
      </c>
    </row>
    <row r="1645" spans="1:2" ht="15" customHeight="1" x14ac:dyDescent="0.25">
      <c r="A1645" t="s">
        <v>962</v>
      </c>
      <c r="B1645" s="32">
        <f t="shared" ca="1" si="23"/>
        <v>44450</v>
      </c>
    </row>
    <row r="1646" spans="1:2" ht="15" customHeight="1" x14ac:dyDescent="0.25">
      <c r="A1646" t="s">
        <v>963</v>
      </c>
      <c r="B1646" s="32">
        <f t="shared" ca="1" si="23"/>
        <v>44450</v>
      </c>
    </row>
    <row r="1647" spans="1:2" ht="15" customHeight="1" x14ac:dyDescent="0.25">
      <c r="A1647" t="s">
        <v>963</v>
      </c>
      <c r="B1647" s="32">
        <f t="shared" ca="1" si="23"/>
        <v>44450</v>
      </c>
    </row>
    <row r="1648" spans="1:2" ht="15" customHeight="1" x14ac:dyDescent="0.25">
      <c r="A1648" t="s">
        <v>962</v>
      </c>
      <c r="B1648" s="32">
        <f t="shared" ca="1" si="23"/>
        <v>44450</v>
      </c>
    </row>
    <row r="1649" spans="1:2" ht="15" customHeight="1" x14ac:dyDescent="0.25">
      <c r="A1649" t="s">
        <v>465</v>
      </c>
      <c r="B1649" s="32">
        <f t="shared" ca="1" si="23"/>
        <v>44450</v>
      </c>
    </row>
    <row r="1650" spans="1:2" ht="15" customHeight="1" x14ac:dyDescent="0.25">
      <c r="A1650" t="s">
        <v>465</v>
      </c>
      <c r="B1650" s="32">
        <f t="shared" ca="1" si="23"/>
        <v>44450</v>
      </c>
    </row>
    <row r="1651" spans="1:2" ht="15" customHeight="1" x14ac:dyDescent="0.25">
      <c r="A1651" t="s">
        <v>466</v>
      </c>
      <c r="B1651" s="32">
        <f t="shared" ca="1" si="23"/>
        <v>44450</v>
      </c>
    </row>
    <row r="1652" spans="1:2" ht="15" customHeight="1" x14ac:dyDescent="0.25">
      <c r="A1652" t="s">
        <v>467</v>
      </c>
      <c r="B1652" s="32">
        <f t="shared" ca="1" si="23"/>
        <v>44450</v>
      </c>
    </row>
    <row r="1653" spans="1:2" ht="15" customHeight="1" x14ac:dyDescent="0.25">
      <c r="A1653" t="s">
        <v>467</v>
      </c>
      <c r="B1653" s="32">
        <f t="shared" ca="1" si="23"/>
        <v>44450</v>
      </c>
    </row>
    <row r="1654" spans="1:2" ht="15" customHeight="1" x14ac:dyDescent="0.25">
      <c r="A1654" t="s">
        <v>468</v>
      </c>
      <c r="B1654" s="32">
        <f t="shared" ca="1" si="23"/>
        <v>44450</v>
      </c>
    </row>
    <row r="1655" spans="1:2" ht="15" customHeight="1" x14ac:dyDescent="0.25">
      <c r="A1655" t="s">
        <v>469</v>
      </c>
      <c r="B1655" s="32">
        <f t="shared" ca="1" si="23"/>
        <v>44450</v>
      </c>
    </row>
    <row r="1656" spans="1:2" ht="15" customHeight="1" x14ac:dyDescent="0.25">
      <c r="A1656" t="s">
        <v>964</v>
      </c>
      <c r="B1656" s="32">
        <f t="shared" ca="1" si="23"/>
        <v>44450</v>
      </c>
    </row>
    <row r="1657" spans="1:2" ht="15" customHeight="1" x14ac:dyDescent="0.25">
      <c r="A1657" t="s">
        <v>964</v>
      </c>
      <c r="B1657" s="32">
        <f t="shared" ca="1" si="23"/>
        <v>44450</v>
      </c>
    </row>
    <row r="1658" spans="1:2" ht="15" customHeight="1" x14ac:dyDescent="0.25">
      <c r="A1658" t="s">
        <v>964</v>
      </c>
      <c r="B1658" s="32">
        <f t="shared" ca="1" si="23"/>
        <v>44450</v>
      </c>
    </row>
    <row r="1659" spans="1:2" ht="15" customHeight="1" x14ac:dyDescent="0.25">
      <c r="A1659" t="s">
        <v>964</v>
      </c>
      <c r="B1659" s="32">
        <f t="shared" ca="1" si="23"/>
        <v>44450</v>
      </c>
    </row>
    <row r="1660" spans="1:2" ht="15" customHeight="1" x14ac:dyDescent="0.25">
      <c r="A1660" t="s">
        <v>964</v>
      </c>
      <c r="B1660" s="32">
        <f t="shared" ca="1" si="23"/>
        <v>44450</v>
      </c>
    </row>
    <row r="1661" spans="1:2" ht="15" customHeight="1" x14ac:dyDescent="0.25">
      <c r="A1661" t="s">
        <v>964</v>
      </c>
      <c r="B1661" s="32">
        <f t="shared" ca="1" si="23"/>
        <v>44450</v>
      </c>
    </row>
    <row r="1662" spans="1:2" ht="15" customHeight="1" x14ac:dyDescent="0.25">
      <c r="A1662" t="s">
        <v>964</v>
      </c>
      <c r="B1662" s="32">
        <f t="shared" ca="1" si="23"/>
        <v>44450</v>
      </c>
    </row>
    <row r="1663" spans="1:2" ht="15" customHeight="1" x14ac:dyDescent="0.25">
      <c r="A1663" t="s">
        <v>964</v>
      </c>
      <c r="B1663" s="32">
        <f t="shared" ca="1" si="23"/>
        <v>44450</v>
      </c>
    </row>
    <row r="1664" spans="1:2" ht="15" customHeight="1" x14ac:dyDescent="0.25">
      <c r="A1664" t="s">
        <v>965</v>
      </c>
      <c r="B1664" s="32">
        <f t="shared" ca="1" si="23"/>
        <v>44450</v>
      </c>
    </row>
    <row r="1665" spans="1:2" ht="15" customHeight="1" x14ac:dyDescent="0.25">
      <c r="A1665" t="s">
        <v>966</v>
      </c>
      <c r="B1665" s="32">
        <f t="shared" ca="1" si="23"/>
        <v>44450</v>
      </c>
    </row>
    <row r="1666" spans="1:2" ht="15" customHeight="1" x14ac:dyDescent="0.25">
      <c r="A1666" t="s">
        <v>966</v>
      </c>
      <c r="B1666" s="32">
        <f t="shared" ca="1" si="23"/>
        <v>44450</v>
      </c>
    </row>
    <row r="1667" spans="1:2" ht="15" customHeight="1" x14ac:dyDescent="0.25">
      <c r="A1667" t="s">
        <v>966</v>
      </c>
      <c r="B1667" s="32">
        <f t="shared" ca="1" si="23"/>
        <v>44450</v>
      </c>
    </row>
    <row r="1668" spans="1:2" ht="15" customHeight="1" x14ac:dyDescent="0.25">
      <c r="A1668" t="s">
        <v>966</v>
      </c>
      <c r="B1668" s="32">
        <f t="shared" ca="1" si="23"/>
        <v>44450</v>
      </c>
    </row>
    <row r="1669" spans="1:2" ht="15" customHeight="1" x14ac:dyDescent="0.25">
      <c r="A1669" t="s">
        <v>966</v>
      </c>
      <c r="B1669" s="32">
        <f t="shared" ca="1" si="23"/>
        <v>44450</v>
      </c>
    </row>
    <row r="1670" spans="1:2" ht="15" customHeight="1" x14ac:dyDescent="0.25">
      <c r="A1670" t="s">
        <v>966</v>
      </c>
      <c r="B1670" s="32">
        <f t="shared" ca="1" si="23"/>
        <v>44450</v>
      </c>
    </row>
    <row r="1671" spans="1:2" ht="15" customHeight="1" x14ac:dyDescent="0.25">
      <c r="A1671" t="s">
        <v>966</v>
      </c>
      <c r="B1671" s="32">
        <f t="shared" ref="B1671:B1734" ca="1" si="24">TODAY()-150</f>
        <v>44450</v>
      </c>
    </row>
    <row r="1672" spans="1:2" ht="15" customHeight="1" x14ac:dyDescent="0.25">
      <c r="A1672" t="s">
        <v>966</v>
      </c>
      <c r="B1672" s="32">
        <f t="shared" ca="1" si="24"/>
        <v>44450</v>
      </c>
    </row>
    <row r="1673" spans="1:2" ht="15" customHeight="1" x14ac:dyDescent="0.25">
      <c r="A1673" t="s">
        <v>538</v>
      </c>
      <c r="B1673" s="32">
        <f t="shared" ca="1" si="24"/>
        <v>44450</v>
      </c>
    </row>
    <row r="1674" spans="1:2" ht="15" customHeight="1" x14ac:dyDescent="0.25">
      <c r="A1674" t="s">
        <v>538</v>
      </c>
      <c r="B1674" s="32">
        <f t="shared" ca="1" si="24"/>
        <v>44450</v>
      </c>
    </row>
    <row r="1675" spans="1:2" ht="15" customHeight="1" x14ac:dyDescent="0.25">
      <c r="A1675" t="s">
        <v>539</v>
      </c>
      <c r="B1675" s="32">
        <f t="shared" ca="1" si="24"/>
        <v>44450</v>
      </c>
    </row>
    <row r="1676" spans="1:2" ht="15" customHeight="1" x14ac:dyDescent="0.25">
      <c r="A1676" t="s">
        <v>540</v>
      </c>
      <c r="B1676" s="32">
        <f t="shared" ca="1" si="24"/>
        <v>44450</v>
      </c>
    </row>
    <row r="1677" spans="1:2" ht="15" customHeight="1" x14ac:dyDescent="0.25">
      <c r="A1677" t="s">
        <v>540</v>
      </c>
      <c r="B1677" s="32">
        <f t="shared" ca="1" si="24"/>
        <v>44450</v>
      </c>
    </row>
    <row r="1678" spans="1:2" ht="15" customHeight="1" x14ac:dyDescent="0.25">
      <c r="A1678" t="s">
        <v>541</v>
      </c>
      <c r="B1678" s="32">
        <f t="shared" ca="1" si="24"/>
        <v>44450</v>
      </c>
    </row>
    <row r="1679" spans="1:2" ht="15" customHeight="1" x14ac:dyDescent="0.25">
      <c r="A1679" t="s">
        <v>541</v>
      </c>
      <c r="B1679" s="32">
        <f t="shared" ca="1" si="24"/>
        <v>44450</v>
      </c>
    </row>
    <row r="1680" spans="1:2" ht="15" customHeight="1" x14ac:dyDescent="0.25">
      <c r="A1680" t="s">
        <v>542</v>
      </c>
      <c r="B1680" s="32">
        <f t="shared" ca="1" si="24"/>
        <v>44450</v>
      </c>
    </row>
    <row r="1681" spans="1:2" ht="15" customHeight="1" x14ac:dyDescent="0.25">
      <c r="A1681" t="s">
        <v>470</v>
      </c>
      <c r="B1681" s="32">
        <f t="shared" ca="1" si="24"/>
        <v>44450</v>
      </c>
    </row>
    <row r="1682" spans="1:2" ht="15" customHeight="1" x14ac:dyDescent="0.25">
      <c r="A1682" t="s">
        <v>470</v>
      </c>
      <c r="B1682" s="32">
        <f t="shared" ca="1" si="24"/>
        <v>44450</v>
      </c>
    </row>
    <row r="1683" spans="1:2" ht="15" customHeight="1" x14ac:dyDescent="0.25">
      <c r="A1683" t="s">
        <v>956</v>
      </c>
      <c r="B1683" s="32">
        <f t="shared" ca="1" si="24"/>
        <v>44450</v>
      </c>
    </row>
    <row r="1684" spans="1:2" ht="15" customHeight="1" x14ac:dyDescent="0.25">
      <c r="A1684" t="s">
        <v>956</v>
      </c>
      <c r="B1684" s="32">
        <f t="shared" ca="1" si="24"/>
        <v>44450</v>
      </c>
    </row>
    <row r="1685" spans="1:2" ht="15" customHeight="1" x14ac:dyDescent="0.25">
      <c r="A1685" t="s">
        <v>471</v>
      </c>
      <c r="B1685" s="32">
        <f t="shared" ca="1" si="24"/>
        <v>44450</v>
      </c>
    </row>
    <row r="1686" spans="1:2" ht="15" customHeight="1" x14ac:dyDescent="0.25">
      <c r="A1686" t="s">
        <v>472</v>
      </c>
      <c r="B1686" s="32">
        <f t="shared" ca="1" si="24"/>
        <v>44450</v>
      </c>
    </row>
    <row r="1687" spans="1:2" ht="15" customHeight="1" x14ac:dyDescent="0.25">
      <c r="A1687" t="s">
        <v>473</v>
      </c>
      <c r="B1687" s="32">
        <f t="shared" ca="1" si="24"/>
        <v>44450</v>
      </c>
    </row>
    <row r="1688" spans="1:2" ht="15" customHeight="1" x14ac:dyDescent="0.25">
      <c r="A1688" t="s">
        <v>967</v>
      </c>
      <c r="B1688" s="32">
        <f t="shared" ca="1" si="24"/>
        <v>44450</v>
      </c>
    </row>
    <row r="1689" spans="1:2" ht="15" customHeight="1" x14ac:dyDescent="0.25">
      <c r="A1689" t="s">
        <v>967</v>
      </c>
      <c r="B1689" s="32">
        <f t="shared" ca="1" si="24"/>
        <v>44450</v>
      </c>
    </row>
    <row r="1690" spans="1:2" ht="15" customHeight="1" x14ac:dyDescent="0.25">
      <c r="A1690" t="s">
        <v>967</v>
      </c>
      <c r="B1690" s="32">
        <f t="shared" ca="1" si="24"/>
        <v>44450</v>
      </c>
    </row>
    <row r="1691" spans="1:2" ht="15" customHeight="1" x14ac:dyDescent="0.25">
      <c r="A1691" t="s">
        <v>554</v>
      </c>
      <c r="B1691" s="32">
        <f t="shared" ca="1" si="24"/>
        <v>44450</v>
      </c>
    </row>
    <row r="1692" spans="1:2" ht="15" customHeight="1" x14ac:dyDescent="0.25">
      <c r="A1692" t="s">
        <v>554</v>
      </c>
      <c r="B1692" s="32">
        <f t="shared" ca="1" si="24"/>
        <v>44450</v>
      </c>
    </row>
    <row r="1693" spans="1:2" ht="15" customHeight="1" x14ac:dyDescent="0.25">
      <c r="A1693" t="s">
        <v>968</v>
      </c>
      <c r="B1693" s="32">
        <f t="shared" ca="1" si="24"/>
        <v>44450</v>
      </c>
    </row>
    <row r="1694" spans="1:2" ht="15" customHeight="1" x14ac:dyDescent="0.25">
      <c r="A1694" t="s">
        <v>969</v>
      </c>
      <c r="B1694" s="32">
        <f t="shared" ca="1" si="24"/>
        <v>44450</v>
      </c>
    </row>
    <row r="1695" spans="1:2" ht="15" customHeight="1" x14ac:dyDescent="0.25">
      <c r="A1695" t="s">
        <v>958</v>
      </c>
      <c r="B1695" s="32">
        <f t="shared" ca="1" si="24"/>
        <v>44450</v>
      </c>
    </row>
    <row r="1696" spans="1:2" ht="15" customHeight="1" x14ac:dyDescent="0.25">
      <c r="A1696" t="s">
        <v>970</v>
      </c>
      <c r="B1696" s="32">
        <f t="shared" ca="1" si="24"/>
        <v>44450</v>
      </c>
    </row>
    <row r="1697" spans="1:2" ht="15" customHeight="1" x14ac:dyDescent="0.25">
      <c r="A1697" t="s">
        <v>970</v>
      </c>
      <c r="B1697" s="32">
        <f t="shared" ca="1" si="24"/>
        <v>44450</v>
      </c>
    </row>
    <row r="1698" spans="1:2" ht="15" customHeight="1" x14ac:dyDescent="0.25">
      <c r="A1698" t="s">
        <v>47</v>
      </c>
      <c r="B1698" s="32">
        <f t="shared" ca="1" si="24"/>
        <v>44450</v>
      </c>
    </row>
    <row r="1699" spans="1:2" ht="15" customHeight="1" x14ac:dyDescent="0.25">
      <c r="A1699" t="s">
        <v>47</v>
      </c>
      <c r="B1699" s="32">
        <f t="shared" ca="1" si="24"/>
        <v>44450</v>
      </c>
    </row>
    <row r="1700" spans="1:2" ht="15" customHeight="1" x14ac:dyDescent="0.25">
      <c r="A1700" t="s">
        <v>47</v>
      </c>
      <c r="B1700" s="32">
        <f t="shared" ca="1" si="24"/>
        <v>44450</v>
      </c>
    </row>
    <row r="1701" spans="1:2" ht="15" customHeight="1" x14ac:dyDescent="0.25">
      <c r="A1701" t="s">
        <v>48</v>
      </c>
      <c r="B1701" s="32">
        <f t="shared" ca="1" si="24"/>
        <v>44450</v>
      </c>
    </row>
    <row r="1702" spans="1:2" ht="15" customHeight="1" x14ac:dyDescent="0.25">
      <c r="A1702" t="s">
        <v>48</v>
      </c>
      <c r="B1702" s="32">
        <f t="shared" ca="1" si="24"/>
        <v>44450</v>
      </c>
    </row>
    <row r="1703" spans="1:2" ht="15" customHeight="1" x14ac:dyDescent="0.25">
      <c r="A1703" t="s">
        <v>48</v>
      </c>
      <c r="B1703" s="32">
        <f t="shared" ca="1" si="24"/>
        <v>44450</v>
      </c>
    </row>
    <row r="1704" spans="1:2" ht="15" customHeight="1" x14ac:dyDescent="0.25">
      <c r="A1704" t="s">
        <v>49</v>
      </c>
      <c r="B1704" s="32">
        <f t="shared" ca="1" si="24"/>
        <v>44450</v>
      </c>
    </row>
    <row r="1705" spans="1:2" ht="15" customHeight="1" x14ac:dyDescent="0.25">
      <c r="A1705" t="s">
        <v>49</v>
      </c>
      <c r="B1705" s="32">
        <f t="shared" ca="1" si="24"/>
        <v>44450</v>
      </c>
    </row>
    <row r="1706" spans="1:2" ht="15" customHeight="1" x14ac:dyDescent="0.25">
      <c r="A1706" t="s">
        <v>49</v>
      </c>
      <c r="B1706" s="32">
        <f t="shared" ca="1" si="24"/>
        <v>44450</v>
      </c>
    </row>
    <row r="1707" spans="1:2" ht="15" customHeight="1" x14ac:dyDescent="0.25">
      <c r="A1707" t="s">
        <v>49</v>
      </c>
      <c r="B1707" s="32">
        <f t="shared" ca="1" si="24"/>
        <v>44450</v>
      </c>
    </row>
    <row r="1708" spans="1:2" ht="15" customHeight="1" x14ac:dyDescent="0.25">
      <c r="A1708" t="s">
        <v>49</v>
      </c>
      <c r="B1708" s="32">
        <f t="shared" ca="1" si="24"/>
        <v>44450</v>
      </c>
    </row>
    <row r="1709" spans="1:2" ht="15" customHeight="1" x14ac:dyDescent="0.25">
      <c r="A1709" t="s">
        <v>50</v>
      </c>
      <c r="B1709" s="32">
        <f t="shared" ca="1" si="24"/>
        <v>44450</v>
      </c>
    </row>
    <row r="1710" spans="1:2" ht="15" customHeight="1" x14ac:dyDescent="0.25">
      <c r="A1710" t="s">
        <v>50</v>
      </c>
      <c r="B1710" s="32">
        <f t="shared" ca="1" si="24"/>
        <v>44450</v>
      </c>
    </row>
    <row r="1711" spans="1:2" ht="15" customHeight="1" x14ac:dyDescent="0.25">
      <c r="A1711" t="s">
        <v>50</v>
      </c>
      <c r="B1711" s="32">
        <f t="shared" ca="1" si="24"/>
        <v>44450</v>
      </c>
    </row>
    <row r="1712" spans="1:2" ht="15" customHeight="1" x14ac:dyDescent="0.25">
      <c r="A1712" t="s">
        <v>51</v>
      </c>
      <c r="B1712" s="32">
        <f t="shared" ca="1" si="24"/>
        <v>44450</v>
      </c>
    </row>
    <row r="1713" spans="1:2" ht="15" customHeight="1" x14ac:dyDescent="0.25">
      <c r="A1713" t="s">
        <v>51</v>
      </c>
      <c r="B1713" s="32">
        <f t="shared" ca="1" si="24"/>
        <v>44450</v>
      </c>
    </row>
    <row r="1714" spans="1:2" ht="15" customHeight="1" x14ac:dyDescent="0.25">
      <c r="A1714" t="s">
        <v>51</v>
      </c>
      <c r="B1714" s="32">
        <f t="shared" ca="1" si="24"/>
        <v>44450</v>
      </c>
    </row>
    <row r="1715" spans="1:2" ht="15" customHeight="1" x14ac:dyDescent="0.25">
      <c r="A1715" t="s">
        <v>51</v>
      </c>
      <c r="B1715" s="32">
        <f t="shared" ca="1" si="24"/>
        <v>44450</v>
      </c>
    </row>
    <row r="1716" spans="1:2" ht="15" customHeight="1" x14ac:dyDescent="0.25">
      <c r="A1716" t="s">
        <v>52</v>
      </c>
      <c r="B1716" s="32">
        <f t="shared" ca="1" si="24"/>
        <v>44450</v>
      </c>
    </row>
    <row r="1717" spans="1:2" ht="15" customHeight="1" x14ac:dyDescent="0.25">
      <c r="A1717" t="s">
        <v>52</v>
      </c>
      <c r="B1717" s="32">
        <f t="shared" ca="1" si="24"/>
        <v>44450</v>
      </c>
    </row>
    <row r="1718" spans="1:2" ht="15" customHeight="1" x14ac:dyDescent="0.25">
      <c r="A1718" t="s">
        <v>52</v>
      </c>
      <c r="B1718" s="32">
        <f t="shared" ca="1" si="24"/>
        <v>44450</v>
      </c>
    </row>
    <row r="1719" spans="1:2" ht="15" customHeight="1" x14ac:dyDescent="0.25">
      <c r="A1719" t="s">
        <v>52</v>
      </c>
      <c r="B1719" s="32">
        <f t="shared" ca="1" si="24"/>
        <v>44450</v>
      </c>
    </row>
    <row r="1720" spans="1:2" ht="15" customHeight="1" x14ac:dyDescent="0.25">
      <c r="A1720" t="s">
        <v>52</v>
      </c>
      <c r="B1720" s="32">
        <f t="shared" ca="1" si="24"/>
        <v>44450</v>
      </c>
    </row>
    <row r="1721" spans="1:2" ht="15" customHeight="1" x14ac:dyDescent="0.25">
      <c r="A1721" t="s">
        <v>53</v>
      </c>
      <c r="B1721" s="32">
        <f t="shared" ca="1" si="24"/>
        <v>44450</v>
      </c>
    </row>
    <row r="1722" spans="1:2" ht="15" customHeight="1" x14ac:dyDescent="0.25">
      <c r="A1722" t="s">
        <v>53</v>
      </c>
      <c r="B1722" s="32">
        <f t="shared" ca="1" si="24"/>
        <v>44450</v>
      </c>
    </row>
    <row r="1723" spans="1:2" ht="15" customHeight="1" x14ac:dyDescent="0.25">
      <c r="A1723" t="s">
        <v>53</v>
      </c>
      <c r="B1723" s="32">
        <f t="shared" ca="1" si="24"/>
        <v>44450</v>
      </c>
    </row>
    <row r="1724" spans="1:2" ht="15" customHeight="1" x14ac:dyDescent="0.25">
      <c r="A1724" t="s">
        <v>53</v>
      </c>
      <c r="B1724" s="32">
        <f t="shared" ca="1" si="24"/>
        <v>44450</v>
      </c>
    </row>
    <row r="1725" spans="1:2" ht="15" customHeight="1" x14ac:dyDescent="0.25">
      <c r="A1725" t="s">
        <v>53</v>
      </c>
      <c r="B1725" s="32">
        <f t="shared" ca="1" si="24"/>
        <v>44450</v>
      </c>
    </row>
    <row r="1726" spans="1:2" ht="15" customHeight="1" x14ac:dyDescent="0.25">
      <c r="A1726" t="s">
        <v>54</v>
      </c>
      <c r="B1726" s="32">
        <f t="shared" ca="1" si="24"/>
        <v>44450</v>
      </c>
    </row>
    <row r="1727" spans="1:2" ht="15" customHeight="1" x14ac:dyDescent="0.25">
      <c r="A1727" t="s">
        <v>54</v>
      </c>
      <c r="B1727" s="32">
        <f t="shared" ca="1" si="24"/>
        <v>44450</v>
      </c>
    </row>
    <row r="1728" spans="1:2" ht="15" customHeight="1" x14ac:dyDescent="0.25">
      <c r="A1728" t="s">
        <v>54</v>
      </c>
      <c r="B1728" s="32">
        <f t="shared" ca="1" si="24"/>
        <v>44450</v>
      </c>
    </row>
    <row r="1729" spans="1:2" ht="15" customHeight="1" x14ac:dyDescent="0.25">
      <c r="A1729" t="s">
        <v>54</v>
      </c>
      <c r="B1729" s="32">
        <f t="shared" ca="1" si="24"/>
        <v>44450</v>
      </c>
    </row>
    <row r="1730" spans="1:2" ht="15" customHeight="1" x14ac:dyDescent="0.25">
      <c r="A1730" t="s">
        <v>54</v>
      </c>
      <c r="B1730" s="32">
        <f t="shared" ca="1" si="24"/>
        <v>44450</v>
      </c>
    </row>
    <row r="1731" spans="1:2" ht="15" customHeight="1" x14ac:dyDescent="0.25">
      <c r="A1731" t="s">
        <v>55</v>
      </c>
      <c r="B1731" s="32">
        <f t="shared" ca="1" si="24"/>
        <v>44450</v>
      </c>
    </row>
    <row r="1732" spans="1:2" ht="15" customHeight="1" x14ac:dyDescent="0.25">
      <c r="A1732" t="s">
        <v>55</v>
      </c>
      <c r="B1732" s="32">
        <f t="shared" ca="1" si="24"/>
        <v>44450</v>
      </c>
    </row>
    <row r="1733" spans="1:2" ht="15" customHeight="1" x14ac:dyDescent="0.25">
      <c r="A1733" t="s">
        <v>55</v>
      </c>
      <c r="B1733" s="32">
        <f t="shared" ca="1" si="24"/>
        <v>44450</v>
      </c>
    </row>
    <row r="1734" spans="1:2" ht="15" customHeight="1" x14ac:dyDescent="0.25">
      <c r="A1734" t="s">
        <v>55</v>
      </c>
      <c r="B1734" s="32">
        <f t="shared" ca="1" si="24"/>
        <v>44450</v>
      </c>
    </row>
    <row r="1735" spans="1:2" ht="15" customHeight="1" x14ac:dyDescent="0.25">
      <c r="A1735" t="s">
        <v>56</v>
      </c>
      <c r="B1735" s="32">
        <f t="shared" ref="B1735:B1798" ca="1" si="25">TODAY()-150</f>
        <v>44450</v>
      </c>
    </row>
    <row r="1736" spans="1:2" ht="15" customHeight="1" x14ac:dyDescent="0.25">
      <c r="A1736" t="s">
        <v>56</v>
      </c>
      <c r="B1736" s="32">
        <f t="shared" ca="1" si="25"/>
        <v>44450</v>
      </c>
    </row>
    <row r="1737" spans="1:2" ht="15" customHeight="1" x14ac:dyDescent="0.25">
      <c r="A1737" t="s">
        <v>56</v>
      </c>
      <c r="B1737" s="32">
        <f t="shared" ca="1" si="25"/>
        <v>44450</v>
      </c>
    </row>
    <row r="1738" spans="1:2" ht="15" customHeight="1" x14ac:dyDescent="0.25">
      <c r="A1738" t="s">
        <v>56</v>
      </c>
      <c r="B1738" s="32">
        <f t="shared" ca="1" si="25"/>
        <v>44450</v>
      </c>
    </row>
    <row r="1739" spans="1:2" ht="15" customHeight="1" x14ac:dyDescent="0.25">
      <c r="A1739" t="s">
        <v>56</v>
      </c>
      <c r="B1739" s="32">
        <f t="shared" ca="1" si="25"/>
        <v>44450</v>
      </c>
    </row>
    <row r="1740" spans="1:2" ht="15" customHeight="1" x14ac:dyDescent="0.25">
      <c r="A1740" t="s">
        <v>113</v>
      </c>
      <c r="B1740" s="32">
        <f t="shared" ca="1" si="25"/>
        <v>44450</v>
      </c>
    </row>
    <row r="1741" spans="1:2" ht="15" customHeight="1" x14ac:dyDescent="0.25">
      <c r="A1741" t="s">
        <v>113</v>
      </c>
      <c r="B1741" s="32">
        <f t="shared" ca="1" si="25"/>
        <v>44450</v>
      </c>
    </row>
    <row r="1742" spans="1:2" ht="15" customHeight="1" x14ac:dyDescent="0.25">
      <c r="A1742" t="s">
        <v>113</v>
      </c>
      <c r="B1742" s="32">
        <f t="shared" ca="1" si="25"/>
        <v>44450</v>
      </c>
    </row>
    <row r="1743" spans="1:2" ht="15" customHeight="1" x14ac:dyDescent="0.25">
      <c r="A1743" t="s">
        <v>92</v>
      </c>
      <c r="B1743" s="32">
        <f t="shared" ca="1" si="25"/>
        <v>44450</v>
      </c>
    </row>
    <row r="1744" spans="1:2" ht="15" customHeight="1" x14ac:dyDescent="0.25">
      <c r="A1744" t="s">
        <v>92</v>
      </c>
      <c r="B1744" s="32">
        <f t="shared" ca="1" si="25"/>
        <v>44450</v>
      </c>
    </row>
    <row r="1745" spans="1:2" ht="15" customHeight="1" x14ac:dyDescent="0.25">
      <c r="A1745" t="s">
        <v>92</v>
      </c>
      <c r="B1745" s="32">
        <f t="shared" ca="1" si="25"/>
        <v>44450</v>
      </c>
    </row>
    <row r="1746" spans="1:2" ht="15" customHeight="1" x14ac:dyDescent="0.25">
      <c r="A1746" t="s">
        <v>92</v>
      </c>
      <c r="B1746" s="32">
        <f t="shared" ca="1" si="25"/>
        <v>44450</v>
      </c>
    </row>
    <row r="1747" spans="1:2" ht="15" customHeight="1" x14ac:dyDescent="0.25">
      <c r="A1747" t="s">
        <v>79</v>
      </c>
      <c r="B1747" s="32">
        <f t="shared" ca="1" si="25"/>
        <v>44450</v>
      </c>
    </row>
    <row r="1748" spans="1:2" ht="15" customHeight="1" x14ac:dyDescent="0.25">
      <c r="A1748" t="s">
        <v>79</v>
      </c>
      <c r="B1748" s="32">
        <f t="shared" ca="1" si="25"/>
        <v>44450</v>
      </c>
    </row>
    <row r="1749" spans="1:2" ht="15" customHeight="1" x14ac:dyDescent="0.25">
      <c r="A1749" t="s">
        <v>79</v>
      </c>
      <c r="B1749" s="32">
        <f t="shared" ca="1" si="25"/>
        <v>44450</v>
      </c>
    </row>
    <row r="1750" spans="1:2" ht="15" customHeight="1" x14ac:dyDescent="0.25">
      <c r="A1750" t="s">
        <v>79</v>
      </c>
      <c r="B1750" s="32">
        <f t="shared" ca="1" si="25"/>
        <v>44450</v>
      </c>
    </row>
    <row r="1751" spans="1:2" ht="15" customHeight="1" x14ac:dyDescent="0.25">
      <c r="A1751" t="s">
        <v>79</v>
      </c>
      <c r="B1751" s="32">
        <f t="shared" ca="1" si="25"/>
        <v>44450</v>
      </c>
    </row>
    <row r="1752" spans="1:2" ht="15" customHeight="1" x14ac:dyDescent="0.25">
      <c r="A1752" t="s">
        <v>80</v>
      </c>
      <c r="B1752" s="32">
        <f t="shared" ca="1" si="25"/>
        <v>44450</v>
      </c>
    </row>
    <row r="1753" spans="1:2" ht="15" customHeight="1" x14ac:dyDescent="0.25">
      <c r="A1753" t="s">
        <v>80</v>
      </c>
      <c r="B1753" s="32">
        <f t="shared" ca="1" si="25"/>
        <v>44450</v>
      </c>
    </row>
    <row r="1754" spans="1:2" ht="15" customHeight="1" x14ac:dyDescent="0.25">
      <c r="A1754" t="s">
        <v>80</v>
      </c>
      <c r="B1754" s="32">
        <f t="shared" ca="1" si="25"/>
        <v>44450</v>
      </c>
    </row>
    <row r="1755" spans="1:2" ht="15" customHeight="1" x14ac:dyDescent="0.25">
      <c r="A1755" t="s">
        <v>80</v>
      </c>
      <c r="B1755" s="32">
        <f t="shared" ca="1" si="25"/>
        <v>44450</v>
      </c>
    </row>
    <row r="1756" spans="1:2" ht="15" customHeight="1" x14ac:dyDescent="0.25">
      <c r="A1756" t="s">
        <v>80</v>
      </c>
      <c r="B1756" s="32">
        <f t="shared" ca="1" si="25"/>
        <v>44450</v>
      </c>
    </row>
    <row r="1757" spans="1:2" ht="15" customHeight="1" x14ac:dyDescent="0.25">
      <c r="A1757" t="s">
        <v>93</v>
      </c>
      <c r="B1757" s="32">
        <f t="shared" ca="1" si="25"/>
        <v>44450</v>
      </c>
    </row>
    <row r="1758" spans="1:2" ht="15" customHeight="1" x14ac:dyDescent="0.25">
      <c r="A1758" t="s">
        <v>93</v>
      </c>
      <c r="B1758" s="32">
        <f t="shared" ca="1" si="25"/>
        <v>44450</v>
      </c>
    </row>
    <row r="1759" spans="1:2" ht="15" customHeight="1" x14ac:dyDescent="0.25">
      <c r="A1759" t="s">
        <v>93</v>
      </c>
      <c r="B1759" s="32">
        <f t="shared" ca="1" si="25"/>
        <v>44450</v>
      </c>
    </row>
    <row r="1760" spans="1:2" ht="15" customHeight="1" x14ac:dyDescent="0.25">
      <c r="A1760" t="s">
        <v>93</v>
      </c>
      <c r="B1760" s="32">
        <f t="shared" ca="1" si="25"/>
        <v>44450</v>
      </c>
    </row>
    <row r="1761" spans="1:2" ht="15" customHeight="1" x14ac:dyDescent="0.25">
      <c r="A1761" t="s">
        <v>93</v>
      </c>
      <c r="B1761" s="32">
        <f t="shared" ca="1" si="25"/>
        <v>44450</v>
      </c>
    </row>
    <row r="1762" spans="1:2" ht="15" customHeight="1" x14ac:dyDescent="0.25">
      <c r="A1762" t="s">
        <v>94</v>
      </c>
      <c r="B1762" s="32">
        <f t="shared" ca="1" si="25"/>
        <v>44450</v>
      </c>
    </row>
    <row r="1763" spans="1:2" ht="15" customHeight="1" x14ac:dyDescent="0.25">
      <c r="A1763" t="s">
        <v>94</v>
      </c>
      <c r="B1763" s="32">
        <f t="shared" ca="1" si="25"/>
        <v>44450</v>
      </c>
    </row>
    <row r="1764" spans="1:2" ht="15" customHeight="1" x14ac:dyDescent="0.25">
      <c r="A1764" t="s">
        <v>94</v>
      </c>
      <c r="B1764" s="32">
        <f t="shared" ca="1" si="25"/>
        <v>44450</v>
      </c>
    </row>
    <row r="1765" spans="1:2" ht="15" customHeight="1" x14ac:dyDescent="0.25">
      <c r="A1765" t="s">
        <v>94</v>
      </c>
      <c r="B1765" s="32">
        <f t="shared" ca="1" si="25"/>
        <v>44450</v>
      </c>
    </row>
    <row r="1766" spans="1:2" ht="15" customHeight="1" x14ac:dyDescent="0.25">
      <c r="A1766" t="s">
        <v>94</v>
      </c>
      <c r="B1766" s="32">
        <f t="shared" ca="1" si="25"/>
        <v>44450</v>
      </c>
    </row>
    <row r="1767" spans="1:2" ht="15" customHeight="1" x14ac:dyDescent="0.25">
      <c r="A1767" t="s">
        <v>81</v>
      </c>
      <c r="B1767" s="32">
        <f t="shared" ca="1" si="25"/>
        <v>44450</v>
      </c>
    </row>
    <row r="1768" spans="1:2" ht="15" customHeight="1" x14ac:dyDescent="0.25">
      <c r="A1768" t="s">
        <v>81</v>
      </c>
      <c r="B1768" s="32">
        <f t="shared" ca="1" si="25"/>
        <v>44450</v>
      </c>
    </row>
    <row r="1769" spans="1:2" ht="15" customHeight="1" x14ac:dyDescent="0.25">
      <c r="A1769" t="s">
        <v>81</v>
      </c>
      <c r="B1769" s="32">
        <f t="shared" ca="1" si="25"/>
        <v>44450</v>
      </c>
    </row>
    <row r="1770" spans="1:2" ht="15" customHeight="1" x14ac:dyDescent="0.25">
      <c r="A1770" t="s">
        <v>82</v>
      </c>
      <c r="B1770" s="32">
        <f t="shared" ca="1" si="25"/>
        <v>44450</v>
      </c>
    </row>
    <row r="1771" spans="1:2" ht="15" customHeight="1" x14ac:dyDescent="0.25">
      <c r="A1771" t="s">
        <v>82</v>
      </c>
      <c r="B1771" s="32">
        <f t="shared" ca="1" si="25"/>
        <v>44450</v>
      </c>
    </row>
    <row r="1772" spans="1:2" ht="15" customHeight="1" x14ac:dyDescent="0.25">
      <c r="A1772" t="s">
        <v>82</v>
      </c>
      <c r="B1772" s="32">
        <f t="shared" ca="1" si="25"/>
        <v>44450</v>
      </c>
    </row>
    <row r="1773" spans="1:2" ht="15" customHeight="1" x14ac:dyDescent="0.25">
      <c r="A1773" t="s">
        <v>57</v>
      </c>
      <c r="B1773" s="32">
        <f t="shared" ca="1" si="25"/>
        <v>44450</v>
      </c>
    </row>
    <row r="1774" spans="1:2" ht="15" customHeight="1" x14ac:dyDescent="0.25">
      <c r="A1774" t="s">
        <v>57</v>
      </c>
      <c r="B1774" s="32">
        <f t="shared" ca="1" si="25"/>
        <v>44450</v>
      </c>
    </row>
    <row r="1775" spans="1:2" ht="15" customHeight="1" x14ac:dyDescent="0.25">
      <c r="A1775" t="s">
        <v>57</v>
      </c>
      <c r="B1775" s="32">
        <f t="shared" ca="1" si="25"/>
        <v>44450</v>
      </c>
    </row>
    <row r="1776" spans="1:2" ht="15" customHeight="1" x14ac:dyDescent="0.25">
      <c r="A1776" t="s">
        <v>58</v>
      </c>
      <c r="B1776" s="32">
        <f t="shared" ca="1" si="25"/>
        <v>44450</v>
      </c>
    </row>
    <row r="1777" spans="1:2" ht="15" customHeight="1" x14ac:dyDescent="0.25">
      <c r="A1777" t="s">
        <v>58</v>
      </c>
      <c r="B1777" s="32">
        <f t="shared" ca="1" si="25"/>
        <v>44450</v>
      </c>
    </row>
    <row r="1778" spans="1:2" ht="15" customHeight="1" x14ac:dyDescent="0.25">
      <c r="A1778" t="s">
        <v>58</v>
      </c>
      <c r="B1778" s="32">
        <f t="shared" ca="1" si="25"/>
        <v>44450</v>
      </c>
    </row>
    <row r="1779" spans="1:2" ht="15" customHeight="1" x14ac:dyDescent="0.25">
      <c r="A1779" t="s">
        <v>58</v>
      </c>
      <c r="B1779" s="32">
        <f t="shared" ca="1" si="25"/>
        <v>44450</v>
      </c>
    </row>
    <row r="1780" spans="1:2" ht="15" customHeight="1" x14ac:dyDescent="0.25">
      <c r="A1780" t="s">
        <v>58</v>
      </c>
      <c r="B1780" s="32">
        <f t="shared" ca="1" si="25"/>
        <v>44450</v>
      </c>
    </row>
    <row r="1781" spans="1:2" ht="15" customHeight="1" x14ac:dyDescent="0.25">
      <c r="A1781" t="s">
        <v>0</v>
      </c>
      <c r="B1781" s="32">
        <f t="shared" ca="1" si="25"/>
        <v>44450</v>
      </c>
    </row>
    <row r="1782" spans="1:2" ht="15" customHeight="1" x14ac:dyDescent="0.25">
      <c r="A1782" t="s">
        <v>59</v>
      </c>
      <c r="B1782" s="32">
        <f t="shared" ca="1" si="25"/>
        <v>44450</v>
      </c>
    </row>
    <row r="1783" spans="1:2" ht="15" customHeight="1" x14ac:dyDescent="0.25">
      <c r="A1783" t="s">
        <v>59</v>
      </c>
      <c r="B1783" s="32">
        <f t="shared" ca="1" si="25"/>
        <v>44450</v>
      </c>
    </row>
    <row r="1784" spans="1:2" ht="15" customHeight="1" x14ac:dyDescent="0.25">
      <c r="A1784" t="s">
        <v>59</v>
      </c>
      <c r="B1784" s="32">
        <f t="shared" ca="1" si="25"/>
        <v>44450</v>
      </c>
    </row>
    <row r="1785" spans="1:2" ht="15" customHeight="1" x14ac:dyDescent="0.25">
      <c r="A1785" t="s">
        <v>59</v>
      </c>
      <c r="B1785" s="32">
        <f t="shared" ca="1" si="25"/>
        <v>44450</v>
      </c>
    </row>
    <row r="1786" spans="1:2" ht="15" customHeight="1" x14ac:dyDescent="0.25">
      <c r="A1786" t="s">
        <v>59</v>
      </c>
      <c r="B1786" s="32">
        <f t="shared" ca="1" si="25"/>
        <v>44450</v>
      </c>
    </row>
    <row r="1787" spans="1:2" ht="15" customHeight="1" x14ac:dyDescent="0.25">
      <c r="A1787" t="s">
        <v>83</v>
      </c>
      <c r="B1787" s="32">
        <f t="shared" ca="1" si="25"/>
        <v>44450</v>
      </c>
    </row>
    <row r="1788" spans="1:2" ht="15" customHeight="1" x14ac:dyDescent="0.25">
      <c r="A1788" t="s">
        <v>83</v>
      </c>
      <c r="B1788" s="32">
        <f t="shared" ca="1" si="25"/>
        <v>44450</v>
      </c>
    </row>
    <row r="1789" spans="1:2" ht="15" customHeight="1" x14ac:dyDescent="0.25">
      <c r="A1789" t="s">
        <v>83</v>
      </c>
      <c r="B1789" s="32">
        <f t="shared" ca="1" si="25"/>
        <v>44450</v>
      </c>
    </row>
    <row r="1790" spans="1:2" ht="15" customHeight="1" x14ac:dyDescent="0.25">
      <c r="A1790" t="s">
        <v>83</v>
      </c>
      <c r="B1790" s="32">
        <f t="shared" ca="1" si="25"/>
        <v>44450</v>
      </c>
    </row>
    <row r="1791" spans="1:2" ht="15" customHeight="1" x14ac:dyDescent="0.25">
      <c r="A1791" t="s">
        <v>83</v>
      </c>
      <c r="B1791" s="32">
        <f t="shared" ca="1" si="25"/>
        <v>44450</v>
      </c>
    </row>
    <row r="1792" spans="1:2" ht="15" customHeight="1" x14ac:dyDescent="0.25">
      <c r="A1792" t="s">
        <v>84</v>
      </c>
      <c r="B1792" s="32">
        <f t="shared" ca="1" si="25"/>
        <v>44450</v>
      </c>
    </row>
    <row r="1793" spans="1:2" ht="15" customHeight="1" x14ac:dyDescent="0.25">
      <c r="A1793" t="s">
        <v>84</v>
      </c>
      <c r="B1793" s="32">
        <f t="shared" ca="1" si="25"/>
        <v>44450</v>
      </c>
    </row>
    <row r="1794" spans="1:2" ht="15" customHeight="1" x14ac:dyDescent="0.25">
      <c r="A1794" t="s">
        <v>84</v>
      </c>
      <c r="B1794" s="32">
        <f t="shared" ca="1" si="25"/>
        <v>44450</v>
      </c>
    </row>
    <row r="1795" spans="1:2" ht="15" customHeight="1" x14ac:dyDescent="0.25">
      <c r="A1795" t="s">
        <v>84</v>
      </c>
      <c r="B1795" s="32">
        <f t="shared" ca="1" si="25"/>
        <v>44450</v>
      </c>
    </row>
    <row r="1796" spans="1:2" ht="15" customHeight="1" x14ac:dyDescent="0.25">
      <c r="A1796" t="s">
        <v>84</v>
      </c>
      <c r="B1796" s="32">
        <f t="shared" ca="1" si="25"/>
        <v>44450</v>
      </c>
    </row>
    <row r="1797" spans="1:2" ht="15" customHeight="1" x14ac:dyDescent="0.25">
      <c r="A1797" t="s">
        <v>85</v>
      </c>
      <c r="B1797" s="32">
        <f t="shared" ca="1" si="25"/>
        <v>44450</v>
      </c>
    </row>
    <row r="1798" spans="1:2" ht="15" customHeight="1" x14ac:dyDescent="0.25">
      <c r="A1798" t="s">
        <v>85</v>
      </c>
      <c r="B1798" s="32">
        <f t="shared" ca="1" si="25"/>
        <v>44450</v>
      </c>
    </row>
    <row r="1799" spans="1:2" ht="15" customHeight="1" x14ac:dyDescent="0.25">
      <c r="A1799" t="s">
        <v>86</v>
      </c>
      <c r="B1799" s="32">
        <f t="shared" ref="B1799:B1862" ca="1" si="26">TODAY()-150</f>
        <v>44450</v>
      </c>
    </row>
    <row r="1800" spans="1:2" ht="15" customHeight="1" x14ac:dyDescent="0.25">
      <c r="A1800" t="s">
        <v>86</v>
      </c>
      <c r="B1800" s="32">
        <f t="shared" ca="1" si="26"/>
        <v>44450</v>
      </c>
    </row>
    <row r="1801" spans="1:2" ht="15" customHeight="1" x14ac:dyDescent="0.25">
      <c r="A1801" t="s">
        <v>86</v>
      </c>
      <c r="B1801" s="32">
        <f t="shared" ca="1" si="26"/>
        <v>44450</v>
      </c>
    </row>
    <row r="1802" spans="1:2" ht="15" customHeight="1" x14ac:dyDescent="0.25">
      <c r="A1802" t="s">
        <v>87</v>
      </c>
      <c r="B1802" s="32">
        <f t="shared" ca="1" si="26"/>
        <v>44450</v>
      </c>
    </row>
    <row r="1803" spans="1:2" ht="15" customHeight="1" x14ac:dyDescent="0.25">
      <c r="A1803" t="s">
        <v>87</v>
      </c>
      <c r="B1803" s="32">
        <f t="shared" ca="1" si="26"/>
        <v>44450</v>
      </c>
    </row>
    <row r="1804" spans="1:2" ht="15" customHeight="1" x14ac:dyDescent="0.25">
      <c r="A1804" t="s">
        <v>87</v>
      </c>
      <c r="B1804" s="32">
        <f t="shared" ca="1" si="26"/>
        <v>44450</v>
      </c>
    </row>
    <row r="1805" spans="1:2" ht="15" customHeight="1" x14ac:dyDescent="0.25">
      <c r="A1805" t="s">
        <v>87</v>
      </c>
      <c r="B1805" s="32">
        <f t="shared" ca="1" si="26"/>
        <v>44450</v>
      </c>
    </row>
    <row r="1806" spans="1:2" ht="15" customHeight="1" x14ac:dyDescent="0.25">
      <c r="A1806" t="s">
        <v>87</v>
      </c>
      <c r="B1806" s="32">
        <f t="shared" ca="1" si="26"/>
        <v>44450</v>
      </c>
    </row>
    <row r="1807" spans="1:2" ht="15" customHeight="1" x14ac:dyDescent="0.25">
      <c r="A1807" t="s">
        <v>87</v>
      </c>
      <c r="B1807" s="32">
        <f t="shared" ca="1" si="26"/>
        <v>44450</v>
      </c>
    </row>
    <row r="1808" spans="1:2" ht="15" customHeight="1" x14ac:dyDescent="0.25">
      <c r="A1808" t="s">
        <v>88</v>
      </c>
      <c r="B1808" s="32">
        <f t="shared" ca="1" si="26"/>
        <v>44450</v>
      </c>
    </row>
    <row r="1809" spans="1:2" ht="15" customHeight="1" x14ac:dyDescent="0.25">
      <c r="A1809" t="s">
        <v>88</v>
      </c>
      <c r="B1809" s="32">
        <f t="shared" ca="1" si="26"/>
        <v>44450</v>
      </c>
    </row>
    <row r="1810" spans="1:2" ht="15" customHeight="1" x14ac:dyDescent="0.25">
      <c r="A1810" t="s">
        <v>86</v>
      </c>
      <c r="B1810" s="32">
        <f t="shared" ca="1" si="26"/>
        <v>44450</v>
      </c>
    </row>
    <row r="1811" spans="1:2" ht="15" customHeight="1" x14ac:dyDescent="0.25">
      <c r="A1811" t="s">
        <v>88</v>
      </c>
      <c r="B1811" s="32">
        <f t="shared" ca="1" si="26"/>
        <v>44450</v>
      </c>
    </row>
    <row r="1812" spans="1:2" ht="15" customHeight="1" x14ac:dyDescent="0.25">
      <c r="A1812" t="s">
        <v>88</v>
      </c>
      <c r="B1812" s="32">
        <f t="shared" ca="1" si="26"/>
        <v>44450</v>
      </c>
    </row>
    <row r="1813" spans="1:2" ht="15" customHeight="1" x14ac:dyDescent="0.25">
      <c r="A1813" t="s">
        <v>88</v>
      </c>
      <c r="B1813" s="32">
        <f t="shared" ca="1" si="26"/>
        <v>44450</v>
      </c>
    </row>
    <row r="1814" spans="1:2" ht="15" customHeight="1" x14ac:dyDescent="0.25">
      <c r="A1814" t="s">
        <v>89</v>
      </c>
      <c r="B1814" s="32">
        <f t="shared" ca="1" si="26"/>
        <v>44450</v>
      </c>
    </row>
    <row r="1815" spans="1:2" ht="15" customHeight="1" x14ac:dyDescent="0.25">
      <c r="A1815" t="s">
        <v>89</v>
      </c>
      <c r="B1815" s="32">
        <f t="shared" ca="1" si="26"/>
        <v>44450</v>
      </c>
    </row>
    <row r="1816" spans="1:2" ht="15" customHeight="1" x14ac:dyDescent="0.25">
      <c r="A1816" t="s">
        <v>89</v>
      </c>
      <c r="B1816" s="32">
        <f t="shared" ca="1" si="26"/>
        <v>44450</v>
      </c>
    </row>
    <row r="1817" spans="1:2" ht="15" customHeight="1" x14ac:dyDescent="0.25">
      <c r="A1817" t="s">
        <v>89</v>
      </c>
      <c r="B1817" s="32">
        <f t="shared" ca="1" si="26"/>
        <v>44450</v>
      </c>
    </row>
    <row r="1818" spans="1:2" ht="15" customHeight="1" x14ac:dyDescent="0.25">
      <c r="A1818" t="s">
        <v>89</v>
      </c>
      <c r="B1818" s="32">
        <f t="shared" ca="1" si="26"/>
        <v>44450</v>
      </c>
    </row>
    <row r="1819" spans="1:2" ht="15" customHeight="1" x14ac:dyDescent="0.25">
      <c r="A1819" t="s">
        <v>90</v>
      </c>
      <c r="B1819" s="32">
        <f t="shared" ca="1" si="26"/>
        <v>44450</v>
      </c>
    </row>
    <row r="1820" spans="1:2" ht="15" customHeight="1" x14ac:dyDescent="0.25">
      <c r="A1820" t="s">
        <v>90</v>
      </c>
      <c r="B1820" s="32">
        <f t="shared" ca="1" si="26"/>
        <v>44450</v>
      </c>
    </row>
    <row r="1821" spans="1:2" ht="15" customHeight="1" x14ac:dyDescent="0.25">
      <c r="A1821" t="s">
        <v>90</v>
      </c>
      <c r="B1821" s="32">
        <f t="shared" ca="1" si="26"/>
        <v>44450</v>
      </c>
    </row>
    <row r="1822" spans="1:2" ht="15" customHeight="1" x14ac:dyDescent="0.25">
      <c r="A1822" t="s">
        <v>90</v>
      </c>
      <c r="B1822" s="32">
        <f t="shared" ca="1" si="26"/>
        <v>44450</v>
      </c>
    </row>
    <row r="1823" spans="1:2" ht="15" customHeight="1" x14ac:dyDescent="0.25">
      <c r="A1823" t="s">
        <v>90</v>
      </c>
      <c r="B1823" s="32">
        <f t="shared" ca="1" si="26"/>
        <v>44450</v>
      </c>
    </row>
    <row r="1824" spans="1:2" ht="15" customHeight="1" x14ac:dyDescent="0.25">
      <c r="A1824" t="s">
        <v>99</v>
      </c>
      <c r="B1824" s="32">
        <f t="shared" ca="1" si="26"/>
        <v>44450</v>
      </c>
    </row>
    <row r="1825" spans="1:2" ht="15" customHeight="1" x14ac:dyDescent="0.25">
      <c r="A1825" t="s">
        <v>99</v>
      </c>
      <c r="B1825" s="32">
        <f t="shared" ca="1" si="26"/>
        <v>44450</v>
      </c>
    </row>
    <row r="1826" spans="1:2" ht="15" customHeight="1" x14ac:dyDescent="0.25">
      <c r="A1826" t="s">
        <v>100</v>
      </c>
      <c r="B1826" s="32">
        <f t="shared" ca="1" si="26"/>
        <v>44450</v>
      </c>
    </row>
    <row r="1827" spans="1:2" ht="15" customHeight="1" x14ac:dyDescent="0.25">
      <c r="A1827" t="s">
        <v>100</v>
      </c>
      <c r="B1827" s="32">
        <f t="shared" ca="1" si="26"/>
        <v>44450</v>
      </c>
    </row>
    <row r="1828" spans="1:2" ht="15" customHeight="1" x14ac:dyDescent="0.25">
      <c r="A1828" t="s">
        <v>100</v>
      </c>
      <c r="B1828" s="32">
        <f t="shared" ca="1" si="26"/>
        <v>44450</v>
      </c>
    </row>
    <row r="1829" spans="1:2" ht="15" customHeight="1" x14ac:dyDescent="0.25">
      <c r="A1829" t="s">
        <v>101</v>
      </c>
      <c r="B1829" s="32">
        <f t="shared" ca="1" si="26"/>
        <v>44450</v>
      </c>
    </row>
    <row r="1830" spans="1:2" ht="15" customHeight="1" x14ac:dyDescent="0.25">
      <c r="A1830" t="s">
        <v>101</v>
      </c>
      <c r="B1830" s="32">
        <f t="shared" ca="1" si="26"/>
        <v>44450</v>
      </c>
    </row>
    <row r="1831" spans="1:2" ht="15" customHeight="1" x14ac:dyDescent="0.25">
      <c r="A1831" t="s">
        <v>101</v>
      </c>
      <c r="B1831" s="32">
        <f t="shared" ca="1" si="26"/>
        <v>44450</v>
      </c>
    </row>
    <row r="1832" spans="1:2" ht="15" customHeight="1" x14ac:dyDescent="0.25">
      <c r="A1832" t="s">
        <v>108</v>
      </c>
      <c r="B1832" s="32">
        <f t="shared" ca="1" si="26"/>
        <v>44450</v>
      </c>
    </row>
    <row r="1833" spans="1:2" ht="15" customHeight="1" x14ac:dyDescent="0.25">
      <c r="A1833" t="s">
        <v>108</v>
      </c>
      <c r="B1833" s="32">
        <f t="shared" ca="1" si="26"/>
        <v>44450</v>
      </c>
    </row>
    <row r="1834" spans="1:2" ht="15" customHeight="1" x14ac:dyDescent="0.25">
      <c r="A1834" t="s">
        <v>109</v>
      </c>
      <c r="B1834" s="32">
        <f t="shared" ca="1" si="26"/>
        <v>44450</v>
      </c>
    </row>
    <row r="1835" spans="1:2" ht="15" customHeight="1" x14ac:dyDescent="0.25">
      <c r="A1835" t="s">
        <v>109</v>
      </c>
      <c r="B1835" s="32">
        <f t="shared" ca="1" si="26"/>
        <v>44450</v>
      </c>
    </row>
    <row r="1836" spans="1:2" ht="15" customHeight="1" x14ac:dyDescent="0.25">
      <c r="A1836" t="s">
        <v>109</v>
      </c>
      <c r="B1836" s="32">
        <f t="shared" ca="1" si="26"/>
        <v>44450</v>
      </c>
    </row>
    <row r="1837" spans="1:2" ht="15" customHeight="1" x14ac:dyDescent="0.25">
      <c r="A1837" t="s">
        <v>109</v>
      </c>
      <c r="B1837" s="32">
        <f t="shared" ca="1" si="26"/>
        <v>44450</v>
      </c>
    </row>
    <row r="1838" spans="1:2" ht="15" customHeight="1" x14ac:dyDescent="0.25">
      <c r="A1838" t="s">
        <v>109</v>
      </c>
      <c r="B1838" s="32">
        <f t="shared" ca="1" si="26"/>
        <v>44450</v>
      </c>
    </row>
    <row r="1839" spans="1:2" ht="15" customHeight="1" x14ac:dyDescent="0.25">
      <c r="A1839" t="s">
        <v>110</v>
      </c>
      <c r="B1839" s="32">
        <f t="shared" ca="1" si="26"/>
        <v>44450</v>
      </c>
    </row>
    <row r="1840" spans="1:2" ht="15" customHeight="1" x14ac:dyDescent="0.25">
      <c r="A1840" t="s">
        <v>110</v>
      </c>
      <c r="B1840" s="32">
        <f t="shared" ca="1" si="26"/>
        <v>44450</v>
      </c>
    </row>
    <row r="1841" spans="1:2" ht="15" customHeight="1" x14ac:dyDescent="0.25">
      <c r="A1841" t="s">
        <v>110</v>
      </c>
      <c r="B1841" s="32">
        <f t="shared" ca="1" si="26"/>
        <v>44450</v>
      </c>
    </row>
    <row r="1842" spans="1:2" ht="15" customHeight="1" x14ac:dyDescent="0.25">
      <c r="A1842" t="s">
        <v>110</v>
      </c>
      <c r="B1842" s="32">
        <f t="shared" ca="1" si="26"/>
        <v>44450</v>
      </c>
    </row>
    <row r="1843" spans="1:2" ht="15" customHeight="1" x14ac:dyDescent="0.25">
      <c r="A1843" t="s">
        <v>110</v>
      </c>
      <c r="B1843" s="32">
        <f t="shared" ca="1" si="26"/>
        <v>44450</v>
      </c>
    </row>
    <row r="1844" spans="1:2" ht="15" customHeight="1" x14ac:dyDescent="0.25">
      <c r="A1844" t="s">
        <v>102</v>
      </c>
      <c r="B1844" s="32">
        <f t="shared" ca="1" si="26"/>
        <v>44450</v>
      </c>
    </row>
    <row r="1845" spans="1:2" ht="15" customHeight="1" x14ac:dyDescent="0.25">
      <c r="A1845" t="s">
        <v>102</v>
      </c>
      <c r="B1845" s="32">
        <f t="shared" ca="1" si="26"/>
        <v>44450</v>
      </c>
    </row>
    <row r="1846" spans="1:2" ht="15" customHeight="1" x14ac:dyDescent="0.25">
      <c r="A1846" t="s">
        <v>102</v>
      </c>
      <c r="B1846" s="32">
        <f t="shared" ca="1" si="26"/>
        <v>44450</v>
      </c>
    </row>
    <row r="1847" spans="1:2" ht="15" customHeight="1" x14ac:dyDescent="0.25">
      <c r="A1847" t="s">
        <v>103</v>
      </c>
      <c r="B1847" s="32">
        <f t="shared" ca="1" si="26"/>
        <v>44450</v>
      </c>
    </row>
    <row r="1848" spans="1:2" ht="15" customHeight="1" x14ac:dyDescent="0.25">
      <c r="A1848" t="s">
        <v>103</v>
      </c>
      <c r="B1848" s="32">
        <f t="shared" ca="1" si="26"/>
        <v>44450</v>
      </c>
    </row>
    <row r="1849" spans="1:2" ht="15" customHeight="1" x14ac:dyDescent="0.25">
      <c r="A1849" t="s">
        <v>103</v>
      </c>
      <c r="B1849" s="32">
        <f t="shared" ca="1" si="26"/>
        <v>44450</v>
      </c>
    </row>
    <row r="1850" spans="1:2" ht="15" customHeight="1" x14ac:dyDescent="0.25">
      <c r="A1850" t="s">
        <v>103</v>
      </c>
      <c r="B1850" s="32">
        <f t="shared" ca="1" si="26"/>
        <v>44450</v>
      </c>
    </row>
    <row r="1851" spans="1:2" ht="15" customHeight="1" x14ac:dyDescent="0.25">
      <c r="A1851" t="s">
        <v>104</v>
      </c>
      <c r="B1851" s="32">
        <f t="shared" ca="1" si="26"/>
        <v>44450</v>
      </c>
    </row>
    <row r="1852" spans="1:2" ht="15" customHeight="1" x14ac:dyDescent="0.25">
      <c r="A1852" t="s">
        <v>104</v>
      </c>
      <c r="B1852" s="32">
        <f t="shared" ca="1" si="26"/>
        <v>44450</v>
      </c>
    </row>
    <row r="1853" spans="1:2" ht="15" customHeight="1" x14ac:dyDescent="0.25">
      <c r="A1853" t="s">
        <v>104</v>
      </c>
      <c r="B1853" s="32">
        <f t="shared" ca="1" si="26"/>
        <v>44450</v>
      </c>
    </row>
    <row r="1854" spans="1:2" ht="15" customHeight="1" x14ac:dyDescent="0.25">
      <c r="A1854" t="s">
        <v>104</v>
      </c>
      <c r="B1854" s="32">
        <f t="shared" ca="1" si="26"/>
        <v>44450</v>
      </c>
    </row>
    <row r="1855" spans="1:2" ht="15" customHeight="1" x14ac:dyDescent="0.25">
      <c r="A1855" t="s">
        <v>105</v>
      </c>
      <c r="B1855" s="32">
        <f t="shared" ca="1" si="26"/>
        <v>44450</v>
      </c>
    </row>
    <row r="1856" spans="1:2" ht="15" customHeight="1" x14ac:dyDescent="0.25">
      <c r="A1856" t="s">
        <v>105</v>
      </c>
      <c r="B1856" s="32">
        <f t="shared" ca="1" si="26"/>
        <v>44450</v>
      </c>
    </row>
    <row r="1857" spans="1:2" ht="15" customHeight="1" x14ac:dyDescent="0.25">
      <c r="A1857" t="s">
        <v>106</v>
      </c>
      <c r="B1857" s="32">
        <f t="shared" ca="1" si="26"/>
        <v>44450</v>
      </c>
    </row>
    <row r="1858" spans="1:2" ht="15" customHeight="1" x14ac:dyDescent="0.25">
      <c r="A1858" t="s">
        <v>106</v>
      </c>
      <c r="B1858" s="32">
        <f t="shared" ca="1" si="26"/>
        <v>44450</v>
      </c>
    </row>
    <row r="1859" spans="1:2" ht="15" customHeight="1" x14ac:dyDescent="0.25">
      <c r="A1859" t="s">
        <v>106</v>
      </c>
      <c r="B1859" s="32">
        <f t="shared" ca="1" si="26"/>
        <v>44450</v>
      </c>
    </row>
    <row r="1860" spans="1:2" ht="15" customHeight="1" x14ac:dyDescent="0.25">
      <c r="A1860" t="s">
        <v>106</v>
      </c>
      <c r="B1860" s="32">
        <f t="shared" ca="1" si="26"/>
        <v>44450</v>
      </c>
    </row>
    <row r="1861" spans="1:2" ht="15" customHeight="1" x14ac:dyDescent="0.25">
      <c r="A1861" t="s">
        <v>107</v>
      </c>
      <c r="B1861" s="32">
        <f t="shared" ca="1" si="26"/>
        <v>44450</v>
      </c>
    </row>
    <row r="1862" spans="1:2" ht="15" customHeight="1" x14ac:dyDescent="0.25">
      <c r="A1862" t="s">
        <v>107</v>
      </c>
      <c r="B1862" s="32">
        <f t="shared" ca="1" si="26"/>
        <v>44450</v>
      </c>
    </row>
    <row r="1863" spans="1:2" ht="15" customHeight="1" x14ac:dyDescent="0.25">
      <c r="A1863" t="s">
        <v>107</v>
      </c>
      <c r="B1863" s="32">
        <f t="shared" ref="B1863:B1924" ca="1" si="27">TODAY()-150</f>
        <v>44450</v>
      </c>
    </row>
    <row r="1864" spans="1:2" ht="15" customHeight="1" x14ac:dyDescent="0.25">
      <c r="A1864" t="s">
        <v>107</v>
      </c>
      <c r="B1864" s="32">
        <f t="shared" ca="1" si="27"/>
        <v>44450</v>
      </c>
    </row>
    <row r="1865" spans="1:2" ht="15" customHeight="1" x14ac:dyDescent="0.25">
      <c r="A1865" t="s">
        <v>145</v>
      </c>
      <c r="B1865" s="32">
        <f t="shared" ca="1" si="27"/>
        <v>44450</v>
      </c>
    </row>
    <row r="1866" spans="1:2" ht="15" customHeight="1" x14ac:dyDescent="0.25">
      <c r="A1866" t="s">
        <v>145</v>
      </c>
      <c r="B1866" s="32">
        <f t="shared" ca="1" si="27"/>
        <v>44450</v>
      </c>
    </row>
    <row r="1867" spans="1:2" ht="15" customHeight="1" x14ac:dyDescent="0.25">
      <c r="A1867" t="s">
        <v>145</v>
      </c>
      <c r="B1867" s="32">
        <f t="shared" ca="1" si="27"/>
        <v>44450</v>
      </c>
    </row>
    <row r="1868" spans="1:2" ht="15" customHeight="1" x14ac:dyDescent="0.25">
      <c r="A1868" t="s">
        <v>60</v>
      </c>
      <c r="B1868" s="32">
        <f t="shared" ca="1" si="27"/>
        <v>44450</v>
      </c>
    </row>
    <row r="1869" spans="1:2" ht="15" customHeight="1" x14ac:dyDescent="0.25">
      <c r="A1869" t="s">
        <v>60</v>
      </c>
      <c r="B1869" s="32">
        <f t="shared" ca="1" si="27"/>
        <v>44450</v>
      </c>
    </row>
    <row r="1870" spans="1:2" ht="15" customHeight="1" x14ac:dyDescent="0.25">
      <c r="A1870" t="s">
        <v>60</v>
      </c>
      <c r="B1870" s="32">
        <f t="shared" ca="1" si="27"/>
        <v>44450</v>
      </c>
    </row>
    <row r="1871" spans="1:2" ht="15" customHeight="1" x14ac:dyDescent="0.25">
      <c r="A1871" t="s">
        <v>61</v>
      </c>
      <c r="B1871" s="32">
        <f t="shared" ca="1" si="27"/>
        <v>44450</v>
      </c>
    </row>
    <row r="1872" spans="1:2" ht="15" customHeight="1" x14ac:dyDescent="0.25">
      <c r="A1872" t="s">
        <v>61</v>
      </c>
      <c r="B1872" s="32">
        <f t="shared" ca="1" si="27"/>
        <v>44450</v>
      </c>
    </row>
    <row r="1873" spans="1:2" ht="15" customHeight="1" x14ac:dyDescent="0.25">
      <c r="A1873" t="s">
        <v>61</v>
      </c>
      <c r="B1873" s="32">
        <f t="shared" ca="1" si="27"/>
        <v>44450</v>
      </c>
    </row>
    <row r="1874" spans="1:2" ht="15" customHeight="1" x14ac:dyDescent="0.25">
      <c r="A1874" t="s">
        <v>111</v>
      </c>
      <c r="B1874" s="32">
        <f t="shared" ca="1" si="27"/>
        <v>44450</v>
      </c>
    </row>
    <row r="1875" spans="1:2" ht="15" customHeight="1" x14ac:dyDescent="0.25">
      <c r="A1875" t="s">
        <v>111</v>
      </c>
      <c r="B1875" s="32">
        <f t="shared" ca="1" si="27"/>
        <v>44450</v>
      </c>
    </row>
    <row r="1876" spans="1:2" ht="15" customHeight="1" x14ac:dyDescent="0.25">
      <c r="A1876" t="s">
        <v>111</v>
      </c>
      <c r="B1876" s="32">
        <f t="shared" ca="1" si="27"/>
        <v>44450</v>
      </c>
    </row>
    <row r="1877" spans="1:2" ht="15" customHeight="1" x14ac:dyDescent="0.25">
      <c r="A1877" t="s">
        <v>69</v>
      </c>
      <c r="B1877" s="32">
        <f t="shared" ca="1" si="27"/>
        <v>44450</v>
      </c>
    </row>
    <row r="1878" spans="1:2" ht="15" customHeight="1" x14ac:dyDescent="0.25">
      <c r="A1878" t="s">
        <v>62</v>
      </c>
      <c r="B1878" s="32">
        <f t="shared" ca="1" si="27"/>
        <v>44450</v>
      </c>
    </row>
    <row r="1879" spans="1:2" ht="15" customHeight="1" x14ac:dyDescent="0.25">
      <c r="A1879" t="s">
        <v>62</v>
      </c>
      <c r="B1879" s="32">
        <f t="shared" ca="1" si="27"/>
        <v>44450</v>
      </c>
    </row>
    <row r="1880" spans="1:2" ht="15" customHeight="1" x14ac:dyDescent="0.25">
      <c r="A1880" t="s">
        <v>62</v>
      </c>
      <c r="B1880" s="32">
        <f t="shared" ca="1" si="27"/>
        <v>44450</v>
      </c>
    </row>
    <row r="1881" spans="1:2" ht="15" customHeight="1" x14ac:dyDescent="0.25">
      <c r="A1881" t="s">
        <v>62</v>
      </c>
      <c r="B1881" s="32">
        <f t="shared" ca="1" si="27"/>
        <v>44450</v>
      </c>
    </row>
    <row r="1882" spans="1:2" ht="15" customHeight="1" x14ac:dyDescent="0.25">
      <c r="A1882" t="s">
        <v>63</v>
      </c>
      <c r="B1882" s="32">
        <f t="shared" ca="1" si="27"/>
        <v>44450</v>
      </c>
    </row>
    <row r="1883" spans="1:2" ht="15" customHeight="1" x14ac:dyDescent="0.25">
      <c r="A1883" t="s">
        <v>63</v>
      </c>
      <c r="B1883" s="32">
        <f t="shared" ca="1" si="27"/>
        <v>44450</v>
      </c>
    </row>
    <row r="1884" spans="1:2" ht="15" customHeight="1" x14ac:dyDescent="0.25">
      <c r="A1884" t="s">
        <v>63</v>
      </c>
      <c r="B1884" s="32">
        <f t="shared" ca="1" si="27"/>
        <v>44450</v>
      </c>
    </row>
    <row r="1885" spans="1:2" ht="15" customHeight="1" x14ac:dyDescent="0.25">
      <c r="A1885" t="s">
        <v>63</v>
      </c>
      <c r="B1885" s="32">
        <f t="shared" ca="1" si="27"/>
        <v>44450</v>
      </c>
    </row>
    <row r="1886" spans="1:2" ht="15" customHeight="1" x14ac:dyDescent="0.25">
      <c r="A1886" t="s">
        <v>95</v>
      </c>
      <c r="B1886" s="32">
        <f t="shared" ca="1" si="27"/>
        <v>44450</v>
      </c>
    </row>
    <row r="1887" spans="1:2" ht="15" customHeight="1" x14ac:dyDescent="0.25">
      <c r="A1887" t="s">
        <v>95</v>
      </c>
      <c r="B1887" s="32">
        <f t="shared" ca="1" si="27"/>
        <v>44450</v>
      </c>
    </row>
    <row r="1888" spans="1:2" ht="15" customHeight="1" x14ac:dyDescent="0.25">
      <c r="A1888" t="s">
        <v>95</v>
      </c>
      <c r="B1888" s="32">
        <f t="shared" ca="1" si="27"/>
        <v>44450</v>
      </c>
    </row>
    <row r="1889" spans="1:2" ht="15" customHeight="1" x14ac:dyDescent="0.25">
      <c r="A1889" t="s">
        <v>95</v>
      </c>
      <c r="B1889" s="32">
        <f t="shared" ca="1" si="27"/>
        <v>44450</v>
      </c>
    </row>
    <row r="1890" spans="1:2" ht="15" customHeight="1" x14ac:dyDescent="0.25">
      <c r="A1890" t="s">
        <v>95</v>
      </c>
      <c r="B1890" s="32">
        <f t="shared" ca="1" si="27"/>
        <v>44450</v>
      </c>
    </row>
    <row r="1891" spans="1:2" ht="15" customHeight="1" x14ac:dyDescent="0.25">
      <c r="A1891" t="s">
        <v>96</v>
      </c>
      <c r="B1891" s="32">
        <f t="shared" ca="1" si="27"/>
        <v>44450</v>
      </c>
    </row>
    <row r="1892" spans="1:2" ht="15" customHeight="1" x14ac:dyDescent="0.25">
      <c r="A1892" t="s">
        <v>96</v>
      </c>
      <c r="B1892" s="32">
        <f t="shared" ca="1" si="27"/>
        <v>44450</v>
      </c>
    </row>
    <row r="1893" spans="1:2" ht="15" customHeight="1" x14ac:dyDescent="0.25">
      <c r="A1893" t="s">
        <v>96</v>
      </c>
      <c r="B1893" s="32">
        <f t="shared" ca="1" si="27"/>
        <v>44450</v>
      </c>
    </row>
    <row r="1894" spans="1:2" ht="15" customHeight="1" x14ac:dyDescent="0.25">
      <c r="A1894" t="s">
        <v>96</v>
      </c>
      <c r="B1894" s="32">
        <f t="shared" ca="1" si="27"/>
        <v>44450</v>
      </c>
    </row>
    <row r="1895" spans="1:2" ht="15" customHeight="1" x14ac:dyDescent="0.25">
      <c r="A1895" t="s">
        <v>96</v>
      </c>
      <c r="B1895" s="32">
        <f t="shared" ca="1" si="27"/>
        <v>44450</v>
      </c>
    </row>
    <row r="1896" spans="1:2" ht="15" customHeight="1" x14ac:dyDescent="0.25">
      <c r="A1896" t="s">
        <v>97</v>
      </c>
      <c r="B1896" s="32">
        <f t="shared" ca="1" si="27"/>
        <v>44450</v>
      </c>
    </row>
    <row r="1897" spans="1:2" ht="15" customHeight="1" x14ac:dyDescent="0.25">
      <c r="A1897" t="s">
        <v>97</v>
      </c>
      <c r="B1897" s="32">
        <f t="shared" ca="1" si="27"/>
        <v>44450</v>
      </c>
    </row>
    <row r="1898" spans="1:2" ht="15" customHeight="1" x14ac:dyDescent="0.25">
      <c r="A1898" t="s">
        <v>97</v>
      </c>
      <c r="B1898" s="32">
        <f t="shared" ca="1" si="27"/>
        <v>44450</v>
      </c>
    </row>
    <row r="1899" spans="1:2" ht="15" customHeight="1" x14ac:dyDescent="0.25">
      <c r="A1899" t="s">
        <v>97</v>
      </c>
      <c r="B1899" s="32">
        <f t="shared" ca="1" si="27"/>
        <v>44450</v>
      </c>
    </row>
    <row r="1900" spans="1:2" ht="15" customHeight="1" x14ac:dyDescent="0.25">
      <c r="A1900" t="s">
        <v>97</v>
      </c>
      <c r="B1900" s="32">
        <f t="shared" ca="1" si="27"/>
        <v>44450</v>
      </c>
    </row>
    <row r="1901" spans="1:2" ht="15" customHeight="1" x14ac:dyDescent="0.25">
      <c r="A1901" t="s">
        <v>64</v>
      </c>
      <c r="B1901" s="32">
        <f t="shared" ca="1" si="27"/>
        <v>44450</v>
      </c>
    </row>
    <row r="1902" spans="1:2" ht="15" customHeight="1" x14ac:dyDescent="0.25">
      <c r="A1902" t="s">
        <v>64</v>
      </c>
      <c r="B1902" s="32">
        <f t="shared" ca="1" si="27"/>
        <v>44450</v>
      </c>
    </row>
    <row r="1903" spans="1:2" ht="15" customHeight="1" x14ac:dyDescent="0.25">
      <c r="A1903" t="s">
        <v>64</v>
      </c>
      <c r="B1903" s="32">
        <f t="shared" ca="1" si="27"/>
        <v>44450</v>
      </c>
    </row>
    <row r="1904" spans="1:2" ht="15" customHeight="1" x14ac:dyDescent="0.25">
      <c r="A1904" t="s">
        <v>65</v>
      </c>
      <c r="B1904" s="32">
        <f t="shared" ca="1" si="27"/>
        <v>44450</v>
      </c>
    </row>
    <row r="1905" spans="1:2" ht="15" customHeight="1" x14ac:dyDescent="0.25">
      <c r="A1905" t="s">
        <v>65</v>
      </c>
      <c r="B1905" s="32">
        <f t="shared" ca="1" si="27"/>
        <v>44450</v>
      </c>
    </row>
    <row r="1906" spans="1:2" ht="15" customHeight="1" x14ac:dyDescent="0.25">
      <c r="A1906" t="s">
        <v>65</v>
      </c>
      <c r="B1906" s="32">
        <f t="shared" ca="1" si="27"/>
        <v>44450</v>
      </c>
    </row>
    <row r="1907" spans="1:2" ht="15" customHeight="1" x14ac:dyDescent="0.25">
      <c r="A1907" t="s">
        <v>73</v>
      </c>
      <c r="B1907" s="32">
        <f t="shared" ca="1" si="27"/>
        <v>44450</v>
      </c>
    </row>
    <row r="1908" spans="1:2" ht="15" customHeight="1" x14ac:dyDescent="0.25">
      <c r="A1908" t="s">
        <v>73</v>
      </c>
      <c r="B1908" s="32">
        <f t="shared" ca="1" si="27"/>
        <v>44450</v>
      </c>
    </row>
    <row r="1909" spans="1:2" ht="15" customHeight="1" x14ac:dyDescent="0.25">
      <c r="A1909" t="s">
        <v>73</v>
      </c>
      <c r="B1909" s="32">
        <f t="shared" ca="1" si="27"/>
        <v>44450</v>
      </c>
    </row>
    <row r="1910" spans="1:2" ht="15" customHeight="1" x14ac:dyDescent="0.25">
      <c r="A1910" t="s">
        <v>74</v>
      </c>
      <c r="B1910" s="32">
        <f t="shared" ca="1" si="27"/>
        <v>44450</v>
      </c>
    </row>
    <row r="1911" spans="1:2" ht="15" customHeight="1" x14ac:dyDescent="0.25">
      <c r="A1911" t="s">
        <v>74</v>
      </c>
      <c r="B1911" s="32">
        <f t="shared" ca="1" si="27"/>
        <v>44450</v>
      </c>
    </row>
    <row r="1912" spans="1:2" ht="15" customHeight="1" x14ac:dyDescent="0.25">
      <c r="A1912" t="s">
        <v>74</v>
      </c>
      <c r="B1912" s="32">
        <f t="shared" ca="1" si="27"/>
        <v>44450</v>
      </c>
    </row>
    <row r="1913" spans="1:2" ht="15" customHeight="1" x14ac:dyDescent="0.25">
      <c r="A1913" t="s">
        <v>74</v>
      </c>
      <c r="B1913" s="32">
        <f t="shared" ca="1" si="27"/>
        <v>44450</v>
      </c>
    </row>
    <row r="1914" spans="1:2" ht="15" customHeight="1" x14ac:dyDescent="0.25">
      <c r="A1914" t="s">
        <v>91</v>
      </c>
      <c r="B1914" s="32">
        <f t="shared" ca="1" si="27"/>
        <v>44450</v>
      </c>
    </row>
    <row r="1915" spans="1:2" ht="15" customHeight="1" x14ac:dyDescent="0.25">
      <c r="A1915" t="s">
        <v>146</v>
      </c>
      <c r="B1915" s="32">
        <f t="shared" ca="1" si="27"/>
        <v>44450</v>
      </c>
    </row>
    <row r="1916" spans="1:2" ht="15" customHeight="1" x14ac:dyDescent="0.25">
      <c r="A1916" t="s">
        <v>66</v>
      </c>
      <c r="B1916" s="32">
        <f t="shared" ca="1" si="27"/>
        <v>44450</v>
      </c>
    </row>
    <row r="1917" spans="1:2" ht="15" customHeight="1" x14ac:dyDescent="0.25">
      <c r="A1917" t="s">
        <v>67</v>
      </c>
      <c r="B1917" s="32">
        <f t="shared" ca="1" si="27"/>
        <v>44450</v>
      </c>
    </row>
    <row r="1918" spans="1:2" ht="15" customHeight="1" x14ac:dyDescent="0.25">
      <c r="A1918" t="s">
        <v>68</v>
      </c>
      <c r="B1918" s="32">
        <f t="shared" ca="1" si="27"/>
        <v>44450</v>
      </c>
    </row>
    <row r="1919" spans="1:2" ht="15" customHeight="1" x14ac:dyDescent="0.25">
      <c r="A1919" t="s">
        <v>68</v>
      </c>
      <c r="B1919" s="32">
        <f t="shared" ca="1" si="27"/>
        <v>44450</v>
      </c>
    </row>
    <row r="1920" spans="1:2" ht="15" customHeight="1" x14ac:dyDescent="0.25">
      <c r="A1920" t="s">
        <v>68</v>
      </c>
      <c r="B1920" s="32">
        <f t="shared" ca="1" si="27"/>
        <v>44450</v>
      </c>
    </row>
    <row r="1921" spans="1:2" ht="15" customHeight="1" x14ac:dyDescent="0.25">
      <c r="A1921" t="s">
        <v>72</v>
      </c>
      <c r="B1921" s="32">
        <f t="shared" ca="1" si="27"/>
        <v>44450</v>
      </c>
    </row>
    <row r="1922" spans="1:2" ht="15" customHeight="1" x14ac:dyDescent="0.25">
      <c r="A1922" t="s">
        <v>72</v>
      </c>
      <c r="B1922" s="32">
        <f t="shared" ca="1" si="27"/>
        <v>44450</v>
      </c>
    </row>
    <row r="1923" spans="1:2" ht="15" customHeight="1" x14ac:dyDescent="0.25">
      <c r="A1923" t="s">
        <v>72</v>
      </c>
      <c r="B1923" s="32">
        <f t="shared" ca="1" si="27"/>
        <v>44450</v>
      </c>
    </row>
    <row r="1924" spans="1:2" ht="15" customHeight="1" x14ac:dyDescent="0.25">
      <c r="A1924" t="s">
        <v>72</v>
      </c>
      <c r="B1924" s="32">
        <f t="shared" ca="1" si="27"/>
        <v>44450</v>
      </c>
    </row>
    <row r="1925" spans="1:2" ht="15" customHeight="1" x14ac:dyDescent="0.25">
      <c r="A1925" t="s">
        <v>72</v>
      </c>
    </row>
    <row r="1926" spans="1:2" ht="15" customHeight="1" x14ac:dyDescent="0.25">
      <c r="A1926" t="s">
        <v>70</v>
      </c>
    </row>
    <row r="1927" spans="1:2" ht="15" customHeight="1" x14ac:dyDescent="0.25">
      <c r="A1927" t="s">
        <v>70</v>
      </c>
    </row>
    <row r="1928" spans="1:2" ht="15" customHeight="1" x14ac:dyDescent="0.25">
      <c r="A1928" t="s">
        <v>70</v>
      </c>
    </row>
    <row r="1929" spans="1:2" ht="15" customHeight="1" x14ac:dyDescent="0.25">
      <c r="A1929" t="s">
        <v>70</v>
      </c>
    </row>
    <row r="1930" spans="1:2" ht="15" customHeight="1" x14ac:dyDescent="0.25">
      <c r="A1930" t="s">
        <v>70</v>
      </c>
    </row>
    <row r="1931" spans="1:2" ht="15" customHeight="1" x14ac:dyDescent="0.25">
      <c r="A1931" t="s">
        <v>78</v>
      </c>
    </row>
    <row r="1932" spans="1:2" ht="15" customHeight="1" x14ac:dyDescent="0.25">
      <c r="A1932" t="s">
        <v>78</v>
      </c>
    </row>
    <row r="1933" spans="1:2" ht="15" customHeight="1" x14ac:dyDescent="0.25">
      <c r="A1933" t="s">
        <v>78</v>
      </c>
    </row>
    <row r="1934" spans="1:2" ht="15" customHeight="1" x14ac:dyDescent="0.25">
      <c r="A1934" t="s">
        <v>78</v>
      </c>
    </row>
    <row r="1935" spans="1:2" ht="15" customHeight="1" x14ac:dyDescent="0.25">
      <c r="A1935" t="s">
        <v>78</v>
      </c>
    </row>
    <row r="1936" spans="1:2" ht="15" customHeight="1" x14ac:dyDescent="0.25">
      <c r="A1936" t="s">
        <v>71</v>
      </c>
    </row>
    <row r="1937" spans="1:1" ht="15" customHeight="1" x14ac:dyDescent="0.25">
      <c r="A1937" t="s">
        <v>98</v>
      </c>
    </row>
    <row r="1938" spans="1:1" ht="15" customHeight="1" x14ac:dyDescent="0.25">
      <c r="A1938" t="s">
        <v>147</v>
      </c>
    </row>
    <row r="1939" spans="1:1" ht="15" customHeight="1" x14ac:dyDescent="0.25">
      <c r="A1939" t="s">
        <v>147</v>
      </c>
    </row>
    <row r="1940" spans="1:1" ht="15" customHeight="1" x14ac:dyDescent="0.25">
      <c r="A1940" t="s">
        <v>147</v>
      </c>
    </row>
    <row r="1941" spans="1:1" ht="15" customHeight="1" x14ac:dyDescent="0.25">
      <c r="A1941" t="s">
        <v>147</v>
      </c>
    </row>
    <row r="1942" spans="1:1" ht="15" customHeight="1" x14ac:dyDescent="0.25">
      <c r="A1942" t="s">
        <v>147</v>
      </c>
    </row>
    <row r="1943" spans="1:1" ht="15" customHeight="1" x14ac:dyDescent="0.25">
      <c r="A1943" t="s">
        <v>69</v>
      </c>
    </row>
    <row r="1944" spans="1:1" ht="15" customHeight="1" x14ac:dyDescent="0.25">
      <c r="A1944" t="s">
        <v>69</v>
      </c>
    </row>
    <row r="1945" spans="1:1" ht="15" customHeight="1" x14ac:dyDescent="0.25">
      <c r="A1945" t="s">
        <v>69</v>
      </c>
    </row>
    <row r="1946" spans="1:1" ht="15" customHeight="1" x14ac:dyDescent="0.25">
      <c r="A1946" t="s">
        <v>69</v>
      </c>
    </row>
    <row r="1947" spans="1:1" ht="15" customHeight="1" x14ac:dyDescent="0.25">
      <c r="A1947" t="s">
        <v>69</v>
      </c>
    </row>
    <row r="1948" spans="1:1" ht="15" customHeight="1" x14ac:dyDescent="0.25">
      <c r="A1948" t="s">
        <v>148</v>
      </c>
    </row>
    <row r="1949" spans="1:1" ht="15" customHeight="1" x14ac:dyDescent="0.25">
      <c r="A1949" t="s">
        <v>149</v>
      </c>
    </row>
    <row r="1950" spans="1:1" ht="15" customHeight="1" x14ac:dyDescent="0.25">
      <c r="A1950" t="s">
        <v>150</v>
      </c>
    </row>
    <row r="1951" spans="1:1" ht="15" customHeight="1" x14ac:dyDescent="0.25">
      <c r="A1951" t="s">
        <v>151</v>
      </c>
    </row>
    <row r="1952" spans="1:1" ht="15" customHeight="1" x14ac:dyDescent="0.25">
      <c r="A1952" t="s">
        <v>152</v>
      </c>
    </row>
    <row r="1953" spans="1:1" ht="15" customHeight="1" x14ac:dyDescent="0.25">
      <c r="A1953" t="s">
        <v>141</v>
      </c>
    </row>
    <row r="1954" spans="1:1" ht="15" customHeight="1" x14ac:dyDescent="0.25">
      <c r="A1954" t="s">
        <v>153</v>
      </c>
    </row>
    <row r="1955" spans="1:1" ht="15" customHeight="1" x14ac:dyDescent="0.25">
      <c r="A1955" t="s">
        <v>154</v>
      </c>
    </row>
    <row r="1956" spans="1:1" ht="15" customHeight="1" x14ac:dyDescent="0.25">
      <c r="A1956" t="s">
        <v>155</v>
      </c>
    </row>
    <row r="1957" spans="1:1" ht="15" customHeight="1" x14ac:dyDescent="0.25">
      <c r="A1957" t="s">
        <v>156</v>
      </c>
    </row>
    <row r="1958" spans="1:1" ht="15" customHeight="1" x14ac:dyDescent="0.25">
      <c r="A1958" t="s">
        <v>157</v>
      </c>
    </row>
    <row r="1959" spans="1:1" ht="15" customHeight="1" x14ac:dyDescent="0.25">
      <c r="A1959" t="s">
        <v>158</v>
      </c>
    </row>
    <row r="1960" spans="1:1" ht="15" customHeight="1" x14ac:dyDescent="0.25">
      <c r="A1960" t="s">
        <v>159</v>
      </c>
    </row>
    <row r="1961" spans="1:1" ht="15" customHeight="1" x14ac:dyDescent="0.25">
      <c r="A1961" t="s">
        <v>160</v>
      </c>
    </row>
    <row r="1962" spans="1:1" ht="15" customHeight="1" x14ac:dyDescent="0.25">
      <c r="A1962" t="s">
        <v>161</v>
      </c>
    </row>
    <row r="1963" spans="1:1" ht="15" customHeight="1" x14ac:dyDescent="0.25">
      <c r="A1963" t="s">
        <v>162</v>
      </c>
    </row>
    <row r="1964" spans="1:1" ht="15" customHeight="1" x14ac:dyDescent="0.25">
      <c r="A1964" t="s">
        <v>163</v>
      </c>
    </row>
    <row r="1965" spans="1:1" ht="15" customHeight="1" x14ac:dyDescent="0.25">
      <c r="A1965" t="s">
        <v>164</v>
      </c>
    </row>
    <row r="1966" spans="1:1" ht="15" customHeight="1" x14ac:dyDescent="0.25">
      <c r="A1966" t="s">
        <v>165</v>
      </c>
    </row>
    <row r="1967" spans="1:1" ht="15" customHeight="1" x14ac:dyDescent="0.25">
      <c r="A1967" t="s">
        <v>166</v>
      </c>
    </row>
    <row r="1968" spans="1:1" ht="15" customHeight="1" x14ac:dyDescent="0.25">
      <c r="A1968" t="s">
        <v>167</v>
      </c>
    </row>
    <row r="1969" spans="1:1" ht="15" customHeight="1" x14ac:dyDescent="0.25">
      <c r="A1969" t="s">
        <v>113</v>
      </c>
    </row>
    <row r="1970" spans="1:1" ht="15" customHeight="1" x14ac:dyDescent="0.25">
      <c r="A1970" t="s">
        <v>168</v>
      </c>
    </row>
    <row r="1971" spans="1:1" ht="15" customHeight="1" x14ac:dyDescent="0.25">
      <c r="A1971" t="s">
        <v>169</v>
      </c>
    </row>
    <row r="1972" spans="1:1" ht="15" customHeight="1" x14ac:dyDescent="0.25">
      <c r="A1972" t="s">
        <v>170</v>
      </c>
    </row>
    <row r="1973" spans="1:1" ht="15" customHeight="1" x14ac:dyDescent="0.25">
      <c r="A1973" t="s">
        <v>171</v>
      </c>
    </row>
    <row r="1974" spans="1:1" ht="15" customHeight="1" x14ac:dyDescent="0.25">
      <c r="A1974" t="s">
        <v>172</v>
      </c>
    </row>
    <row r="1975" spans="1:1" ht="15" customHeight="1" x14ac:dyDescent="0.25">
      <c r="A1975" t="s">
        <v>173</v>
      </c>
    </row>
    <row r="1976" spans="1:1" ht="15" customHeight="1" x14ac:dyDescent="0.25">
      <c r="A1976" t="s">
        <v>174</v>
      </c>
    </row>
    <row r="1977" spans="1:1" ht="15" customHeight="1" x14ac:dyDescent="0.25">
      <c r="A1977" t="s">
        <v>175</v>
      </c>
    </row>
    <row r="1978" spans="1:1" ht="15" customHeight="1" x14ac:dyDescent="0.25">
      <c r="A1978" t="s">
        <v>176</v>
      </c>
    </row>
    <row r="1979" spans="1:1" ht="15" customHeight="1" x14ac:dyDescent="0.25">
      <c r="A1979" t="s">
        <v>142</v>
      </c>
    </row>
    <row r="1980" spans="1:1" ht="15" customHeight="1" x14ac:dyDescent="0.25">
      <c r="A1980" t="s">
        <v>177</v>
      </c>
    </row>
    <row r="1981" spans="1:1" ht="15" customHeight="1" x14ac:dyDescent="0.25">
      <c r="A1981" t="s">
        <v>178</v>
      </c>
    </row>
    <row r="1982" spans="1:1" ht="15" customHeight="1" x14ac:dyDescent="0.25">
      <c r="A1982" t="s">
        <v>143</v>
      </c>
    </row>
    <row r="1983" spans="1:1" ht="15" customHeight="1" x14ac:dyDescent="0.25">
      <c r="A1983" t="s">
        <v>144</v>
      </c>
    </row>
    <row r="1984" spans="1:1" ht="15" customHeight="1" x14ac:dyDescent="0.25">
      <c r="A1984" t="s">
        <v>179</v>
      </c>
    </row>
    <row r="1985" spans="1:1" ht="15" customHeight="1" x14ac:dyDescent="0.25">
      <c r="A1985" t="s">
        <v>1</v>
      </c>
    </row>
    <row r="1986" spans="1:1" ht="15" customHeight="1" x14ac:dyDescent="0.25">
      <c r="A1986" t="s">
        <v>2</v>
      </c>
    </row>
    <row r="1987" spans="1:1" ht="15" customHeight="1" x14ac:dyDescent="0.25">
      <c r="A1987" t="s">
        <v>3</v>
      </c>
    </row>
    <row r="1988" spans="1:1" ht="15" customHeight="1" x14ac:dyDescent="0.25">
      <c r="A1988" t="s">
        <v>4</v>
      </c>
    </row>
  </sheetData>
  <mergeCells count="1">
    <mergeCell ref="A2:B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73C6C-5EAB-4E38-985D-8B83E9948881}">
  <sheetPr codeName="Planilha2"/>
  <dimension ref="A2:AD1056"/>
  <sheetViews>
    <sheetView tabSelected="1" zoomScaleNormal="100" workbookViewId="0"/>
  </sheetViews>
  <sheetFormatPr defaultRowHeight="15" x14ac:dyDescent="0.25"/>
  <cols>
    <col min="1" max="2" width="25.7109375" customWidth="1"/>
    <col min="3" max="4" width="25.7109375" style="9" customWidth="1"/>
    <col min="5" max="5" width="25.7109375" style="5" customWidth="1"/>
    <col min="6" max="6" width="25.7109375" style="1" customWidth="1"/>
    <col min="7" max="7" width="25.7109375" style="25" customWidth="1"/>
    <col min="8" max="8" width="25.7109375" style="1" customWidth="1"/>
    <col min="9" max="9" width="25.7109375" style="14" customWidth="1"/>
    <col min="10" max="10" width="25.7109375" style="1" customWidth="1"/>
    <col min="11" max="11" width="25.7109375" style="14" customWidth="1"/>
    <col min="12" max="15" width="25.7109375" style="1" customWidth="1"/>
    <col min="16" max="30" width="25.7109375" style="5" customWidth="1"/>
    <col min="31" max="31" width="25.7109375" customWidth="1"/>
  </cols>
  <sheetData>
    <row r="2" spans="1:30" s="11" customFormat="1" ht="15" customHeight="1" x14ac:dyDescent="0.25">
      <c r="A2" s="4"/>
      <c r="B2" s="4"/>
      <c r="C2" s="43" t="s">
        <v>180</v>
      </c>
      <c r="D2" s="40"/>
      <c r="E2" s="22"/>
      <c r="F2" s="10"/>
      <c r="G2" s="12"/>
      <c r="H2" s="10"/>
      <c r="I2" s="12"/>
      <c r="J2" s="10"/>
      <c r="K2" s="10"/>
      <c r="L2" s="10"/>
      <c r="M2" s="10"/>
      <c r="N2" s="10"/>
      <c r="O2" s="10"/>
    </row>
    <row r="3" spans="1:30" s="11" customFormat="1" ht="15" customHeight="1" x14ac:dyDescent="0.25">
      <c r="A3" s="4"/>
      <c r="C3" s="43"/>
      <c r="D3" s="10"/>
      <c r="E3" s="22"/>
      <c r="F3" s="10"/>
      <c r="G3" s="12"/>
      <c r="H3" s="10"/>
      <c r="I3" s="12"/>
      <c r="J3" s="10"/>
      <c r="K3" s="10"/>
      <c r="L3" s="10"/>
      <c r="M3" s="10"/>
      <c r="N3" s="10"/>
      <c r="O3" s="10"/>
      <c r="W3" s="7"/>
    </row>
    <row r="4" spans="1:30" s="7" customFormat="1" ht="15" customHeight="1" x14ac:dyDescent="0.25">
      <c r="A4" s="4"/>
      <c r="B4" s="4"/>
      <c r="C4" s="8"/>
      <c r="D4" s="8"/>
      <c r="F4" s="25"/>
      <c r="G4" s="23"/>
      <c r="H4" s="6"/>
      <c r="I4" s="13"/>
      <c r="J4" s="6"/>
      <c r="K4" s="13"/>
      <c r="L4" s="6"/>
      <c r="M4" s="6"/>
      <c r="N4" s="6"/>
      <c r="O4" s="6"/>
      <c r="W4" s="7">
        <f>COUNTIFS(V:V,"KIMONO BATUR AMARELO",L:L,"Devoluções*")</f>
        <v>0</v>
      </c>
      <c r="X4" s="39">
        <f>COUNTIFS(V:V,"KIMONO BATUR AMARELO",J:J,"Devolução*",L:L,"&lt;&gt;Devoluções*")</f>
        <v>0</v>
      </c>
    </row>
    <row r="5" spans="1:30" x14ac:dyDescent="0.25">
      <c r="A5" s="16" t="s">
        <v>27</v>
      </c>
      <c r="B5" s="16" t="s">
        <v>28</v>
      </c>
      <c r="C5" s="16" t="s">
        <v>39</v>
      </c>
      <c r="D5" s="16" t="s">
        <v>29</v>
      </c>
      <c r="E5" s="16" t="s">
        <v>30</v>
      </c>
      <c r="F5" s="16" t="s">
        <v>31</v>
      </c>
      <c r="G5" s="24" t="s">
        <v>40</v>
      </c>
      <c r="H5" s="16" t="s">
        <v>41</v>
      </c>
      <c r="I5" s="16" t="s">
        <v>11</v>
      </c>
      <c r="J5" s="16" t="s">
        <v>32</v>
      </c>
      <c r="K5" s="16" t="s">
        <v>33</v>
      </c>
      <c r="L5" s="16" t="s">
        <v>34</v>
      </c>
      <c r="M5" s="18" t="s">
        <v>35</v>
      </c>
      <c r="N5" s="16" t="s">
        <v>36</v>
      </c>
      <c r="O5" s="16" t="s">
        <v>42</v>
      </c>
      <c r="P5" s="33" t="s">
        <v>43</v>
      </c>
      <c r="Q5" s="33" t="s">
        <v>37</v>
      </c>
      <c r="R5" s="33" t="s">
        <v>44</v>
      </c>
      <c r="S5" s="33" t="s">
        <v>38</v>
      </c>
      <c r="T5" s="33" t="s">
        <v>20</v>
      </c>
      <c r="U5" s="33" t="s">
        <v>18</v>
      </c>
      <c r="V5" s="33" t="s">
        <v>45</v>
      </c>
      <c r="X5" s="25"/>
    </row>
    <row r="6" spans="1:30" x14ac:dyDescent="0.25">
      <c r="A6" t="s">
        <v>2999</v>
      </c>
      <c r="B6" t="s">
        <v>3000</v>
      </c>
      <c r="C6" s="9" t="s">
        <v>3001</v>
      </c>
      <c r="D6" s="9" t="s">
        <v>3002</v>
      </c>
      <c r="E6" s="5" t="s">
        <v>3003</v>
      </c>
      <c r="F6" s="1" t="s">
        <v>3004</v>
      </c>
      <c r="G6" s="25">
        <v>44550</v>
      </c>
      <c r="H6" s="1" t="s">
        <v>3005</v>
      </c>
      <c r="I6" s="14" t="s">
        <v>2922</v>
      </c>
      <c r="J6" s="1" t="s">
        <v>3006</v>
      </c>
      <c r="K6" s="14" t="s">
        <v>3007</v>
      </c>
      <c r="L6" s="1" t="s">
        <v>3008</v>
      </c>
      <c r="M6" s="1" t="s">
        <v>3009</v>
      </c>
      <c r="N6" s="1">
        <v>1507</v>
      </c>
      <c r="O6" s="1" t="s">
        <v>976</v>
      </c>
      <c r="P6" s="5">
        <v>490</v>
      </c>
      <c r="Q6" s="5">
        <v>0</v>
      </c>
      <c r="R6" s="5">
        <v>490</v>
      </c>
      <c r="S6" s="5">
        <v>0</v>
      </c>
      <c r="T6" s="5" t="s">
        <v>22</v>
      </c>
      <c r="U6" s="5" t="s">
        <v>2447</v>
      </c>
      <c r="V6" s="5" t="s">
        <v>914</v>
      </c>
      <c r="AB6"/>
      <c r="AC6"/>
      <c r="AD6"/>
    </row>
    <row r="7" spans="1:30" x14ac:dyDescent="0.25">
      <c r="A7" t="s">
        <v>3010</v>
      </c>
      <c r="B7" t="s">
        <v>3011</v>
      </c>
      <c r="C7" s="9" t="s">
        <v>3012</v>
      </c>
      <c r="D7" s="9">
        <v>999044404</v>
      </c>
      <c r="E7" s="5" t="s">
        <v>3013</v>
      </c>
      <c r="F7" s="1" t="s">
        <v>3014</v>
      </c>
      <c r="G7" s="25">
        <v>44525</v>
      </c>
      <c r="H7" s="1" t="s">
        <v>3015</v>
      </c>
      <c r="I7" s="14" t="s">
        <v>252</v>
      </c>
      <c r="J7" s="1" t="s">
        <v>3006</v>
      </c>
      <c r="K7" s="14" t="s">
        <v>3007</v>
      </c>
      <c r="L7" s="1" t="s">
        <v>3008</v>
      </c>
      <c r="M7" s="1" t="s">
        <v>3016</v>
      </c>
      <c r="N7" s="1">
        <v>1289</v>
      </c>
      <c r="O7" s="1" t="s">
        <v>976</v>
      </c>
      <c r="P7" s="5">
        <v>1285.48</v>
      </c>
      <c r="Q7" s="5">
        <v>138</v>
      </c>
      <c r="R7" s="5">
        <v>1380</v>
      </c>
      <c r="S7" s="5">
        <v>43.48</v>
      </c>
      <c r="T7" s="5" t="s">
        <v>22</v>
      </c>
      <c r="V7" s="5" t="s">
        <v>252</v>
      </c>
      <c r="AB7"/>
      <c r="AC7"/>
      <c r="AD7"/>
    </row>
    <row r="8" spans="1:30" x14ac:dyDescent="0.25">
      <c r="A8" t="s">
        <v>3017</v>
      </c>
      <c r="B8" t="s">
        <v>3018</v>
      </c>
      <c r="C8" s="9" t="s">
        <v>3019</v>
      </c>
      <c r="D8" s="9">
        <v>976017558</v>
      </c>
      <c r="E8" s="5" t="s">
        <v>3003</v>
      </c>
      <c r="F8" s="1" t="s">
        <v>3004</v>
      </c>
      <c r="G8" s="25">
        <v>44214</v>
      </c>
      <c r="H8" s="1" t="s">
        <v>3020</v>
      </c>
      <c r="I8" s="14" t="s">
        <v>2867</v>
      </c>
      <c r="J8" s="1" t="s">
        <v>3006</v>
      </c>
      <c r="K8" s="14" t="s">
        <v>3007</v>
      </c>
      <c r="L8" s="1" t="s">
        <v>3008</v>
      </c>
      <c r="M8" s="1" t="s">
        <v>3016</v>
      </c>
      <c r="N8" s="1">
        <v>160</v>
      </c>
      <c r="O8" s="1" t="s">
        <v>976</v>
      </c>
      <c r="P8" s="5">
        <v>416.17</v>
      </c>
      <c r="Q8" s="5">
        <v>0</v>
      </c>
      <c r="R8" s="5">
        <v>410</v>
      </c>
      <c r="S8" s="5">
        <v>6.17</v>
      </c>
      <c r="T8" s="5" t="s">
        <v>24</v>
      </c>
      <c r="U8" s="5" t="s">
        <v>2482</v>
      </c>
      <c r="V8" s="5" t="s">
        <v>869</v>
      </c>
      <c r="AB8"/>
      <c r="AC8"/>
      <c r="AD8"/>
    </row>
    <row r="9" spans="1:30" x14ac:dyDescent="0.25">
      <c r="A9" t="s">
        <v>3017</v>
      </c>
      <c r="B9" t="s">
        <v>3018</v>
      </c>
      <c r="C9" s="9" t="s">
        <v>3019</v>
      </c>
      <c r="D9" s="9">
        <v>976017558</v>
      </c>
      <c r="E9" s="5" t="s">
        <v>3003</v>
      </c>
      <c r="F9" s="1" t="s">
        <v>3004</v>
      </c>
      <c r="G9" s="25">
        <v>44214</v>
      </c>
      <c r="H9" s="1" t="s">
        <v>3021</v>
      </c>
      <c r="I9" s="14" t="s">
        <v>331</v>
      </c>
      <c r="J9" s="1" t="s">
        <v>3006</v>
      </c>
      <c r="K9" s="14" t="s">
        <v>3007</v>
      </c>
      <c r="L9" s="1" t="s">
        <v>3008</v>
      </c>
      <c r="M9" s="1" t="s">
        <v>3016</v>
      </c>
      <c r="N9" s="1">
        <v>160</v>
      </c>
      <c r="O9" s="1" t="s">
        <v>976</v>
      </c>
      <c r="P9" s="5">
        <v>593.79999999999995</v>
      </c>
      <c r="Q9" s="5">
        <v>0</v>
      </c>
      <c r="R9" s="5">
        <v>585</v>
      </c>
      <c r="S9" s="5">
        <v>8.8000000000000007</v>
      </c>
      <c r="T9" s="5" t="s">
        <v>23</v>
      </c>
      <c r="V9" s="5" t="s">
        <v>331</v>
      </c>
      <c r="AB9"/>
      <c r="AC9"/>
      <c r="AD9"/>
    </row>
    <row r="10" spans="1:30" x14ac:dyDescent="0.25">
      <c r="A10" t="s">
        <v>3022</v>
      </c>
      <c r="B10" t="s">
        <v>3023</v>
      </c>
      <c r="C10" s="9" t="s">
        <v>3024</v>
      </c>
      <c r="D10" s="9">
        <v>994093080</v>
      </c>
      <c r="E10" s="5" t="s">
        <v>3025</v>
      </c>
      <c r="F10" s="1" t="s">
        <v>3026</v>
      </c>
      <c r="G10" s="25">
        <v>44493</v>
      </c>
      <c r="H10" s="1" t="s">
        <v>3027</v>
      </c>
      <c r="I10" s="14" t="s">
        <v>254</v>
      </c>
      <c r="J10" s="1" t="s">
        <v>3006</v>
      </c>
      <c r="K10" s="14" t="s">
        <v>3007</v>
      </c>
      <c r="L10" s="1" t="s">
        <v>3008</v>
      </c>
      <c r="M10" s="1" t="s">
        <v>3009</v>
      </c>
      <c r="N10" s="1">
        <v>1090</v>
      </c>
      <c r="O10" s="1" t="s">
        <v>976</v>
      </c>
      <c r="P10" s="5">
        <v>1370.53</v>
      </c>
      <c r="Q10" s="5">
        <v>0</v>
      </c>
      <c r="R10" s="5">
        <v>1330</v>
      </c>
      <c r="S10" s="5">
        <v>40.53</v>
      </c>
      <c r="T10" s="5" t="s">
        <v>22</v>
      </c>
      <c r="V10" s="5" t="s">
        <v>254</v>
      </c>
      <c r="AB10"/>
      <c r="AC10"/>
      <c r="AD10"/>
    </row>
    <row r="11" spans="1:30" x14ac:dyDescent="0.25">
      <c r="A11" t="s">
        <v>3028</v>
      </c>
      <c r="B11" t="s">
        <v>3029</v>
      </c>
      <c r="C11" s="9" t="s">
        <v>3030</v>
      </c>
      <c r="D11" s="9">
        <v>94408373</v>
      </c>
      <c r="E11" s="5" t="s">
        <v>3003</v>
      </c>
      <c r="F11" s="1" t="s">
        <v>3004</v>
      </c>
      <c r="G11" s="25">
        <v>44527</v>
      </c>
      <c r="H11" s="1" t="s">
        <v>3031</v>
      </c>
      <c r="I11" s="14" t="s">
        <v>2888</v>
      </c>
      <c r="J11" s="1" t="s">
        <v>3006</v>
      </c>
      <c r="K11" s="14" t="s">
        <v>3007</v>
      </c>
      <c r="L11" s="1" t="s">
        <v>3008</v>
      </c>
      <c r="M11" s="1" t="s">
        <v>3016</v>
      </c>
      <c r="N11" s="1">
        <v>1303</v>
      </c>
      <c r="O11" s="1" t="s">
        <v>976</v>
      </c>
      <c r="P11" s="5">
        <v>220.18</v>
      </c>
      <c r="Q11" s="5">
        <v>23</v>
      </c>
      <c r="R11" s="5">
        <v>230</v>
      </c>
      <c r="S11" s="5">
        <v>13.18</v>
      </c>
      <c r="T11" s="5" t="s">
        <v>22</v>
      </c>
      <c r="U11" s="5" t="s">
        <v>2579</v>
      </c>
      <c r="V11" s="5" t="s">
        <v>896</v>
      </c>
      <c r="AB11"/>
      <c r="AC11"/>
      <c r="AD11"/>
    </row>
    <row r="12" spans="1:30" x14ac:dyDescent="0.25">
      <c r="A12" t="s">
        <v>3032</v>
      </c>
      <c r="B12" t="s">
        <v>3033</v>
      </c>
      <c r="C12" s="9" t="s">
        <v>3034</v>
      </c>
      <c r="D12" s="9">
        <v>996112872</v>
      </c>
      <c r="E12" s="5" t="s">
        <v>3003</v>
      </c>
      <c r="F12" s="1" t="s">
        <v>3035</v>
      </c>
      <c r="G12" s="25">
        <v>44399</v>
      </c>
      <c r="H12" s="1" t="s">
        <v>3036</v>
      </c>
      <c r="I12" s="14" t="s">
        <v>2805</v>
      </c>
      <c r="J12" s="1" t="s">
        <v>3006</v>
      </c>
      <c r="K12" s="14" t="s">
        <v>3007</v>
      </c>
      <c r="L12" s="1" t="s">
        <v>3008</v>
      </c>
      <c r="M12" s="1" t="s">
        <v>3009</v>
      </c>
      <c r="N12" s="1">
        <v>685</v>
      </c>
      <c r="O12" s="1" t="s">
        <v>976</v>
      </c>
      <c r="P12" s="5">
        <v>470</v>
      </c>
      <c r="Q12" s="5">
        <v>0</v>
      </c>
      <c r="R12" s="5">
        <v>470</v>
      </c>
      <c r="S12" s="5">
        <v>0</v>
      </c>
      <c r="T12" s="5">
        <v>40</v>
      </c>
      <c r="U12" s="5" t="s">
        <v>2447</v>
      </c>
      <c r="V12" s="5" t="s">
        <v>773</v>
      </c>
      <c r="AB12"/>
      <c r="AC12"/>
      <c r="AD12"/>
    </row>
    <row r="13" spans="1:30" x14ac:dyDescent="0.25">
      <c r="A13" t="s">
        <v>3032</v>
      </c>
      <c r="B13" t="s">
        <v>3033</v>
      </c>
      <c r="C13" s="9" t="s">
        <v>3034</v>
      </c>
      <c r="D13" s="9">
        <v>996112872</v>
      </c>
      <c r="E13" s="5" t="s">
        <v>3003</v>
      </c>
      <c r="F13" s="1" t="s">
        <v>3035</v>
      </c>
      <c r="G13" s="25">
        <v>44462</v>
      </c>
      <c r="H13" s="1" t="s">
        <v>3037</v>
      </c>
      <c r="I13" s="14" t="s">
        <v>571</v>
      </c>
      <c r="J13" s="1" t="s">
        <v>3006</v>
      </c>
      <c r="K13" s="14" t="s">
        <v>3007</v>
      </c>
      <c r="L13" s="1" t="s">
        <v>3008</v>
      </c>
      <c r="M13" s="1" t="s">
        <v>3016</v>
      </c>
      <c r="N13" s="1">
        <v>959</v>
      </c>
      <c r="O13" s="1" t="s">
        <v>976</v>
      </c>
      <c r="P13" s="5">
        <v>496.03</v>
      </c>
      <c r="Q13" s="5">
        <v>0</v>
      </c>
      <c r="R13" s="5">
        <v>470</v>
      </c>
      <c r="S13" s="5">
        <v>26.03</v>
      </c>
      <c r="T13" s="5">
        <v>40</v>
      </c>
      <c r="V13" s="5" t="s">
        <v>571</v>
      </c>
      <c r="AB13"/>
      <c r="AC13"/>
      <c r="AD13"/>
    </row>
    <row r="14" spans="1:30" x14ac:dyDescent="0.25">
      <c r="A14" t="s">
        <v>3038</v>
      </c>
      <c r="B14" t="s">
        <v>3039</v>
      </c>
      <c r="C14" s="9" t="s">
        <v>3040</v>
      </c>
      <c r="D14" s="9">
        <v>998805159</v>
      </c>
      <c r="E14" s="5" t="s">
        <v>3041</v>
      </c>
      <c r="F14" s="1" t="s">
        <v>3042</v>
      </c>
      <c r="G14" s="25">
        <v>44427</v>
      </c>
      <c r="H14" s="1" t="s">
        <v>3043</v>
      </c>
      <c r="I14" s="14" t="s">
        <v>2963</v>
      </c>
      <c r="J14" s="1" t="s">
        <v>3006</v>
      </c>
      <c r="K14" s="14" t="s">
        <v>3007</v>
      </c>
      <c r="L14" s="1" t="s">
        <v>3008</v>
      </c>
      <c r="M14" s="1" t="s">
        <v>3009</v>
      </c>
      <c r="N14" s="1">
        <v>788</v>
      </c>
      <c r="O14" s="1" t="s">
        <v>976</v>
      </c>
      <c r="P14" s="5">
        <v>724.57</v>
      </c>
      <c r="Q14" s="5">
        <v>77</v>
      </c>
      <c r="R14" s="5">
        <v>770</v>
      </c>
      <c r="S14" s="5">
        <v>31.57</v>
      </c>
      <c r="T14" s="5">
        <v>38</v>
      </c>
      <c r="U14" s="5" t="s">
        <v>2443</v>
      </c>
      <c r="V14" s="5" t="s">
        <v>934</v>
      </c>
      <c r="AB14"/>
      <c r="AC14"/>
      <c r="AD14"/>
    </row>
    <row r="15" spans="1:30" x14ac:dyDescent="0.25">
      <c r="A15" t="s">
        <v>3044</v>
      </c>
      <c r="B15" t="s">
        <v>3045</v>
      </c>
      <c r="C15" s="9" t="s">
        <v>3046</v>
      </c>
      <c r="D15" s="9">
        <v>974711993</v>
      </c>
      <c r="E15" s="5" t="s">
        <v>3003</v>
      </c>
      <c r="F15" s="1" t="s">
        <v>3004</v>
      </c>
      <c r="G15" s="25">
        <v>44540</v>
      </c>
      <c r="H15" s="1" t="s">
        <v>3027</v>
      </c>
      <c r="I15" s="14" t="s">
        <v>254</v>
      </c>
      <c r="J15" s="1" t="s">
        <v>3006</v>
      </c>
      <c r="K15" s="14" t="s">
        <v>3007</v>
      </c>
      <c r="L15" s="1" t="s">
        <v>3008</v>
      </c>
      <c r="M15" s="1" t="s">
        <v>3009</v>
      </c>
      <c r="N15" s="1">
        <v>1412</v>
      </c>
      <c r="O15" s="1" t="s">
        <v>976</v>
      </c>
      <c r="P15" s="5">
        <v>1686.79</v>
      </c>
      <c r="Q15" s="5">
        <v>0</v>
      </c>
      <c r="R15" s="5">
        <v>1665</v>
      </c>
      <c r="S15" s="5">
        <v>21.79</v>
      </c>
      <c r="T15" s="5" t="s">
        <v>22</v>
      </c>
      <c r="V15" s="5" t="s">
        <v>254</v>
      </c>
      <c r="AB15"/>
      <c r="AC15"/>
      <c r="AD15"/>
    </row>
    <row r="16" spans="1:30" x14ac:dyDescent="0.25">
      <c r="A16" t="s">
        <v>3047</v>
      </c>
      <c r="B16" t="s">
        <v>3048</v>
      </c>
      <c r="C16" s="9" t="s">
        <v>3049</v>
      </c>
      <c r="D16" s="9">
        <v>987376187</v>
      </c>
      <c r="E16" s="5" t="s">
        <v>3003</v>
      </c>
      <c r="F16" s="1" t="s">
        <v>3004</v>
      </c>
      <c r="G16" s="25">
        <v>44493</v>
      </c>
      <c r="H16" s="1" t="s">
        <v>3027</v>
      </c>
      <c r="I16" s="14" t="s">
        <v>254</v>
      </c>
      <c r="J16" s="1" t="s">
        <v>3006</v>
      </c>
      <c r="K16" s="14" t="s">
        <v>3007</v>
      </c>
      <c r="L16" s="1" t="s">
        <v>3008</v>
      </c>
      <c r="M16" s="1" t="s">
        <v>3009</v>
      </c>
      <c r="N16" s="1">
        <v>1095</v>
      </c>
      <c r="O16" s="1" t="s">
        <v>976</v>
      </c>
      <c r="P16" s="5">
        <v>1219.6199999999999</v>
      </c>
      <c r="Q16" s="5">
        <v>133</v>
      </c>
      <c r="R16" s="5">
        <v>1330</v>
      </c>
      <c r="S16" s="5">
        <v>22.62</v>
      </c>
      <c r="T16" s="5" t="s">
        <v>22</v>
      </c>
      <c r="V16" s="5" t="s">
        <v>254</v>
      </c>
      <c r="AB16"/>
      <c r="AC16"/>
      <c r="AD16"/>
    </row>
    <row r="17" spans="1:30" x14ac:dyDescent="0.25">
      <c r="A17" t="s">
        <v>3050</v>
      </c>
      <c r="B17" t="s">
        <v>3051</v>
      </c>
      <c r="C17" s="9" t="s">
        <v>3052</v>
      </c>
      <c r="D17" s="9">
        <v>999744406</v>
      </c>
      <c r="E17" s="5" t="s">
        <v>3003</v>
      </c>
      <c r="F17" s="1" t="s">
        <v>3004</v>
      </c>
      <c r="G17" s="25">
        <v>44222</v>
      </c>
      <c r="H17" s="1" t="s">
        <v>3053</v>
      </c>
      <c r="I17" s="14" t="s">
        <v>2963</v>
      </c>
      <c r="J17" s="1" t="s">
        <v>3006</v>
      </c>
      <c r="K17" s="14" t="s">
        <v>3007</v>
      </c>
      <c r="L17" s="1" t="s">
        <v>3008</v>
      </c>
      <c r="M17" s="1" t="s">
        <v>3016</v>
      </c>
      <c r="N17" s="1">
        <v>175</v>
      </c>
      <c r="O17" s="1" t="s">
        <v>976</v>
      </c>
      <c r="P17" s="5">
        <v>782.9</v>
      </c>
      <c r="Q17" s="5">
        <v>0</v>
      </c>
      <c r="R17" s="5">
        <v>770</v>
      </c>
      <c r="S17" s="5">
        <v>12.9</v>
      </c>
      <c r="T17" s="5">
        <v>41</v>
      </c>
      <c r="U17" s="5" t="s">
        <v>2443</v>
      </c>
      <c r="V17" s="5" t="s">
        <v>934</v>
      </c>
      <c r="AB17"/>
      <c r="AC17"/>
      <c r="AD17"/>
    </row>
    <row r="18" spans="1:30" x14ac:dyDescent="0.25">
      <c r="A18" t="s">
        <v>3050</v>
      </c>
      <c r="B18" t="s">
        <v>3051</v>
      </c>
      <c r="C18" s="9" t="s">
        <v>3052</v>
      </c>
      <c r="D18" s="9">
        <v>999744406</v>
      </c>
      <c r="E18" s="5" t="s">
        <v>3003</v>
      </c>
      <c r="F18" s="1" t="s">
        <v>3004</v>
      </c>
      <c r="G18" s="25">
        <v>44223</v>
      </c>
      <c r="H18" s="1" t="s">
        <v>3054</v>
      </c>
      <c r="I18" s="14" t="s">
        <v>2963</v>
      </c>
      <c r="J18" s="1" t="s">
        <v>3006</v>
      </c>
      <c r="K18" s="14" t="s">
        <v>3007</v>
      </c>
      <c r="L18" s="1" t="s">
        <v>3008</v>
      </c>
      <c r="M18" s="1" t="s">
        <v>3016</v>
      </c>
      <c r="N18" s="1">
        <v>180</v>
      </c>
      <c r="O18" s="1" t="s">
        <v>976</v>
      </c>
      <c r="P18" s="5">
        <v>782.9</v>
      </c>
      <c r="Q18" s="5">
        <v>0</v>
      </c>
      <c r="R18" s="5">
        <v>770</v>
      </c>
      <c r="S18" s="5">
        <v>12.9</v>
      </c>
      <c r="T18" s="5">
        <v>41</v>
      </c>
      <c r="U18" s="5" t="s">
        <v>2433</v>
      </c>
      <c r="V18" s="5" t="s">
        <v>935</v>
      </c>
      <c r="AB18"/>
      <c r="AC18"/>
      <c r="AD18"/>
    </row>
    <row r="19" spans="1:30" x14ac:dyDescent="0.25">
      <c r="A19" t="s">
        <v>3055</v>
      </c>
      <c r="B19" t="s">
        <v>3056</v>
      </c>
      <c r="C19" s="9" t="s">
        <v>3057</v>
      </c>
      <c r="D19" s="9">
        <v>995148816</v>
      </c>
      <c r="E19" s="5" t="s">
        <v>3003</v>
      </c>
      <c r="F19" s="1" t="s">
        <v>3058</v>
      </c>
      <c r="G19" s="25">
        <v>44185</v>
      </c>
      <c r="H19" s="1" t="s">
        <v>3059</v>
      </c>
      <c r="I19" s="14" t="s">
        <v>503</v>
      </c>
      <c r="J19" s="1" t="s">
        <v>3006</v>
      </c>
      <c r="K19" s="14" t="s">
        <v>3007</v>
      </c>
      <c r="L19" s="1" t="s">
        <v>3008</v>
      </c>
      <c r="M19" s="1" t="s">
        <v>3016</v>
      </c>
      <c r="N19" s="1">
        <v>123</v>
      </c>
      <c r="O19" s="1" t="s">
        <v>976</v>
      </c>
      <c r="P19" s="5">
        <v>256.5</v>
      </c>
      <c r="Q19" s="5">
        <v>13.5</v>
      </c>
      <c r="R19" s="5">
        <v>270</v>
      </c>
      <c r="S19" s="5">
        <v>0</v>
      </c>
      <c r="T19" s="5" t="s">
        <v>24</v>
      </c>
      <c r="V19" s="5" t="s">
        <v>503</v>
      </c>
      <c r="AB19"/>
      <c r="AC19"/>
      <c r="AD19"/>
    </row>
    <row r="20" spans="1:30" x14ac:dyDescent="0.25">
      <c r="A20" t="s">
        <v>3060</v>
      </c>
      <c r="B20" t="s">
        <v>3061</v>
      </c>
      <c r="C20" s="9" t="s">
        <v>3062</v>
      </c>
      <c r="D20" s="9">
        <v>972284584</v>
      </c>
      <c r="E20" s="5" t="s">
        <v>3003</v>
      </c>
      <c r="F20" s="1" t="s">
        <v>3004</v>
      </c>
      <c r="G20" s="25">
        <v>44537</v>
      </c>
      <c r="H20" s="1" t="s">
        <v>3063</v>
      </c>
      <c r="I20" s="14" t="s">
        <v>2853</v>
      </c>
      <c r="J20" s="1" t="s">
        <v>3006</v>
      </c>
      <c r="K20" s="14" t="s">
        <v>3007</v>
      </c>
      <c r="L20" s="1" t="s">
        <v>3008</v>
      </c>
      <c r="M20" s="1" t="s">
        <v>3009</v>
      </c>
      <c r="N20" s="1">
        <v>1366</v>
      </c>
      <c r="O20" s="1" t="s">
        <v>976</v>
      </c>
      <c r="P20" s="5">
        <v>567.77</v>
      </c>
      <c r="Q20" s="5">
        <v>61.5</v>
      </c>
      <c r="R20" s="5">
        <v>615</v>
      </c>
      <c r="S20" s="5">
        <v>14.27</v>
      </c>
      <c r="T20" s="5" t="s">
        <v>22</v>
      </c>
      <c r="U20" s="5" t="s">
        <v>2727</v>
      </c>
      <c r="V20" s="5" t="s">
        <v>848</v>
      </c>
      <c r="AB20"/>
      <c r="AC20"/>
      <c r="AD20"/>
    </row>
    <row r="21" spans="1:30" x14ac:dyDescent="0.25">
      <c r="A21" t="s">
        <v>3064</v>
      </c>
      <c r="B21" t="s">
        <v>3065</v>
      </c>
      <c r="C21" s="9" t="s">
        <v>3066</v>
      </c>
      <c r="D21" s="9">
        <v>991125742</v>
      </c>
      <c r="E21" s="5" t="s">
        <v>3013</v>
      </c>
      <c r="F21" s="1" t="s">
        <v>3067</v>
      </c>
      <c r="G21" s="25">
        <v>44507</v>
      </c>
      <c r="H21" s="1" t="s">
        <v>3027</v>
      </c>
      <c r="I21" s="14" t="s">
        <v>254</v>
      </c>
      <c r="J21" s="1" t="s">
        <v>3006</v>
      </c>
      <c r="K21" s="14" t="s">
        <v>3007</v>
      </c>
      <c r="L21" s="1" t="s">
        <v>3008</v>
      </c>
      <c r="M21" s="1" t="s">
        <v>3009</v>
      </c>
      <c r="N21" s="1">
        <v>1168</v>
      </c>
      <c r="O21" s="1" t="s">
        <v>976</v>
      </c>
      <c r="P21" s="5">
        <v>1407.12</v>
      </c>
      <c r="Q21" s="5">
        <v>0</v>
      </c>
      <c r="R21" s="5">
        <v>1380</v>
      </c>
      <c r="S21" s="5">
        <v>27.12</v>
      </c>
      <c r="T21" s="5" t="s">
        <v>22</v>
      </c>
      <c r="V21" s="5" t="s">
        <v>254</v>
      </c>
      <c r="AB21"/>
      <c r="AC21"/>
      <c r="AD21"/>
    </row>
    <row r="22" spans="1:30" x14ac:dyDescent="0.25">
      <c r="A22" t="s">
        <v>3064</v>
      </c>
      <c r="B22" t="s">
        <v>3065</v>
      </c>
      <c r="C22" s="9" t="s">
        <v>3066</v>
      </c>
      <c r="D22" s="9">
        <v>991125742</v>
      </c>
      <c r="E22" s="5" t="s">
        <v>3013</v>
      </c>
      <c r="F22" s="1" t="s">
        <v>3067</v>
      </c>
      <c r="G22" s="25">
        <v>44508</v>
      </c>
      <c r="H22" s="1" t="s">
        <v>3068</v>
      </c>
      <c r="I22" s="14" t="s">
        <v>2963</v>
      </c>
      <c r="J22" s="1" t="s">
        <v>3006</v>
      </c>
      <c r="K22" s="14" t="s">
        <v>3007</v>
      </c>
      <c r="L22" s="1" t="s">
        <v>3008</v>
      </c>
      <c r="M22" s="1" t="s">
        <v>3009</v>
      </c>
      <c r="N22" s="1">
        <v>1171</v>
      </c>
      <c r="O22" s="1" t="s">
        <v>976</v>
      </c>
      <c r="P22" s="5">
        <v>800.91</v>
      </c>
      <c r="Q22" s="5">
        <v>0</v>
      </c>
      <c r="R22" s="5">
        <v>770</v>
      </c>
      <c r="S22" s="5">
        <v>30.91</v>
      </c>
      <c r="T22" s="5">
        <v>35</v>
      </c>
      <c r="U22" s="5" t="s">
        <v>2443</v>
      </c>
      <c r="V22" s="5" t="s">
        <v>934</v>
      </c>
      <c r="AB22"/>
      <c r="AC22"/>
      <c r="AD22"/>
    </row>
    <row r="23" spans="1:30" x14ac:dyDescent="0.25">
      <c r="A23" t="s">
        <v>3069</v>
      </c>
      <c r="B23" t="s">
        <v>3070</v>
      </c>
      <c r="C23" s="9" t="s">
        <v>3071</v>
      </c>
      <c r="D23" s="9" t="s">
        <v>3072</v>
      </c>
      <c r="E23" s="5" t="s">
        <v>3073</v>
      </c>
      <c r="F23" s="1" t="s">
        <v>3074</v>
      </c>
      <c r="G23" s="25">
        <v>44505</v>
      </c>
      <c r="H23" s="1" t="s">
        <v>3075</v>
      </c>
      <c r="I23" s="14" t="s">
        <v>2791</v>
      </c>
      <c r="J23" s="1" t="s">
        <v>3006</v>
      </c>
      <c r="K23" s="14" t="s">
        <v>3007</v>
      </c>
      <c r="L23" s="1" t="s">
        <v>3008</v>
      </c>
      <c r="M23" s="1" t="s">
        <v>3016</v>
      </c>
      <c r="N23" s="1">
        <v>1163</v>
      </c>
      <c r="O23" s="1" t="s">
        <v>976</v>
      </c>
      <c r="P23" s="5">
        <v>904.33</v>
      </c>
      <c r="Q23" s="5">
        <v>475.67</v>
      </c>
      <c r="R23" s="5">
        <v>1380</v>
      </c>
      <c r="S23" s="5">
        <v>0</v>
      </c>
      <c r="T23" s="5" t="s">
        <v>22</v>
      </c>
      <c r="U23" s="5" t="s">
        <v>2443</v>
      </c>
      <c r="V23" s="5" t="s">
        <v>763</v>
      </c>
      <c r="AB23"/>
      <c r="AC23"/>
      <c r="AD23"/>
    </row>
    <row r="24" spans="1:30" x14ac:dyDescent="0.25">
      <c r="A24" t="s">
        <v>3076</v>
      </c>
      <c r="B24" t="s">
        <v>3077</v>
      </c>
      <c r="C24" s="9" t="s">
        <v>3078</v>
      </c>
      <c r="D24" s="9">
        <v>991616709</v>
      </c>
      <c r="E24" s="5" t="s">
        <v>3013</v>
      </c>
      <c r="F24" s="1" t="s">
        <v>3067</v>
      </c>
      <c r="G24" s="25">
        <v>44467</v>
      </c>
      <c r="H24" s="1" t="s">
        <v>3015</v>
      </c>
      <c r="I24" s="14" t="s">
        <v>252</v>
      </c>
      <c r="J24" s="1" t="s">
        <v>3006</v>
      </c>
      <c r="K24" s="14" t="s">
        <v>3007</v>
      </c>
      <c r="L24" s="1" t="s">
        <v>3008</v>
      </c>
      <c r="M24" s="1" t="s">
        <v>3016</v>
      </c>
      <c r="N24" s="1">
        <v>983</v>
      </c>
      <c r="O24" s="1" t="s">
        <v>976</v>
      </c>
      <c r="P24" s="5">
        <v>1234.3599999999999</v>
      </c>
      <c r="Q24" s="5">
        <v>133</v>
      </c>
      <c r="R24" s="5">
        <v>1330</v>
      </c>
      <c r="S24" s="5">
        <v>37.36</v>
      </c>
      <c r="T24" s="5" t="s">
        <v>22</v>
      </c>
      <c r="V24" s="5" t="s">
        <v>252</v>
      </c>
      <c r="AB24"/>
      <c r="AC24"/>
      <c r="AD24"/>
    </row>
    <row r="25" spans="1:30" x14ac:dyDescent="0.25">
      <c r="A25" t="s">
        <v>3079</v>
      </c>
      <c r="B25" t="s">
        <v>3080</v>
      </c>
      <c r="C25" s="9" t="s">
        <v>3081</v>
      </c>
      <c r="D25" s="9" t="s">
        <v>3082</v>
      </c>
      <c r="E25" s="5" t="s">
        <v>3003</v>
      </c>
      <c r="F25" s="1" t="s">
        <v>3004</v>
      </c>
      <c r="G25" s="25">
        <v>44455</v>
      </c>
      <c r="H25" s="1" t="s">
        <v>3083</v>
      </c>
      <c r="I25" s="14" t="s">
        <v>2930</v>
      </c>
      <c r="J25" s="1" t="s">
        <v>3006</v>
      </c>
      <c r="K25" s="14" t="s">
        <v>3007</v>
      </c>
      <c r="L25" s="1" t="s">
        <v>3008</v>
      </c>
      <c r="M25" s="1" t="s">
        <v>3016</v>
      </c>
      <c r="N25" s="1">
        <v>921</v>
      </c>
      <c r="O25" s="1" t="s">
        <v>976</v>
      </c>
      <c r="P25" s="5">
        <v>575</v>
      </c>
      <c r="Q25" s="5">
        <v>0</v>
      </c>
      <c r="R25" s="5">
        <v>575</v>
      </c>
      <c r="S25" s="5">
        <v>0</v>
      </c>
      <c r="T25" s="5" t="s">
        <v>23</v>
      </c>
      <c r="U25" s="5" t="s">
        <v>2443</v>
      </c>
      <c r="V25" s="5" t="s">
        <v>920</v>
      </c>
      <c r="AB25"/>
      <c r="AC25"/>
      <c r="AD25"/>
    </row>
    <row r="26" spans="1:30" x14ac:dyDescent="0.25">
      <c r="A26" t="s">
        <v>3079</v>
      </c>
      <c r="B26" t="s">
        <v>3080</v>
      </c>
      <c r="C26" s="9" t="s">
        <v>3081</v>
      </c>
      <c r="D26" s="9" t="s">
        <v>3082</v>
      </c>
      <c r="E26" s="5" t="s">
        <v>3003</v>
      </c>
      <c r="F26" s="1" t="s">
        <v>3004</v>
      </c>
      <c r="G26" s="25">
        <v>44455</v>
      </c>
      <c r="H26" s="1" t="s">
        <v>3084</v>
      </c>
      <c r="I26" s="14" t="s">
        <v>2930</v>
      </c>
      <c r="J26" s="1" t="s">
        <v>3006</v>
      </c>
      <c r="K26" s="14" t="s">
        <v>3007</v>
      </c>
      <c r="L26" s="1" t="s">
        <v>3008</v>
      </c>
      <c r="M26" s="1" t="s">
        <v>3016</v>
      </c>
      <c r="N26" s="1">
        <v>921</v>
      </c>
      <c r="O26" s="1" t="s">
        <v>976</v>
      </c>
      <c r="P26" s="5">
        <v>575</v>
      </c>
      <c r="Q26" s="5">
        <v>0</v>
      </c>
      <c r="R26" s="5">
        <v>575</v>
      </c>
      <c r="S26" s="5">
        <v>0</v>
      </c>
      <c r="T26" s="5" t="s">
        <v>23</v>
      </c>
      <c r="U26" s="5" t="s">
        <v>2482</v>
      </c>
      <c r="V26" s="5" t="s">
        <v>922</v>
      </c>
      <c r="AB26"/>
      <c r="AC26"/>
      <c r="AD26"/>
    </row>
    <row r="27" spans="1:30" x14ac:dyDescent="0.25">
      <c r="A27" t="s">
        <v>3085</v>
      </c>
      <c r="B27" t="s">
        <v>3086</v>
      </c>
      <c r="C27" s="9" t="s">
        <v>3087</v>
      </c>
      <c r="D27" s="9" t="s">
        <v>3088</v>
      </c>
      <c r="E27" s="5" t="s">
        <v>3003</v>
      </c>
      <c r="F27" s="1" t="s">
        <v>3004</v>
      </c>
      <c r="G27" s="25">
        <v>44441</v>
      </c>
      <c r="H27" s="1" t="s">
        <v>3089</v>
      </c>
      <c r="I27" s="14" t="s">
        <v>303</v>
      </c>
      <c r="J27" s="1" t="s">
        <v>3006</v>
      </c>
      <c r="K27" s="14" t="s">
        <v>3007</v>
      </c>
      <c r="L27" s="1" t="s">
        <v>3008</v>
      </c>
      <c r="M27" s="1" t="s">
        <v>3016</v>
      </c>
      <c r="N27" s="1">
        <v>852</v>
      </c>
      <c r="O27" s="1" t="s">
        <v>976</v>
      </c>
      <c r="P27" s="5">
        <v>0.01</v>
      </c>
      <c r="Q27" s="5">
        <v>789.99</v>
      </c>
      <c r="R27" s="5">
        <v>790</v>
      </c>
      <c r="S27" s="5">
        <v>0</v>
      </c>
      <c r="T27" s="5" t="s">
        <v>22</v>
      </c>
      <c r="V27" s="5" t="s">
        <v>303</v>
      </c>
      <c r="AB27"/>
      <c r="AC27"/>
      <c r="AD27"/>
    </row>
    <row r="28" spans="1:30" x14ac:dyDescent="0.25">
      <c r="A28" t="s">
        <v>3090</v>
      </c>
      <c r="B28" t="s">
        <v>3091</v>
      </c>
      <c r="C28" s="9" t="s">
        <v>3092</v>
      </c>
      <c r="D28" s="9" t="s">
        <v>3093</v>
      </c>
      <c r="E28" s="5" t="s">
        <v>3003</v>
      </c>
      <c r="F28" s="1" t="s">
        <v>3004</v>
      </c>
      <c r="G28" s="25">
        <v>44550</v>
      </c>
      <c r="H28" s="1" t="s">
        <v>3027</v>
      </c>
      <c r="I28" s="14" t="s">
        <v>254</v>
      </c>
      <c r="J28" s="1" t="s">
        <v>3006</v>
      </c>
      <c r="K28" s="14" t="s">
        <v>3007</v>
      </c>
      <c r="L28" s="1" t="s">
        <v>3008</v>
      </c>
      <c r="M28" s="1" t="s">
        <v>3009</v>
      </c>
      <c r="N28" s="1">
        <v>1512</v>
      </c>
      <c r="O28" s="1" t="s">
        <v>976</v>
      </c>
      <c r="P28" s="5">
        <v>1332</v>
      </c>
      <c r="Q28" s="5">
        <v>333</v>
      </c>
      <c r="R28" s="5">
        <v>1665</v>
      </c>
      <c r="S28" s="5">
        <v>0</v>
      </c>
      <c r="T28" s="5" t="s">
        <v>22</v>
      </c>
      <c r="V28" s="5" t="s">
        <v>254</v>
      </c>
      <c r="AB28"/>
      <c r="AC28"/>
      <c r="AD28"/>
    </row>
    <row r="29" spans="1:30" x14ac:dyDescent="0.25">
      <c r="A29" t="s">
        <v>3094</v>
      </c>
      <c r="B29" t="s">
        <v>3095</v>
      </c>
      <c r="C29" s="9" t="s">
        <v>3096</v>
      </c>
      <c r="D29" s="9">
        <v>991914320</v>
      </c>
      <c r="E29" s="5" t="s">
        <v>3003</v>
      </c>
      <c r="F29" s="1" t="s">
        <v>3097</v>
      </c>
      <c r="G29" s="25">
        <v>44565</v>
      </c>
      <c r="H29" s="1" t="s">
        <v>3098</v>
      </c>
      <c r="I29" s="14" t="s">
        <v>248</v>
      </c>
      <c r="J29" s="1" t="s">
        <v>3006</v>
      </c>
      <c r="K29" s="14" t="s">
        <v>3007</v>
      </c>
      <c r="L29" s="1" t="s">
        <v>3008</v>
      </c>
      <c r="M29" s="1" t="s">
        <v>3009</v>
      </c>
      <c r="N29" s="1">
        <v>1578</v>
      </c>
      <c r="O29" s="1" t="s">
        <v>976</v>
      </c>
      <c r="P29" s="5">
        <v>1703.8</v>
      </c>
      <c r="Q29" s="5">
        <v>0</v>
      </c>
      <c r="R29" s="5">
        <v>1670</v>
      </c>
      <c r="S29" s="5">
        <v>33.799999999999997</v>
      </c>
      <c r="T29" s="5" t="s">
        <v>5574</v>
      </c>
      <c r="V29" s="5" t="s">
        <v>248</v>
      </c>
      <c r="AB29"/>
      <c r="AC29"/>
      <c r="AD29"/>
    </row>
    <row r="30" spans="1:30" x14ac:dyDescent="0.25">
      <c r="A30" t="s">
        <v>3099</v>
      </c>
      <c r="B30" t="s">
        <v>3100</v>
      </c>
      <c r="C30" s="9" t="s">
        <v>3101</v>
      </c>
      <c r="D30" s="9" t="s">
        <v>3102</v>
      </c>
      <c r="E30" s="5" t="s">
        <v>3003</v>
      </c>
      <c r="F30" s="1" t="s">
        <v>3004</v>
      </c>
      <c r="G30" s="25">
        <v>44491</v>
      </c>
      <c r="H30" s="1" t="s">
        <v>3103</v>
      </c>
      <c r="I30" s="14" t="s">
        <v>298</v>
      </c>
      <c r="J30" s="1" t="s">
        <v>3006</v>
      </c>
      <c r="K30" s="14" t="s">
        <v>3007</v>
      </c>
      <c r="L30" s="1" t="s">
        <v>3008</v>
      </c>
      <c r="M30" s="1" t="s">
        <v>3009</v>
      </c>
      <c r="N30" s="1">
        <v>1082</v>
      </c>
      <c r="O30" s="1" t="s">
        <v>976</v>
      </c>
      <c r="P30" s="5">
        <v>980</v>
      </c>
      <c r="Q30" s="5">
        <v>0</v>
      </c>
      <c r="R30" s="5">
        <v>680</v>
      </c>
      <c r="S30" s="5">
        <v>300</v>
      </c>
      <c r="T30" s="5" t="s">
        <v>22</v>
      </c>
      <c r="V30" s="5" t="s">
        <v>298</v>
      </c>
      <c r="AB30"/>
      <c r="AC30"/>
      <c r="AD30"/>
    </row>
    <row r="31" spans="1:30" x14ac:dyDescent="0.25">
      <c r="A31" t="s">
        <v>3104</v>
      </c>
      <c r="B31" t="s">
        <v>3105</v>
      </c>
      <c r="C31" s="9" t="s">
        <v>3106</v>
      </c>
      <c r="D31" s="9">
        <v>992720064</v>
      </c>
      <c r="E31" s="5" t="s">
        <v>3107</v>
      </c>
      <c r="F31" s="1" t="s">
        <v>3108</v>
      </c>
      <c r="G31" s="25">
        <v>44329</v>
      </c>
      <c r="H31" s="1" t="s">
        <v>3027</v>
      </c>
      <c r="I31" s="14" t="s">
        <v>254</v>
      </c>
      <c r="J31" s="1" t="s">
        <v>3006</v>
      </c>
      <c r="K31" s="14" t="s">
        <v>3007</v>
      </c>
      <c r="L31" s="1" t="s">
        <v>3008</v>
      </c>
      <c r="M31" s="1" t="s">
        <v>3009</v>
      </c>
      <c r="N31" s="1">
        <v>413</v>
      </c>
      <c r="O31" s="1" t="s">
        <v>976</v>
      </c>
      <c r="P31" s="5">
        <v>1217.8599999999999</v>
      </c>
      <c r="Q31" s="5">
        <v>0</v>
      </c>
      <c r="R31" s="5">
        <v>1200</v>
      </c>
      <c r="S31" s="5">
        <v>17.86</v>
      </c>
      <c r="T31" s="5" t="s">
        <v>22</v>
      </c>
      <c r="V31" s="5" t="s">
        <v>254</v>
      </c>
      <c r="AB31"/>
      <c r="AC31"/>
      <c r="AD31"/>
    </row>
    <row r="32" spans="1:30" x14ac:dyDescent="0.25">
      <c r="A32" t="s">
        <v>3104</v>
      </c>
      <c r="B32" t="s">
        <v>3105</v>
      </c>
      <c r="C32" s="9" t="s">
        <v>3106</v>
      </c>
      <c r="D32" s="9">
        <v>992720064</v>
      </c>
      <c r="E32" s="5" t="s">
        <v>3107</v>
      </c>
      <c r="F32" s="1" t="s">
        <v>3108</v>
      </c>
      <c r="G32" s="25">
        <v>44427</v>
      </c>
      <c r="H32" s="1" t="s">
        <v>3109</v>
      </c>
      <c r="I32" s="14" t="s">
        <v>2790</v>
      </c>
      <c r="J32" s="1" t="s">
        <v>3006</v>
      </c>
      <c r="K32" s="14" t="s">
        <v>3007</v>
      </c>
      <c r="L32" s="1" t="s">
        <v>3008</v>
      </c>
      <c r="M32" s="1" t="s">
        <v>3009</v>
      </c>
      <c r="N32" s="1">
        <v>795</v>
      </c>
      <c r="O32" s="1" t="s">
        <v>976</v>
      </c>
      <c r="P32" s="5">
        <v>1775.37</v>
      </c>
      <c r="Q32" s="5">
        <v>0</v>
      </c>
      <c r="R32" s="5">
        <v>1750</v>
      </c>
      <c r="S32" s="5">
        <v>25.37</v>
      </c>
      <c r="T32" s="5" t="s">
        <v>5574</v>
      </c>
      <c r="U32" s="5" t="s">
        <v>2447</v>
      </c>
      <c r="V32" s="5" t="s">
        <v>244</v>
      </c>
      <c r="AB32"/>
      <c r="AC32"/>
      <c r="AD32"/>
    </row>
    <row r="33" spans="1:30" x14ac:dyDescent="0.25">
      <c r="A33" t="s">
        <v>3110</v>
      </c>
      <c r="B33" t="s">
        <v>3111</v>
      </c>
      <c r="C33" s="9" t="s">
        <v>3112</v>
      </c>
      <c r="D33" s="9">
        <v>994650703</v>
      </c>
      <c r="E33" s="5" t="s">
        <v>3003</v>
      </c>
      <c r="F33" s="1" t="s">
        <v>3004</v>
      </c>
      <c r="G33" s="25">
        <v>44439</v>
      </c>
      <c r="H33" s="1" t="s">
        <v>3015</v>
      </c>
      <c r="I33" s="14" t="s">
        <v>252</v>
      </c>
      <c r="J33" s="1" t="s">
        <v>3006</v>
      </c>
      <c r="K33" s="14" t="s">
        <v>3007</v>
      </c>
      <c r="L33" s="1" t="s">
        <v>3008</v>
      </c>
      <c r="M33" s="1" t="s">
        <v>3009</v>
      </c>
      <c r="N33" s="1">
        <v>840</v>
      </c>
      <c r="O33" s="1" t="s">
        <v>976</v>
      </c>
      <c r="P33" s="5">
        <v>1219</v>
      </c>
      <c r="Q33" s="5">
        <v>133</v>
      </c>
      <c r="R33" s="5">
        <v>1330</v>
      </c>
      <c r="S33" s="5">
        <v>22</v>
      </c>
      <c r="T33" s="5" t="s">
        <v>22</v>
      </c>
      <c r="V33" s="5" t="s">
        <v>252</v>
      </c>
      <c r="AB33"/>
      <c r="AC33"/>
      <c r="AD33"/>
    </row>
    <row r="34" spans="1:30" x14ac:dyDescent="0.25">
      <c r="A34" t="s">
        <v>3113</v>
      </c>
      <c r="B34" t="s">
        <v>3114</v>
      </c>
      <c r="C34" s="9" t="s">
        <v>3115</v>
      </c>
      <c r="D34" s="9">
        <v>991671795</v>
      </c>
      <c r="E34" s="5" t="s">
        <v>3003</v>
      </c>
      <c r="F34" s="1" t="s">
        <v>3116</v>
      </c>
      <c r="G34" s="25">
        <v>44319</v>
      </c>
      <c r="H34" s="1" t="s">
        <v>3117</v>
      </c>
      <c r="I34" s="14" t="s">
        <v>2963</v>
      </c>
      <c r="J34" s="1" t="s">
        <v>3006</v>
      </c>
      <c r="K34" s="14" t="s">
        <v>3007</v>
      </c>
      <c r="L34" s="1" t="s">
        <v>3008</v>
      </c>
      <c r="M34" s="1" t="s">
        <v>3009</v>
      </c>
      <c r="N34" s="1">
        <v>375</v>
      </c>
      <c r="O34" s="1" t="s">
        <v>976</v>
      </c>
      <c r="P34" s="5">
        <v>770</v>
      </c>
      <c r="Q34" s="5">
        <v>0</v>
      </c>
      <c r="R34" s="5">
        <v>770</v>
      </c>
      <c r="S34" s="5">
        <v>0</v>
      </c>
      <c r="T34" s="5">
        <v>36</v>
      </c>
      <c r="U34" s="5" t="s">
        <v>2443</v>
      </c>
      <c r="V34" s="5" t="s">
        <v>934</v>
      </c>
      <c r="AB34"/>
      <c r="AC34"/>
      <c r="AD34"/>
    </row>
    <row r="35" spans="1:30" x14ac:dyDescent="0.25">
      <c r="A35" t="s">
        <v>3118</v>
      </c>
      <c r="B35" t="s">
        <v>3119</v>
      </c>
      <c r="C35" s="9" t="s">
        <v>3120</v>
      </c>
      <c r="D35" s="9">
        <v>945387102</v>
      </c>
      <c r="E35" s="5" t="s">
        <v>3003</v>
      </c>
      <c r="F35" s="1" t="s">
        <v>3121</v>
      </c>
      <c r="G35" s="25">
        <v>44519</v>
      </c>
      <c r="H35" s="1" t="s">
        <v>3122</v>
      </c>
      <c r="I35" s="14" t="s">
        <v>2992</v>
      </c>
      <c r="J35" s="1" t="s">
        <v>3006</v>
      </c>
      <c r="K35" s="14" t="s">
        <v>3007</v>
      </c>
      <c r="L35" s="1" t="s">
        <v>3008</v>
      </c>
      <c r="M35" s="1" t="s">
        <v>3016</v>
      </c>
      <c r="N35" s="1">
        <v>1235</v>
      </c>
      <c r="O35" s="1" t="s">
        <v>976</v>
      </c>
      <c r="P35" s="5">
        <v>1579.44</v>
      </c>
      <c r="Q35" s="5">
        <v>0</v>
      </c>
      <c r="R35" s="5">
        <v>1560</v>
      </c>
      <c r="S35" s="5">
        <v>19.440000000000001</v>
      </c>
      <c r="T35" s="5" t="s">
        <v>22</v>
      </c>
      <c r="U35" s="5" t="s">
        <v>2443</v>
      </c>
      <c r="V35" s="5" t="s">
        <v>962</v>
      </c>
      <c r="AB35"/>
      <c r="AC35"/>
      <c r="AD35"/>
    </row>
    <row r="36" spans="1:30" x14ac:dyDescent="0.25">
      <c r="A36" t="s">
        <v>3118</v>
      </c>
      <c r="B36" t="s">
        <v>3119</v>
      </c>
      <c r="C36" s="9" t="s">
        <v>3120</v>
      </c>
      <c r="D36" s="9">
        <v>945387102</v>
      </c>
      <c r="E36" s="5" t="s">
        <v>3003</v>
      </c>
      <c r="F36" s="1" t="s">
        <v>3121</v>
      </c>
      <c r="G36" s="25">
        <v>44519</v>
      </c>
      <c r="H36" s="1" t="s">
        <v>3123</v>
      </c>
      <c r="I36" s="14" t="s">
        <v>2996</v>
      </c>
      <c r="J36" s="1" t="s">
        <v>3006</v>
      </c>
      <c r="K36" s="14" t="s">
        <v>3007</v>
      </c>
      <c r="L36" s="1" t="s">
        <v>3008</v>
      </c>
      <c r="M36" s="1" t="s">
        <v>3016</v>
      </c>
      <c r="N36" s="1">
        <v>1235</v>
      </c>
      <c r="O36" s="1" t="s">
        <v>976</v>
      </c>
      <c r="P36" s="5">
        <v>496.1</v>
      </c>
      <c r="Q36" s="5">
        <v>0</v>
      </c>
      <c r="R36" s="5">
        <v>490</v>
      </c>
      <c r="S36" s="5">
        <v>6.1</v>
      </c>
      <c r="T36" s="5" t="s">
        <v>22</v>
      </c>
      <c r="U36" s="5" t="s">
        <v>2447</v>
      </c>
      <c r="V36" s="5" t="s">
        <v>966</v>
      </c>
      <c r="AB36"/>
      <c r="AC36"/>
      <c r="AD36"/>
    </row>
    <row r="37" spans="1:30" x14ac:dyDescent="0.25">
      <c r="A37" t="s">
        <v>3118</v>
      </c>
      <c r="B37" t="s">
        <v>3119</v>
      </c>
      <c r="C37" s="9" t="s">
        <v>3120</v>
      </c>
      <c r="D37" s="9">
        <v>945387102</v>
      </c>
      <c r="E37" s="5" t="s">
        <v>3003</v>
      </c>
      <c r="F37" s="1" t="s">
        <v>3121</v>
      </c>
      <c r="G37" s="25">
        <v>44519</v>
      </c>
      <c r="H37" s="1" t="s">
        <v>3124</v>
      </c>
      <c r="I37" s="14" t="s">
        <v>541</v>
      </c>
      <c r="J37" s="1" t="s">
        <v>3006</v>
      </c>
      <c r="K37" s="14" t="s">
        <v>3007</v>
      </c>
      <c r="L37" s="1" t="s">
        <v>3008</v>
      </c>
      <c r="M37" s="1" t="s">
        <v>3016</v>
      </c>
      <c r="N37" s="1">
        <v>1235</v>
      </c>
      <c r="O37" s="1" t="s">
        <v>976</v>
      </c>
      <c r="P37" s="5">
        <v>496.11</v>
      </c>
      <c r="Q37" s="5">
        <v>0</v>
      </c>
      <c r="R37" s="5">
        <v>490</v>
      </c>
      <c r="S37" s="5">
        <v>6.11</v>
      </c>
      <c r="T37" s="5" t="s">
        <v>22</v>
      </c>
      <c r="V37" s="5" t="s">
        <v>541</v>
      </c>
      <c r="AB37"/>
      <c r="AC37"/>
      <c r="AD37"/>
    </row>
    <row r="38" spans="1:30" x14ac:dyDescent="0.25">
      <c r="A38" t="s">
        <v>3125</v>
      </c>
      <c r="B38" t="s">
        <v>3126</v>
      </c>
      <c r="C38" s="9" t="s">
        <v>3127</v>
      </c>
      <c r="D38" s="9">
        <v>999615222</v>
      </c>
      <c r="E38" s="5" t="s">
        <v>3013</v>
      </c>
      <c r="F38" s="1" t="s">
        <v>3128</v>
      </c>
      <c r="G38" s="25">
        <v>44498</v>
      </c>
      <c r="H38" s="1" t="s">
        <v>3129</v>
      </c>
      <c r="I38" s="14" t="s">
        <v>2790</v>
      </c>
      <c r="J38" s="1" t="s">
        <v>3006</v>
      </c>
      <c r="K38" s="14" t="s">
        <v>3007</v>
      </c>
      <c r="L38" s="1" t="s">
        <v>3008</v>
      </c>
      <c r="M38" s="1" t="s">
        <v>3009</v>
      </c>
      <c r="N38" s="1">
        <v>1134</v>
      </c>
      <c r="O38" s="1" t="s">
        <v>976</v>
      </c>
      <c r="P38" s="5">
        <v>1783.44</v>
      </c>
      <c r="Q38" s="5">
        <v>0</v>
      </c>
      <c r="R38" s="5">
        <v>1750</v>
      </c>
      <c r="S38" s="5">
        <v>33.44</v>
      </c>
      <c r="T38" s="5" t="s">
        <v>5574</v>
      </c>
      <c r="U38" s="5" t="s">
        <v>2482</v>
      </c>
      <c r="V38" s="5" t="s">
        <v>246</v>
      </c>
      <c r="AB38"/>
      <c r="AC38"/>
      <c r="AD38"/>
    </row>
    <row r="39" spans="1:30" x14ac:dyDescent="0.25">
      <c r="A39" t="s">
        <v>3130</v>
      </c>
      <c r="B39" t="s">
        <v>3131</v>
      </c>
      <c r="C39" s="9" t="s">
        <v>3132</v>
      </c>
      <c r="D39" s="9">
        <v>984967781</v>
      </c>
      <c r="E39" s="5" t="s">
        <v>3133</v>
      </c>
      <c r="F39" s="1" t="s">
        <v>3134</v>
      </c>
      <c r="G39" s="25">
        <v>44527</v>
      </c>
      <c r="H39" s="1" t="s">
        <v>3135</v>
      </c>
      <c r="I39" s="14" t="s">
        <v>523</v>
      </c>
      <c r="J39" s="1" t="s">
        <v>3006</v>
      </c>
      <c r="K39" s="14" t="s">
        <v>3007</v>
      </c>
      <c r="L39" s="1" t="s">
        <v>3008</v>
      </c>
      <c r="M39" s="1" t="s">
        <v>3016</v>
      </c>
      <c r="N39" s="1">
        <v>1301</v>
      </c>
      <c r="O39" s="1" t="s">
        <v>976</v>
      </c>
      <c r="P39" s="5">
        <v>213.97</v>
      </c>
      <c r="Q39" s="5">
        <v>0</v>
      </c>
      <c r="R39" s="5">
        <v>185</v>
      </c>
      <c r="S39" s="5">
        <v>28.97</v>
      </c>
      <c r="T39" s="5" t="s">
        <v>22</v>
      </c>
      <c r="V39" s="5" t="s">
        <v>523</v>
      </c>
      <c r="AB39"/>
      <c r="AC39"/>
      <c r="AD39"/>
    </row>
    <row r="40" spans="1:30" x14ac:dyDescent="0.25">
      <c r="A40" t="s">
        <v>3136</v>
      </c>
      <c r="B40" t="s">
        <v>3137</v>
      </c>
      <c r="C40" s="9" t="s">
        <v>3138</v>
      </c>
      <c r="D40" s="9" t="s">
        <v>3139</v>
      </c>
      <c r="E40" s="5" t="s">
        <v>3003</v>
      </c>
      <c r="F40" s="1" t="s">
        <v>3004</v>
      </c>
      <c r="G40" s="25">
        <v>44212</v>
      </c>
      <c r="H40" s="1" t="s">
        <v>3140</v>
      </c>
      <c r="I40" s="14" t="s">
        <v>314</v>
      </c>
      <c r="J40" s="1" t="s">
        <v>3006</v>
      </c>
      <c r="K40" s="14" t="s">
        <v>3007</v>
      </c>
      <c r="L40" s="1" t="s">
        <v>3008</v>
      </c>
      <c r="M40" s="1" t="s">
        <v>3009</v>
      </c>
      <c r="N40" s="1">
        <v>159</v>
      </c>
      <c r="O40" s="1" t="s">
        <v>976</v>
      </c>
      <c r="P40" s="5">
        <v>485.03</v>
      </c>
      <c r="Q40" s="5">
        <v>0</v>
      </c>
      <c r="R40" s="5">
        <v>470</v>
      </c>
      <c r="S40" s="5">
        <v>15.03</v>
      </c>
      <c r="T40" s="5" t="s">
        <v>23</v>
      </c>
      <c r="V40" s="5" t="s">
        <v>314</v>
      </c>
      <c r="AB40"/>
      <c r="AC40"/>
      <c r="AD40"/>
    </row>
    <row r="41" spans="1:30" x14ac:dyDescent="0.25">
      <c r="A41" t="s">
        <v>3136</v>
      </c>
      <c r="B41" t="s">
        <v>3137</v>
      </c>
      <c r="C41" s="9" t="s">
        <v>3138</v>
      </c>
      <c r="D41" s="9" t="s">
        <v>3139</v>
      </c>
      <c r="E41" s="5" t="s">
        <v>3003</v>
      </c>
      <c r="F41" s="1" t="s">
        <v>3004</v>
      </c>
      <c r="G41" s="25">
        <v>44450</v>
      </c>
      <c r="H41" s="1" t="s">
        <v>3141</v>
      </c>
      <c r="I41" s="14" t="s">
        <v>850</v>
      </c>
      <c r="J41" s="1" t="s">
        <v>3006</v>
      </c>
      <c r="K41" s="14" t="s">
        <v>3007</v>
      </c>
      <c r="L41" s="1" t="s">
        <v>3008</v>
      </c>
      <c r="M41" s="1" t="s">
        <v>3009</v>
      </c>
      <c r="N41" s="1">
        <v>906</v>
      </c>
      <c r="O41" s="1" t="s">
        <v>976</v>
      </c>
      <c r="P41" s="5">
        <v>790</v>
      </c>
      <c r="Q41" s="5">
        <v>0</v>
      </c>
      <c r="R41" s="5">
        <v>790</v>
      </c>
      <c r="S41" s="5">
        <v>0</v>
      </c>
      <c r="T41" s="5" t="s">
        <v>5575</v>
      </c>
      <c r="V41" s="5" t="s">
        <v>850</v>
      </c>
      <c r="AB41"/>
      <c r="AC41"/>
      <c r="AD41"/>
    </row>
    <row r="42" spans="1:30" x14ac:dyDescent="0.25">
      <c r="A42" t="s">
        <v>3136</v>
      </c>
      <c r="B42" t="s">
        <v>3137</v>
      </c>
      <c r="C42" s="9" t="s">
        <v>3138</v>
      </c>
      <c r="D42" s="9" t="s">
        <v>3139</v>
      </c>
      <c r="E42" s="5" t="s">
        <v>3003</v>
      </c>
      <c r="F42" s="1" t="s">
        <v>3004</v>
      </c>
      <c r="G42" s="25">
        <v>44450</v>
      </c>
      <c r="H42" s="1" t="s">
        <v>3142</v>
      </c>
      <c r="I42" s="14" t="s">
        <v>2926</v>
      </c>
      <c r="J42" s="1" t="s">
        <v>3006</v>
      </c>
      <c r="K42" s="14" t="s">
        <v>3007</v>
      </c>
      <c r="L42" s="1" t="s">
        <v>3008</v>
      </c>
      <c r="M42" s="1" t="s">
        <v>3009</v>
      </c>
      <c r="N42" s="1">
        <v>906</v>
      </c>
      <c r="O42" s="1" t="s">
        <v>976</v>
      </c>
      <c r="P42" s="5">
        <v>890</v>
      </c>
      <c r="Q42" s="5">
        <v>0</v>
      </c>
      <c r="R42" s="5">
        <v>890</v>
      </c>
      <c r="S42" s="5">
        <v>0</v>
      </c>
      <c r="T42" s="5" t="s">
        <v>5574</v>
      </c>
      <c r="U42" s="5" t="s">
        <v>2472</v>
      </c>
      <c r="V42" s="5" t="s">
        <v>918</v>
      </c>
      <c r="AB42"/>
      <c r="AC42"/>
      <c r="AD42"/>
    </row>
    <row r="43" spans="1:30" x14ac:dyDescent="0.25">
      <c r="A43" t="s">
        <v>3136</v>
      </c>
      <c r="B43" t="s">
        <v>3137</v>
      </c>
      <c r="C43" s="9" t="s">
        <v>3138</v>
      </c>
      <c r="D43" s="9" t="s">
        <v>3139</v>
      </c>
      <c r="E43" s="5" t="s">
        <v>3003</v>
      </c>
      <c r="F43" s="1" t="s">
        <v>3004</v>
      </c>
      <c r="G43" s="25">
        <v>44552</v>
      </c>
      <c r="H43" s="1" t="s">
        <v>3143</v>
      </c>
      <c r="I43" s="14" t="s">
        <v>234</v>
      </c>
      <c r="J43" s="1" t="s">
        <v>3006</v>
      </c>
      <c r="K43" s="14" t="s">
        <v>3007</v>
      </c>
      <c r="L43" s="1" t="s">
        <v>3008</v>
      </c>
      <c r="M43" s="1" t="s">
        <v>3009</v>
      </c>
      <c r="N43" s="1">
        <v>1533</v>
      </c>
      <c r="O43" s="1" t="s">
        <v>976</v>
      </c>
      <c r="P43" s="5">
        <v>468</v>
      </c>
      <c r="Q43" s="5">
        <v>0</v>
      </c>
      <c r="R43" s="5">
        <v>468</v>
      </c>
      <c r="S43" s="5">
        <v>0</v>
      </c>
      <c r="T43" s="5" t="s">
        <v>22</v>
      </c>
      <c r="V43" s="5" t="s">
        <v>234</v>
      </c>
      <c r="AB43"/>
      <c r="AC43"/>
      <c r="AD43"/>
    </row>
    <row r="44" spans="1:30" x14ac:dyDescent="0.25">
      <c r="A44" t="s">
        <v>3136</v>
      </c>
      <c r="B44" t="s">
        <v>3137</v>
      </c>
      <c r="C44" s="9" t="s">
        <v>3138</v>
      </c>
      <c r="D44" s="9" t="s">
        <v>3139</v>
      </c>
      <c r="E44" s="5" t="s">
        <v>3003</v>
      </c>
      <c r="F44" s="1" t="s">
        <v>3004</v>
      </c>
      <c r="G44" s="25">
        <v>44552</v>
      </c>
      <c r="H44" s="1" t="s">
        <v>3144</v>
      </c>
      <c r="I44" s="14" t="s">
        <v>2805</v>
      </c>
      <c r="J44" s="1" t="s">
        <v>3006</v>
      </c>
      <c r="K44" s="14" t="s">
        <v>3007</v>
      </c>
      <c r="L44" s="1" t="s">
        <v>3008</v>
      </c>
      <c r="M44" s="1" t="s">
        <v>3009</v>
      </c>
      <c r="N44" s="1">
        <v>1533</v>
      </c>
      <c r="O44" s="1" t="s">
        <v>976</v>
      </c>
      <c r="P44" s="5">
        <v>580</v>
      </c>
      <c r="Q44" s="5">
        <v>0</v>
      </c>
      <c r="R44" s="5">
        <v>580</v>
      </c>
      <c r="S44" s="5">
        <v>0</v>
      </c>
      <c r="T44" s="5">
        <v>36</v>
      </c>
      <c r="U44" s="5" t="s">
        <v>2447</v>
      </c>
      <c r="V44" s="5" t="s">
        <v>773</v>
      </c>
      <c r="AB44"/>
      <c r="AC44"/>
      <c r="AD44"/>
    </row>
    <row r="45" spans="1:30" x14ac:dyDescent="0.25">
      <c r="A45" t="s">
        <v>3145</v>
      </c>
      <c r="B45" t="s">
        <v>3146</v>
      </c>
      <c r="C45" s="9" t="s">
        <v>3147</v>
      </c>
      <c r="D45" s="9">
        <v>994456666</v>
      </c>
      <c r="E45" s="5" t="s">
        <v>3148</v>
      </c>
      <c r="F45" s="1" t="s">
        <v>3149</v>
      </c>
      <c r="G45" s="25">
        <v>44427</v>
      </c>
      <c r="H45" s="1" t="s">
        <v>3129</v>
      </c>
      <c r="I45" s="14" t="s">
        <v>2790</v>
      </c>
      <c r="J45" s="1" t="s">
        <v>3006</v>
      </c>
      <c r="K45" s="14" t="s">
        <v>3007</v>
      </c>
      <c r="L45" s="1" t="s">
        <v>3008</v>
      </c>
      <c r="M45" s="1" t="s">
        <v>3009</v>
      </c>
      <c r="N45" s="1">
        <v>793</v>
      </c>
      <c r="O45" s="1" t="s">
        <v>976</v>
      </c>
      <c r="P45" s="5">
        <v>1772.74</v>
      </c>
      <c r="Q45" s="5">
        <v>0</v>
      </c>
      <c r="R45" s="5">
        <v>1750</v>
      </c>
      <c r="S45" s="5">
        <v>22.74</v>
      </c>
      <c r="T45" s="5" t="s">
        <v>5574</v>
      </c>
      <c r="U45" s="5" t="s">
        <v>2482</v>
      </c>
      <c r="V45" s="5" t="s">
        <v>246</v>
      </c>
      <c r="AB45"/>
      <c r="AC45"/>
      <c r="AD45"/>
    </row>
    <row r="46" spans="1:30" x14ac:dyDescent="0.25">
      <c r="A46" t="s">
        <v>3150</v>
      </c>
      <c r="B46" t="s">
        <v>3151</v>
      </c>
      <c r="C46" s="9" t="s">
        <v>3152</v>
      </c>
      <c r="D46" s="9">
        <v>995296593</v>
      </c>
      <c r="E46" s="5" t="s">
        <v>3148</v>
      </c>
      <c r="F46" s="1" t="s">
        <v>3149</v>
      </c>
      <c r="G46" s="25">
        <v>44333</v>
      </c>
      <c r="H46" s="1" t="s">
        <v>3153</v>
      </c>
      <c r="I46" s="14" t="s">
        <v>2841</v>
      </c>
      <c r="J46" s="1" t="s">
        <v>3006</v>
      </c>
      <c r="K46" s="14" t="s">
        <v>3007</v>
      </c>
      <c r="L46" s="1" t="s">
        <v>3008</v>
      </c>
      <c r="M46" s="1" t="s">
        <v>3016</v>
      </c>
      <c r="N46" s="1">
        <v>426</v>
      </c>
      <c r="O46" s="1" t="s">
        <v>976</v>
      </c>
      <c r="P46" s="5">
        <v>70.84</v>
      </c>
      <c r="Q46" s="5">
        <v>0</v>
      </c>
      <c r="R46" s="5">
        <v>59.9</v>
      </c>
      <c r="S46" s="5">
        <v>10.94</v>
      </c>
      <c r="T46" s="5">
        <v>39</v>
      </c>
      <c r="U46" s="5" t="s">
        <v>2482</v>
      </c>
      <c r="V46" s="5" t="s">
        <v>827</v>
      </c>
      <c r="AB46"/>
      <c r="AC46"/>
      <c r="AD46"/>
    </row>
    <row r="47" spans="1:30" x14ac:dyDescent="0.25">
      <c r="A47" t="s">
        <v>3150</v>
      </c>
      <c r="B47" t="s">
        <v>3151</v>
      </c>
      <c r="C47" s="9" t="s">
        <v>3152</v>
      </c>
      <c r="D47" s="9">
        <v>995296593</v>
      </c>
      <c r="E47" s="5" t="s">
        <v>3148</v>
      </c>
      <c r="F47" s="1" t="s">
        <v>3149</v>
      </c>
      <c r="G47" s="25">
        <v>44395</v>
      </c>
      <c r="H47" s="1" t="s">
        <v>3154</v>
      </c>
      <c r="I47" s="14" t="s">
        <v>2841</v>
      </c>
      <c r="J47" s="1" t="s">
        <v>3006</v>
      </c>
      <c r="K47" s="14" t="s">
        <v>3007</v>
      </c>
      <c r="L47" s="1" t="s">
        <v>3008</v>
      </c>
      <c r="M47" s="1" t="s">
        <v>3016</v>
      </c>
      <c r="N47" s="1">
        <v>649</v>
      </c>
      <c r="O47" s="1" t="s">
        <v>976</v>
      </c>
      <c r="P47" s="5">
        <v>78.319999999999993</v>
      </c>
      <c r="Q47" s="5">
        <v>0</v>
      </c>
      <c r="R47" s="5">
        <v>59.9</v>
      </c>
      <c r="S47" s="5">
        <v>18.420000000000002</v>
      </c>
      <c r="T47" s="5">
        <v>39</v>
      </c>
      <c r="U47" s="5" t="s">
        <v>2472</v>
      </c>
      <c r="V47" s="5" t="s">
        <v>826</v>
      </c>
      <c r="AB47"/>
      <c r="AC47"/>
      <c r="AD47"/>
    </row>
    <row r="48" spans="1:30" x14ac:dyDescent="0.25">
      <c r="A48" t="s">
        <v>3150</v>
      </c>
      <c r="B48" t="s">
        <v>3151</v>
      </c>
      <c r="C48" s="9" t="s">
        <v>3152</v>
      </c>
      <c r="D48" s="9">
        <v>995296593</v>
      </c>
      <c r="E48" s="5" t="s">
        <v>3148</v>
      </c>
      <c r="F48" s="1" t="s">
        <v>3149</v>
      </c>
      <c r="G48" s="25">
        <v>44395</v>
      </c>
      <c r="H48" s="1" t="s">
        <v>3155</v>
      </c>
      <c r="I48" s="14" t="s">
        <v>2841</v>
      </c>
      <c r="J48" s="1" t="s">
        <v>3006</v>
      </c>
      <c r="K48" s="14" t="s">
        <v>3007</v>
      </c>
      <c r="L48" s="1" t="s">
        <v>3008</v>
      </c>
      <c r="M48" s="1" t="s">
        <v>3016</v>
      </c>
      <c r="N48" s="1">
        <v>649</v>
      </c>
      <c r="O48" s="1" t="s">
        <v>976</v>
      </c>
      <c r="P48" s="5">
        <v>78.31</v>
      </c>
      <c r="Q48" s="5">
        <v>0</v>
      </c>
      <c r="R48" s="5">
        <v>59.9</v>
      </c>
      <c r="S48" s="5">
        <v>18.41</v>
      </c>
      <c r="T48" s="5">
        <v>43</v>
      </c>
      <c r="U48" s="5" t="s">
        <v>2482</v>
      </c>
      <c r="V48" s="5" t="s">
        <v>827</v>
      </c>
      <c r="AB48"/>
      <c r="AC48"/>
      <c r="AD48"/>
    </row>
    <row r="49" spans="1:30" x14ac:dyDescent="0.25">
      <c r="A49" t="s">
        <v>3156</v>
      </c>
      <c r="B49" t="s">
        <v>3157</v>
      </c>
      <c r="C49" s="9" t="s">
        <v>3158</v>
      </c>
      <c r="D49" s="9" t="s">
        <v>3159</v>
      </c>
      <c r="E49" s="5" t="s">
        <v>3041</v>
      </c>
      <c r="F49" s="1" t="s">
        <v>3042</v>
      </c>
      <c r="G49" s="25">
        <v>44396</v>
      </c>
      <c r="H49" s="1" t="s">
        <v>3160</v>
      </c>
      <c r="I49" s="14" t="s">
        <v>488</v>
      </c>
      <c r="J49" s="1" t="s">
        <v>3006</v>
      </c>
      <c r="K49" s="14" t="s">
        <v>3007</v>
      </c>
      <c r="L49" s="1" t="s">
        <v>3008</v>
      </c>
      <c r="M49" s="1" t="s">
        <v>3009</v>
      </c>
      <c r="N49" s="1">
        <v>651</v>
      </c>
      <c r="O49" s="1" t="s">
        <v>976</v>
      </c>
      <c r="P49" s="5">
        <v>282.11</v>
      </c>
      <c r="Q49" s="5">
        <v>29</v>
      </c>
      <c r="R49" s="5">
        <v>290</v>
      </c>
      <c r="S49" s="5">
        <v>21.11</v>
      </c>
      <c r="T49" s="5" t="s">
        <v>22</v>
      </c>
      <c r="V49" s="5" t="s">
        <v>488</v>
      </c>
      <c r="AB49"/>
      <c r="AC49"/>
      <c r="AD49"/>
    </row>
    <row r="50" spans="1:30" x14ac:dyDescent="0.25">
      <c r="A50" t="s">
        <v>3156</v>
      </c>
      <c r="B50" t="s">
        <v>3157</v>
      </c>
      <c r="C50" s="9" t="s">
        <v>3158</v>
      </c>
      <c r="D50" s="9" t="s">
        <v>3159</v>
      </c>
      <c r="E50" s="5" t="s">
        <v>3041</v>
      </c>
      <c r="F50" s="1" t="s">
        <v>3042</v>
      </c>
      <c r="G50" s="25">
        <v>44530</v>
      </c>
      <c r="H50" s="1" t="s">
        <v>3161</v>
      </c>
      <c r="I50" s="14" t="s">
        <v>2865</v>
      </c>
      <c r="J50" s="1" t="s">
        <v>3006</v>
      </c>
      <c r="K50" s="14" t="s">
        <v>3007</v>
      </c>
      <c r="L50" s="1" t="s">
        <v>3008</v>
      </c>
      <c r="M50" s="1" t="s">
        <v>3009</v>
      </c>
      <c r="N50" s="1">
        <v>1336</v>
      </c>
      <c r="O50" s="1" t="s">
        <v>976</v>
      </c>
      <c r="P50" s="5">
        <v>603</v>
      </c>
      <c r="Q50" s="5">
        <v>67</v>
      </c>
      <c r="R50" s="5">
        <v>670</v>
      </c>
      <c r="S50" s="5">
        <v>0</v>
      </c>
      <c r="T50" s="5" t="s">
        <v>23</v>
      </c>
      <c r="U50" s="5" t="s">
        <v>2482</v>
      </c>
      <c r="V50" s="5" t="s">
        <v>866</v>
      </c>
      <c r="AB50"/>
      <c r="AC50"/>
      <c r="AD50"/>
    </row>
    <row r="51" spans="1:30" x14ac:dyDescent="0.25">
      <c r="A51" t="s">
        <v>3162</v>
      </c>
      <c r="B51" t="s">
        <v>3163</v>
      </c>
      <c r="C51" s="9" t="s">
        <v>3164</v>
      </c>
      <c r="D51" s="9">
        <v>911043034</v>
      </c>
      <c r="E51" s="5" t="s">
        <v>3003</v>
      </c>
      <c r="F51" s="1" t="s">
        <v>3004</v>
      </c>
      <c r="G51" s="25">
        <v>44233</v>
      </c>
      <c r="H51" s="1" t="s">
        <v>3165</v>
      </c>
      <c r="I51" s="14" t="s">
        <v>2814</v>
      </c>
      <c r="J51" s="1" t="s">
        <v>3006</v>
      </c>
      <c r="K51" s="14" t="s">
        <v>3007</v>
      </c>
      <c r="L51" s="1" t="s">
        <v>3008</v>
      </c>
      <c r="M51" s="1" t="s">
        <v>3016</v>
      </c>
      <c r="N51" s="1">
        <v>207</v>
      </c>
      <c r="O51" s="1" t="s">
        <v>976</v>
      </c>
      <c r="P51" s="5">
        <v>585</v>
      </c>
      <c r="Q51" s="5">
        <v>0</v>
      </c>
      <c r="R51" s="5">
        <v>585</v>
      </c>
      <c r="S51" s="5">
        <v>0</v>
      </c>
      <c r="T51" s="5" t="s">
        <v>22</v>
      </c>
      <c r="U51" s="5" t="s">
        <v>2482</v>
      </c>
      <c r="V51" s="5" t="s">
        <v>789</v>
      </c>
      <c r="AB51"/>
      <c r="AC51"/>
      <c r="AD51"/>
    </row>
    <row r="52" spans="1:30" x14ac:dyDescent="0.25">
      <c r="A52" t="s">
        <v>3166</v>
      </c>
      <c r="B52" t="s">
        <v>3167</v>
      </c>
      <c r="C52" s="9" t="s">
        <v>3168</v>
      </c>
      <c r="D52" s="9">
        <v>981755537</v>
      </c>
      <c r="E52" s="5" t="s">
        <v>3003</v>
      </c>
      <c r="F52" s="1" t="s">
        <v>3004</v>
      </c>
      <c r="G52" s="25">
        <v>44494</v>
      </c>
      <c r="H52" s="1" t="s">
        <v>3169</v>
      </c>
      <c r="I52" s="14" t="s">
        <v>2772</v>
      </c>
      <c r="J52" s="1" t="s">
        <v>3006</v>
      </c>
      <c r="K52" s="14" t="s">
        <v>3007</v>
      </c>
      <c r="L52" s="1" t="s">
        <v>3008</v>
      </c>
      <c r="M52" s="1" t="s">
        <v>3016</v>
      </c>
      <c r="N52" s="1">
        <v>1113</v>
      </c>
      <c r="O52" s="1" t="s">
        <v>976</v>
      </c>
      <c r="P52" s="5">
        <v>360.83</v>
      </c>
      <c r="Q52" s="5">
        <v>39</v>
      </c>
      <c r="R52" s="5">
        <v>390</v>
      </c>
      <c r="S52" s="5">
        <v>9.83</v>
      </c>
      <c r="T52" s="5" t="s">
        <v>24</v>
      </c>
      <c r="U52" s="5" t="s">
        <v>2508</v>
      </c>
      <c r="V52" s="5" t="s">
        <v>735</v>
      </c>
      <c r="AB52"/>
      <c r="AC52"/>
      <c r="AD52"/>
    </row>
    <row r="53" spans="1:30" x14ac:dyDescent="0.25">
      <c r="A53" t="s">
        <v>3166</v>
      </c>
      <c r="B53" t="s">
        <v>3167</v>
      </c>
      <c r="C53" s="9" t="s">
        <v>3168</v>
      </c>
      <c r="D53" s="9">
        <v>981755537</v>
      </c>
      <c r="E53" s="5" t="s">
        <v>3003</v>
      </c>
      <c r="F53" s="1" t="s">
        <v>3004</v>
      </c>
      <c r="G53" s="25">
        <v>44494</v>
      </c>
      <c r="H53" s="1" t="s">
        <v>3170</v>
      </c>
      <c r="I53" s="14" t="s">
        <v>2822</v>
      </c>
      <c r="J53" s="1" t="s">
        <v>3006</v>
      </c>
      <c r="K53" s="14" t="s">
        <v>3007</v>
      </c>
      <c r="L53" s="1" t="s">
        <v>3008</v>
      </c>
      <c r="M53" s="1" t="s">
        <v>3016</v>
      </c>
      <c r="N53" s="1">
        <v>1113</v>
      </c>
      <c r="O53" s="1" t="s">
        <v>976</v>
      </c>
      <c r="P53" s="5">
        <v>226.67</v>
      </c>
      <c r="Q53" s="5">
        <v>24.5</v>
      </c>
      <c r="R53" s="5">
        <v>245</v>
      </c>
      <c r="S53" s="5">
        <v>6.17</v>
      </c>
      <c r="T53" s="5" t="s">
        <v>23</v>
      </c>
      <c r="U53" s="5" t="s">
        <v>2508</v>
      </c>
      <c r="V53" s="5" t="s">
        <v>801</v>
      </c>
      <c r="AB53"/>
      <c r="AC53"/>
      <c r="AD53"/>
    </row>
    <row r="54" spans="1:30" x14ac:dyDescent="0.25">
      <c r="A54" t="s">
        <v>3171</v>
      </c>
      <c r="B54" t="s">
        <v>3172</v>
      </c>
      <c r="C54" s="9" t="s">
        <v>3173</v>
      </c>
      <c r="D54" s="9" t="s">
        <v>3174</v>
      </c>
      <c r="E54" s="5" t="s">
        <v>3003</v>
      </c>
      <c r="F54" s="1" t="s">
        <v>3004</v>
      </c>
      <c r="G54" s="25">
        <v>44407</v>
      </c>
      <c r="H54" s="1" t="s">
        <v>3175</v>
      </c>
      <c r="I54" s="14" t="s">
        <v>583</v>
      </c>
      <c r="J54" s="1" t="s">
        <v>3006</v>
      </c>
      <c r="K54" s="14" t="s">
        <v>3007</v>
      </c>
      <c r="L54" s="1" t="s">
        <v>3008</v>
      </c>
      <c r="M54" s="1" t="s">
        <v>3009</v>
      </c>
      <c r="N54" s="1">
        <v>708</v>
      </c>
      <c r="O54" s="1" t="s">
        <v>976</v>
      </c>
      <c r="P54" s="5">
        <v>503.52</v>
      </c>
      <c r="Q54" s="5">
        <v>0</v>
      </c>
      <c r="R54" s="5">
        <v>490</v>
      </c>
      <c r="S54" s="5">
        <v>13.52</v>
      </c>
      <c r="T54" s="5" t="s">
        <v>23</v>
      </c>
      <c r="V54" s="5" t="s">
        <v>583</v>
      </c>
      <c r="AB54"/>
      <c r="AC54"/>
      <c r="AD54"/>
    </row>
    <row r="55" spans="1:30" x14ac:dyDescent="0.25">
      <c r="A55" t="s">
        <v>3171</v>
      </c>
      <c r="B55" t="s">
        <v>3172</v>
      </c>
      <c r="C55" s="9" t="s">
        <v>3173</v>
      </c>
      <c r="D55" s="9" t="s">
        <v>3174</v>
      </c>
      <c r="E55" s="5" t="s">
        <v>3003</v>
      </c>
      <c r="F55" s="1" t="s">
        <v>3004</v>
      </c>
      <c r="G55" s="25">
        <v>44409</v>
      </c>
      <c r="H55" s="1" t="s">
        <v>3176</v>
      </c>
      <c r="I55" s="14" t="s">
        <v>2829</v>
      </c>
      <c r="J55" s="1" t="s">
        <v>3006</v>
      </c>
      <c r="K55" s="14" t="s">
        <v>3007</v>
      </c>
      <c r="L55" s="1" t="s">
        <v>3008</v>
      </c>
      <c r="M55" s="1" t="s">
        <v>3009</v>
      </c>
      <c r="N55" s="1">
        <v>718</v>
      </c>
      <c r="O55" s="1" t="s">
        <v>976</v>
      </c>
      <c r="P55" s="5">
        <v>2300</v>
      </c>
      <c r="Q55" s="5">
        <v>0</v>
      </c>
      <c r="R55" s="5">
        <v>2300</v>
      </c>
      <c r="S55" s="5">
        <v>0</v>
      </c>
      <c r="T55" s="5" t="s">
        <v>24</v>
      </c>
      <c r="U55" s="5" t="s">
        <v>2447</v>
      </c>
      <c r="V55" s="5" t="s">
        <v>811</v>
      </c>
      <c r="AB55"/>
      <c r="AC55"/>
      <c r="AD55"/>
    </row>
    <row r="56" spans="1:30" x14ac:dyDescent="0.25">
      <c r="A56" t="s">
        <v>3171</v>
      </c>
      <c r="B56" t="s">
        <v>3172</v>
      </c>
      <c r="C56" s="9" t="s">
        <v>3173</v>
      </c>
      <c r="D56" s="9" t="s">
        <v>3174</v>
      </c>
      <c r="E56" s="5" t="s">
        <v>3003</v>
      </c>
      <c r="F56" s="1" t="s">
        <v>3004</v>
      </c>
      <c r="G56" s="25">
        <v>44501</v>
      </c>
      <c r="H56" s="1" t="s">
        <v>3177</v>
      </c>
      <c r="I56" s="14" t="s">
        <v>224</v>
      </c>
      <c r="J56" s="1" t="s">
        <v>3006</v>
      </c>
      <c r="K56" s="14" t="s">
        <v>3007</v>
      </c>
      <c r="L56" s="1" t="s">
        <v>3008</v>
      </c>
      <c r="M56" s="1" t="s">
        <v>3016</v>
      </c>
      <c r="N56" s="1">
        <v>1154</v>
      </c>
      <c r="O56" s="1" t="s">
        <v>976</v>
      </c>
      <c r="P56" s="5">
        <v>606.61</v>
      </c>
      <c r="Q56" s="5">
        <v>0</v>
      </c>
      <c r="R56" s="5">
        <v>599</v>
      </c>
      <c r="S56" s="5">
        <v>7.61</v>
      </c>
      <c r="T56" s="5" t="s">
        <v>24</v>
      </c>
      <c r="V56" s="5" t="s">
        <v>224</v>
      </c>
      <c r="AB56"/>
      <c r="AC56"/>
      <c r="AD56"/>
    </row>
    <row r="57" spans="1:30" x14ac:dyDescent="0.25">
      <c r="A57" t="s">
        <v>3171</v>
      </c>
      <c r="B57" t="s">
        <v>3172</v>
      </c>
      <c r="C57" s="9" t="s">
        <v>3173</v>
      </c>
      <c r="D57" s="9" t="s">
        <v>3174</v>
      </c>
      <c r="E57" s="5" t="s">
        <v>3003</v>
      </c>
      <c r="F57" s="1" t="s">
        <v>3004</v>
      </c>
      <c r="G57" s="25">
        <v>44501</v>
      </c>
      <c r="H57" s="1" t="s">
        <v>3178</v>
      </c>
      <c r="I57" s="14" t="s">
        <v>2810</v>
      </c>
      <c r="J57" s="1" t="s">
        <v>3006</v>
      </c>
      <c r="K57" s="14" t="s">
        <v>3007</v>
      </c>
      <c r="L57" s="1" t="s">
        <v>3008</v>
      </c>
      <c r="M57" s="1" t="s">
        <v>3016</v>
      </c>
      <c r="N57" s="1">
        <v>1154</v>
      </c>
      <c r="O57" s="1" t="s">
        <v>976</v>
      </c>
      <c r="P57" s="5">
        <v>1174.75</v>
      </c>
      <c r="Q57" s="5">
        <v>0</v>
      </c>
      <c r="R57" s="5">
        <v>1160</v>
      </c>
      <c r="S57" s="5">
        <v>14.75</v>
      </c>
      <c r="T57" s="5">
        <v>42</v>
      </c>
      <c r="U57" s="5" t="s">
        <v>2482</v>
      </c>
      <c r="V57" s="5" t="s">
        <v>784</v>
      </c>
      <c r="AB57"/>
      <c r="AC57"/>
      <c r="AD57"/>
    </row>
    <row r="58" spans="1:30" x14ac:dyDescent="0.25">
      <c r="A58" t="s">
        <v>3179</v>
      </c>
      <c r="B58" t="s">
        <v>3180</v>
      </c>
      <c r="C58" s="9" t="s">
        <v>3181</v>
      </c>
      <c r="D58" s="9">
        <v>993837223</v>
      </c>
      <c r="E58" s="5" t="s">
        <v>3041</v>
      </c>
      <c r="F58" s="1" t="s">
        <v>3042</v>
      </c>
      <c r="G58" s="25">
        <v>44186</v>
      </c>
      <c r="H58" s="1" t="s">
        <v>3182</v>
      </c>
      <c r="I58" s="14" t="s">
        <v>2813</v>
      </c>
      <c r="J58" s="1" t="s">
        <v>3006</v>
      </c>
      <c r="K58" s="14" t="s">
        <v>3007</v>
      </c>
      <c r="L58" s="1" t="s">
        <v>3008</v>
      </c>
      <c r="M58" s="1" t="s">
        <v>3009</v>
      </c>
      <c r="N58" s="1">
        <v>126</v>
      </c>
      <c r="O58" s="1" t="s">
        <v>976</v>
      </c>
      <c r="P58" s="5">
        <v>508.08</v>
      </c>
      <c r="Q58" s="5">
        <v>0</v>
      </c>
      <c r="R58" s="5">
        <v>490</v>
      </c>
      <c r="S58" s="5">
        <v>18.079999999999998</v>
      </c>
      <c r="T58" s="5" t="s">
        <v>23</v>
      </c>
      <c r="U58" s="5" t="s">
        <v>2508</v>
      </c>
      <c r="V58" s="5" t="s">
        <v>787</v>
      </c>
      <c r="AB58"/>
      <c r="AC58"/>
      <c r="AD58"/>
    </row>
    <row r="59" spans="1:30" x14ac:dyDescent="0.25">
      <c r="A59" t="s">
        <v>3179</v>
      </c>
      <c r="B59" t="s">
        <v>3180</v>
      </c>
      <c r="C59" s="9" t="s">
        <v>3181</v>
      </c>
      <c r="D59" s="9">
        <v>993837223</v>
      </c>
      <c r="E59" s="5" t="s">
        <v>3041</v>
      </c>
      <c r="F59" s="1" t="s">
        <v>3042</v>
      </c>
      <c r="G59" s="25">
        <v>44186</v>
      </c>
      <c r="H59" s="1" t="s">
        <v>3170</v>
      </c>
      <c r="I59" s="14" t="s">
        <v>2822</v>
      </c>
      <c r="J59" s="1" t="s">
        <v>3006</v>
      </c>
      <c r="K59" s="14" t="s">
        <v>3007</v>
      </c>
      <c r="L59" s="1" t="s">
        <v>3008</v>
      </c>
      <c r="M59" s="1" t="s">
        <v>3009</v>
      </c>
      <c r="N59" s="1">
        <v>126</v>
      </c>
      <c r="O59" s="1" t="s">
        <v>976</v>
      </c>
      <c r="P59" s="5">
        <v>254.04</v>
      </c>
      <c r="Q59" s="5">
        <v>0</v>
      </c>
      <c r="R59" s="5">
        <v>245</v>
      </c>
      <c r="S59" s="5">
        <v>9.0399999999999991</v>
      </c>
      <c r="T59" s="5" t="s">
        <v>23</v>
      </c>
      <c r="U59" s="5" t="s">
        <v>2508</v>
      </c>
      <c r="V59" s="5" t="s">
        <v>801</v>
      </c>
      <c r="AB59"/>
      <c r="AC59"/>
      <c r="AD59"/>
    </row>
    <row r="60" spans="1:30" x14ac:dyDescent="0.25">
      <c r="A60" t="s">
        <v>3179</v>
      </c>
      <c r="B60" t="s">
        <v>3180</v>
      </c>
      <c r="C60" s="9" t="s">
        <v>3181</v>
      </c>
      <c r="D60" s="9">
        <v>993837223</v>
      </c>
      <c r="E60" s="5" t="s">
        <v>3041</v>
      </c>
      <c r="F60" s="1" t="s">
        <v>3042</v>
      </c>
      <c r="G60" s="25">
        <v>44225</v>
      </c>
      <c r="H60" s="1" t="s">
        <v>3183</v>
      </c>
      <c r="I60" s="14" t="s">
        <v>2803</v>
      </c>
      <c r="J60" s="1" t="s">
        <v>3006</v>
      </c>
      <c r="K60" s="14" t="s">
        <v>3007</v>
      </c>
      <c r="L60" s="1" t="s">
        <v>3008</v>
      </c>
      <c r="M60" s="1" t="s">
        <v>3009</v>
      </c>
      <c r="N60" s="1">
        <v>187</v>
      </c>
      <c r="O60" s="1" t="s">
        <v>976</v>
      </c>
      <c r="P60" s="5">
        <v>684.65</v>
      </c>
      <c r="Q60" s="5">
        <v>115.5</v>
      </c>
      <c r="R60" s="5">
        <v>770</v>
      </c>
      <c r="S60" s="5">
        <v>30.15</v>
      </c>
      <c r="T60" s="5" t="s">
        <v>23</v>
      </c>
      <c r="U60" s="5" t="s">
        <v>2463</v>
      </c>
      <c r="V60" s="5" t="s">
        <v>771</v>
      </c>
      <c r="AB60"/>
      <c r="AC60"/>
      <c r="AD60"/>
    </row>
    <row r="61" spans="1:30" x14ac:dyDescent="0.25">
      <c r="A61" t="s">
        <v>3184</v>
      </c>
      <c r="B61" t="s">
        <v>3185</v>
      </c>
      <c r="C61" s="9" t="s">
        <v>3186</v>
      </c>
      <c r="D61" s="9">
        <v>992560910</v>
      </c>
      <c r="E61" s="5" t="s">
        <v>3187</v>
      </c>
      <c r="F61" s="1" t="s">
        <v>3188</v>
      </c>
      <c r="G61" s="25">
        <v>44374</v>
      </c>
      <c r="H61" s="1" t="s">
        <v>3027</v>
      </c>
      <c r="I61" s="14" t="s">
        <v>254</v>
      </c>
      <c r="J61" s="1" t="s">
        <v>3006</v>
      </c>
      <c r="K61" s="14" t="s">
        <v>3007</v>
      </c>
      <c r="L61" s="1" t="s">
        <v>3008</v>
      </c>
      <c r="M61" s="1" t="s">
        <v>3009</v>
      </c>
      <c r="N61" s="1">
        <v>556</v>
      </c>
      <c r="O61" s="1" t="s">
        <v>976</v>
      </c>
      <c r="P61" s="5">
        <v>1102.74</v>
      </c>
      <c r="Q61" s="5">
        <v>120</v>
      </c>
      <c r="R61" s="5">
        <v>1200</v>
      </c>
      <c r="S61" s="5">
        <v>22.74</v>
      </c>
      <c r="T61" s="5" t="s">
        <v>22</v>
      </c>
      <c r="V61" s="5" t="s">
        <v>254</v>
      </c>
      <c r="AB61"/>
      <c r="AC61"/>
      <c r="AD61"/>
    </row>
    <row r="62" spans="1:30" x14ac:dyDescent="0.25">
      <c r="A62" t="s">
        <v>3189</v>
      </c>
      <c r="B62" t="s">
        <v>3190</v>
      </c>
      <c r="C62" s="9" t="s">
        <v>3191</v>
      </c>
      <c r="D62" s="9">
        <v>997654146</v>
      </c>
      <c r="E62" s="5" t="s">
        <v>3003</v>
      </c>
      <c r="F62" s="1" t="s">
        <v>3004</v>
      </c>
      <c r="G62" s="25">
        <v>44536</v>
      </c>
      <c r="H62" s="1" t="s">
        <v>3027</v>
      </c>
      <c r="I62" s="14" t="s">
        <v>254</v>
      </c>
      <c r="J62" s="1" t="s">
        <v>3006</v>
      </c>
      <c r="K62" s="14" t="s">
        <v>3007</v>
      </c>
      <c r="L62" s="1" t="s">
        <v>3008</v>
      </c>
      <c r="M62" s="1" t="s">
        <v>3009</v>
      </c>
      <c r="N62" s="1">
        <v>1363</v>
      </c>
      <c r="O62" s="1" t="s">
        <v>976</v>
      </c>
      <c r="P62" s="5">
        <v>1258</v>
      </c>
      <c r="Q62" s="5">
        <v>138</v>
      </c>
      <c r="R62" s="5">
        <v>1380</v>
      </c>
      <c r="S62" s="5">
        <v>16</v>
      </c>
      <c r="T62" s="5" t="s">
        <v>22</v>
      </c>
      <c r="V62" s="5" t="s">
        <v>254</v>
      </c>
      <c r="AB62"/>
      <c r="AC62"/>
      <c r="AD62"/>
    </row>
    <row r="63" spans="1:30" x14ac:dyDescent="0.25">
      <c r="A63" t="s">
        <v>3192</v>
      </c>
      <c r="B63" t="s">
        <v>3193</v>
      </c>
      <c r="C63" s="9" t="s">
        <v>3194</v>
      </c>
      <c r="D63" s="9">
        <v>994492728</v>
      </c>
      <c r="E63" s="5" t="s">
        <v>3003</v>
      </c>
      <c r="F63" s="1" t="s">
        <v>3004</v>
      </c>
      <c r="G63" s="25">
        <v>44229</v>
      </c>
      <c r="H63" s="1" t="s">
        <v>3195</v>
      </c>
      <c r="I63" s="14" t="s">
        <v>2814</v>
      </c>
      <c r="J63" s="1" t="s">
        <v>3006</v>
      </c>
      <c r="K63" s="14" t="s">
        <v>3007</v>
      </c>
      <c r="L63" s="1" t="s">
        <v>3008</v>
      </c>
      <c r="M63" s="1" t="s">
        <v>976</v>
      </c>
      <c r="N63" s="1">
        <v>190</v>
      </c>
      <c r="O63" s="1" t="s">
        <v>976</v>
      </c>
      <c r="P63" s="5">
        <v>497.25</v>
      </c>
      <c r="Q63" s="5">
        <v>87.75</v>
      </c>
      <c r="R63" s="5">
        <v>585</v>
      </c>
      <c r="S63" s="5">
        <v>0</v>
      </c>
      <c r="T63" s="5" t="s">
        <v>23</v>
      </c>
      <c r="U63" s="5" t="s">
        <v>2482</v>
      </c>
      <c r="V63" s="5" t="s">
        <v>789</v>
      </c>
      <c r="AB63"/>
      <c r="AC63"/>
      <c r="AD63"/>
    </row>
    <row r="64" spans="1:30" x14ac:dyDescent="0.25">
      <c r="A64" t="s">
        <v>3192</v>
      </c>
      <c r="B64" t="s">
        <v>3193</v>
      </c>
      <c r="C64" s="9" t="s">
        <v>3194</v>
      </c>
      <c r="D64" s="9">
        <v>994492728</v>
      </c>
      <c r="E64" s="5" t="s">
        <v>3003</v>
      </c>
      <c r="F64" s="1" t="s">
        <v>3004</v>
      </c>
      <c r="G64" s="25">
        <v>44230</v>
      </c>
      <c r="H64" s="1" t="s">
        <v>3196</v>
      </c>
      <c r="I64" s="14" t="s">
        <v>2867</v>
      </c>
      <c r="J64" s="1" t="s">
        <v>3006</v>
      </c>
      <c r="K64" s="14" t="s">
        <v>3007</v>
      </c>
      <c r="L64" s="1" t="s">
        <v>3008</v>
      </c>
      <c r="M64" s="1" t="s">
        <v>976</v>
      </c>
      <c r="N64" s="1">
        <v>195</v>
      </c>
      <c r="O64" s="1" t="s">
        <v>976</v>
      </c>
      <c r="P64" s="5">
        <v>399.5</v>
      </c>
      <c r="Q64" s="5">
        <v>70.5</v>
      </c>
      <c r="R64" s="5">
        <v>470</v>
      </c>
      <c r="S64" s="5">
        <v>0</v>
      </c>
      <c r="T64" s="5" t="s">
        <v>22</v>
      </c>
      <c r="U64" s="5" t="s">
        <v>2482</v>
      </c>
      <c r="V64" s="5" t="s">
        <v>869</v>
      </c>
      <c r="AB64"/>
      <c r="AC64"/>
      <c r="AD64"/>
    </row>
    <row r="65" spans="1:30" x14ac:dyDescent="0.25">
      <c r="A65" t="s">
        <v>3197</v>
      </c>
      <c r="B65" t="s">
        <v>3198</v>
      </c>
      <c r="C65" s="9" t="s">
        <v>3199</v>
      </c>
      <c r="D65" s="9" t="s">
        <v>3200</v>
      </c>
      <c r="E65" s="5" t="s">
        <v>3003</v>
      </c>
      <c r="F65" s="1" t="s">
        <v>3004</v>
      </c>
      <c r="G65" s="25">
        <v>44579</v>
      </c>
      <c r="H65" s="1" t="s">
        <v>3201</v>
      </c>
      <c r="I65" s="14" t="s">
        <v>2818</v>
      </c>
      <c r="J65" s="1" t="s">
        <v>3006</v>
      </c>
      <c r="K65" s="14" t="s">
        <v>3007</v>
      </c>
      <c r="L65" s="1" t="s">
        <v>3008</v>
      </c>
      <c r="M65" s="1" t="s">
        <v>3016</v>
      </c>
      <c r="N65" s="1">
        <v>1686</v>
      </c>
      <c r="O65" s="1" t="s">
        <v>976</v>
      </c>
      <c r="P65" s="5">
        <v>1220</v>
      </c>
      <c r="Q65" s="5">
        <v>0</v>
      </c>
      <c r="R65" s="5">
        <v>1220</v>
      </c>
      <c r="S65" s="5">
        <v>0</v>
      </c>
      <c r="T65" s="5">
        <v>42</v>
      </c>
      <c r="U65" s="5" t="s">
        <v>2472</v>
      </c>
      <c r="V65" s="5" t="s">
        <v>797</v>
      </c>
      <c r="AB65"/>
      <c r="AC65"/>
      <c r="AD65"/>
    </row>
    <row r="66" spans="1:30" x14ac:dyDescent="0.25">
      <c r="A66" t="s">
        <v>3197</v>
      </c>
      <c r="B66" t="s">
        <v>3198</v>
      </c>
      <c r="C66" s="9" t="s">
        <v>3199</v>
      </c>
      <c r="D66" s="9" t="s">
        <v>3200</v>
      </c>
      <c r="E66" s="5" t="s">
        <v>3003</v>
      </c>
      <c r="F66" s="1" t="s">
        <v>3004</v>
      </c>
      <c r="G66" s="25">
        <v>44579</v>
      </c>
      <c r="H66" s="1" t="s">
        <v>3202</v>
      </c>
      <c r="I66" s="14" t="s">
        <v>2847</v>
      </c>
      <c r="J66" s="1" t="s">
        <v>3006</v>
      </c>
      <c r="K66" s="14" t="s">
        <v>3007</v>
      </c>
      <c r="L66" s="1" t="s">
        <v>3008</v>
      </c>
      <c r="M66" s="1" t="s">
        <v>3016</v>
      </c>
      <c r="N66" s="1">
        <v>1686</v>
      </c>
      <c r="O66" s="1" t="s">
        <v>976</v>
      </c>
      <c r="P66" s="5">
        <v>1160</v>
      </c>
      <c r="Q66" s="5">
        <v>0</v>
      </c>
      <c r="R66" s="5">
        <v>1160</v>
      </c>
      <c r="S66" s="5">
        <v>0</v>
      </c>
      <c r="T66" s="5" t="s">
        <v>22</v>
      </c>
      <c r="U66" s="5" t="s">
        <v>2508</v>
      </c>
      <c r="V66" s="5" t="s">
        <v>832</v>
      </c>
      <c r="AB66"/>
      <c r="AC66"/>
      <c r="AD66"/>
    </row>
    <row r="67" spans="1:30" x14ac:dyDescent="0.25">
      <c r="A67" t="s">
        <v>3203</v>
      </c>
      <c r="B67" t="s">
        <v>3204</v>
      </c>
      <c r="C67" s="9" t="s">
        <v>3205</v>
      </c>
      <c r="D67" s="9">
        <v>982185905</v>
      </c>
      <c r="E67" s="5" t="s">
        <v>3003</v>
      </c>
      <c r="F67" s="1" t="s">
        <v>3004</v>
      </c>
      <c r="G67" s="25">
        <v>44471</v>
      </c>
      <c r="H67" s="1" t="s">
        <v>3206</v>
      </c>
      <c r="I67" s="14" t="s">
        <v>2930</v>
      </c>
      <c r="J67" s="1" t="s">
        <v>3006</v>
      </c>
      <c r="K67" s="14" t="s">
        <v>3007</v>
      </c>
      <c r="L67" s="1" t="s">
        <v>3008</v>
      </c>
      <c r="M67" s="1" t="s">
        <v>3009</v>
      </c>
      <c r="N67" s="1">
        <v>999</v>
      </c>
      <c r="O67" s="1" t="s">
        <v>976</v>
      </c>
      <c r="P67" s="5">
        <v>517.5</v>
      </c>
      <c r="Q67" s="5">
        <v>57.5</v>
      </c>
      <c r="R67" s="5">
        <v>575</v>
      </c>
      <c r="S67" s="5">
        <v>0</v>
      </c>
      <c r="T67" s="5" t="s">
        <v>22</v>
      </c>
      <c r="U67" s="5" t="s">
        <v>2447</v>
      </c>
      <c r="V67" s="5" t="s">
        <v>919</v>
      </c>
      <c r="AB67"/>
      <c r="AC67"/>
      <c r="AD67"/>
    </row>
    <row r="68" spans="1:30" x14ac:dyDescent="0.25">
      <c r="A68" t="s">
        <v>3203</v>
      </c>
      <c r="B68" t="s">
        <v>3204</v>
      </c>
      <c r="C68" s="9" t="s">
        <v>3205</v>
      </c>
      <c r="D68" s="9">
        <v>982185905</v>
      </c>
      <c r="E68" s="5" t="s">
        <v>3003</v>
      </c>
      <c r="F68" s="1" t="s">
        <v>3004</v>
      </c>
      <c r="G68" s="25">
        <v>44471</v>
      </c>
      <c r="H68" s="1" t="s">
        <v>3207</v>
      </c>
      <c r="I68" s="14" t="s">
        <v>2930</v>
      </c>
      <c r="J68" s="1" t="s">
        <v>3006</v>
      </c>
      <c r="K68" s="14" t="s">
        <v>3007</v>
      </c>
      <c r="L68" s="1" t="s">
        <v>3008</v>
      </c>
      <c r="M68" s="1" t="s">
        <v>3009</v>
      </c>
      <c r="N68" s="1">
        <v>999</v>
      </c>
      <c r="O68" s="1" t="s">
        <v>976</v>
      </c>
      <c r="P68" s="5">
        <v>517.5</v>
      </c>
      <c r="Q68" s="5">
        <v>57.5</v>
      </c>
      <c r="R68" s="5">
        <v>575</v>
      </c>
      <c r="S68" s="5">
        <v>0</v>
      </c>
      <c r="T68" s="5" t="s">
        <v>22</v>
      </c>
      <c r="U68" s="5" t="s">
        <v>2433</v>
      </c>
      <c r="V68" s="5" t="s">
        <v>921</v>
      </c>
      <c r="AB68"/>
      <c r="AC68"/>
      <c r="AD68"/>
    </row>
    <row r="69" spans="1:30" x14ac:dyDescent="0.25">
      <c r="A69" t="s">
        <v>3208</v>
      </c>
      <c r="B69" t="s">
        <v>3209</v>
      </c>
      <c r="C69" s="9" t="s">
        <v>3210</v>
      </c>
      <c r="D69" s="9">
        <v>999662485</v>
      </c>
      <c r="E69" s="5" t="s">
        <v>3041</v>
      </c>
      <c r="F69" s="1" t="s">
        <v>3042</v>
      </c>
      <c r="G69" s="25">
        <v>44545</v>
      </c>
      <c r="H69" s="1" t="s">
        <v>3211</v>
      </c>
      <c r="I69" s="14" t="s">
        <v>371</v>
      </c>
      <c r="J69" s="1" t="s">
        <v>3006</v>
      </c>
      <c r="K69" s="14" t="s">
        <v>3007</v>
      </c>
      <c r="L69" s="1" t="s">
        <v>3008</v>
      </c>
      <c r="M69" s="1" t="s">
        <v>3009</v>
      </c>
      <c r="N69" s="1">
        <v>1463</v>
      </c>
      <c r="O69" s="1" t="s">
        <v>976</v>
      </c>
      <c r="P69" s="5">
        <v>785</v>
      </c>
      <c r="Q69" s="5">
        <v>0</v>
      </c>
      <c r="R69" s="5">
        <v>785</v>
      </c>
      <c r="S69" s="5">
        <v>0</v>
      </c>
      <c r="T69" s="5" t="s">
        <v>25</v>
      </c>
      <c r="V69" s="5" t="s">
        <v>371</v>
      </c>
      <c r="AB69"/>
      <c r="AC69"/>
      <c r="AD69"/>
    </row>
    <row r="70" spans="1:30" x14ac:dyDescent="0.25">
      <c r="A70" t="s">
        <v>3212</v>
      </c>
      <c r="B70" t="s">
        <v>3213</v>
      </c>
      <c r="C70" s="9" t="s">
        <v>3214</v>
      </c>
      <c r="D70" s="9">
        <v>991002985</v>
      </c>
      <c r="E70" s="5" t="s">
        <v>3003</v>
      </c>
      <c r="F70" s="1" t="s">
        <v>3004</v>
      </c>
      <c r="G70" s="25">
        <v>44258</v>
      </c>
      <c r="H70" s="1" t="s">
        <v>3043</v>
      </c>
      <c r="I70" s="14" t="s">
        <v>2963</v>
      </c>
      <c r="J70" s="1" t="s">
        <v>3006</v>
      </c>
      <c r="K70" s="14" t="s">
        <v>3007</v>
      </c>
      <c r="L70" s="1" t="s">
        <v>3008</v>
      </c>
      <c r="M70" s="1" t="s">
        <v>3009</v>
      </c>
      <c r="N70" s="1">
        <v>260</v>
      </c>
      <c r="O70" s="1" t="s">
        <v>976</v>
      </c>
      <c r="P70" s="5">
        <v>770</v>
      </c>
      <c r="Q70" s="5">
        <v>0</v>
      </c>
      <c r="R70" s="5">
        <v>770</v>
      </c>
      <c r="S70" s="5">
        <v>0</v>
      </c>
      <c r="T70" s="5">
        <v>38</v>
      </c>
      <c r="U70" s="5" t="s">
        <v>2443</v>
      </c>
      <c r="V70" s="5" t="s">
        <v>934</v>
      </c>
      <c r="AB70"/>
      <c r="AC70"/>
      <c r="AD70"/>
    </row>
    <row r="71" spans="1:30" x14ac:dyDescent="0.25">
      <c r="A71" t="s">
        <v>3212</v>
      </c>
      <c r="B71" t="s">
        <v>3213</v>
      </c>
      <c r="C71" s="9" t="s">
        <v>3214</v>
      </c>
      <c r="D71" s="9">
        <v>991002985</v>
      </c>
      <c r="E71" s="5" t="s">
        <v>3003</v>
      </c>
      <c r="F71" s="1" t="s">
        <v>3004</v>
      </c>
      <c r="G71" s="25">
        <v>44326</v>
      </c>
      <c r="H71" s="1" t="s">
        <v>3027</v>
      </c>
      <c r="I71" s="14" t="s">
        <v>254</v>
      </c>
      <c r="J71" s="1" t="s">
        <v>3006</v>
      </c>
      <c r="K71" s="14" t="s">
        <v>3007</v>
      </c>
      <c r="L71" s="1" t="s">
        <v>3008</v>
      </c>
      <c r="M71" s="1" t="s">
        <v>3009</v>
      </c>
      <c r="N71" s="1">
        <v>399</v>
      </c>
      <c r="O71" s="1" t="s">
        <v>976</v>
      </c>
      <c r="P71" s="5">
        <v>960</v>
      </c>
      <c r="Q71" s="5">
        <v>240</v>
      </c>
      <c r="R71" s="5">
        <v>1200</v>
      </c>
      <c r="S71" s="5">
        <v>0</v>
      </c>
      <c r="T71" s="5" t="s">
        <v>22</v>
      </c>
      <c r="V71" s="5" t="s">
        <v>254</v>
      </c>
      <c r="AB71"/>
      <c r="AC71"/>
      <c r="AD71"/>
    </row>
    <row r="72" spans="1:30" x14ac:dyDescent="0.25">
      <c r="A72" t="s">
        <v>3212</v>
      </c>
      <c r="B72" t="s">
        <v>3213</v>
      </c>
      <c r="C72" s="9" t="s">
        <v>3214</v>
      </c>
      <c r="D72" s="9">
        <v>991002985</v>
      </c>
      <c r="E72" s="5" t="s">
        <v>3003</v>
      </c>
      <c r="F72" s="1" t="s">
        <v>3004</v>
      </c>
      <c r="G72" s="25">
        <v>44326</v>
      </c>
      <c r="H72" s="1" t="s">
        <v>3215</v>
      </c>
      <c r="I72" s="14" t="s">
        <v>577</v>
      </c>
      <c r="J72" s="1" t="s">
        <v>3006</v>
      </c>
      <c r="K72" s="14" t="s">
        <v>3007</v>
      </c>
      <c r="L72" s="1" t="s">
        <v>3008</v>
      </c>
      <c r="M72" s="1" t="s">
        <v>3009</v>
      </c>
      <c r="N72" s="1">
        <v>399</v>
      </c>
      <c r="O72" s="1" t="s">
        <v>976</v>
      </c>
      <c r="P72" s="5">
        <v>600</v>
      </c>
      <c r="Q72" s="5">
        <v>150</v>
      </c>
      <c r="R72" s="5">
        <v>750</v>
      </c>
      <c r="S72" s="5">
        <v>0</v>
      </c>
      <c r="T72" s="5" t="s">
        <v>22</v>
      </c>
      <c r="V72" s="5" t="s">
        <v>577</v>
      </c>
      <c r="AB72"/>
      <c r="AC72"/>
      <c r="AD72"/>
    </row>
    <row r="73" spans="1:30" x14ac:dyDescent="0.25">
      <c r="A73" t="s">
        <v>3216</v>
      </c>
      <c r="B73" t="s">
        <v>3217</v>
      </c>
      <c r="C73" s="9" t="s">
        <v>3218</v>
      </c>
      <c r="D73" s="9">
        <v>91074748</v>
      </c>
      <c r="E73" s="5" t="s">
        <v>3003</v>
      </c>
      <c r="F73" s="1" t="s">
        <v>3004</v>
      </c>
      <c r="G73" s="25">
        <v>44173</v>
      </c>
      <c r="H73" s="1" t="s">
        <v>3103</v>
      </c>
      <c r="I73" s="14" t="s">
        <v>298</v>
      </c>
      <c r="J73" s="1" t="s">
        <v>3006</v>
      </c>
      <c r="K73" s="14" t="s">
        <v>3007</v>
      </c>
      <c r="L73" s="1" t="s">
        <v>3008</v>
      </c>
      <c r="M73" s="1" t="s">
        <v>3016</v>
      </c>
      <c r="N73" s="1">
        <v>68</v>
      </c>
      <c r="O73" s="1" t="s">
        <v>976</v>
      </c>
      <c r="P73" s="5">
        <v>15</v>
      </c>
      <c r="Q73" s="5">
        <v>600</v>
      </c>
      <c r="R73" s="5">
        <v>615</v>
      </c>
      <c r="S73" s="5">
        <v>0</v>
      </c>
      <c r="T73" s="5" t="s">
        <v>22</v>
      </c>
      <c r="V73" s="5" t="s">
        <v>298</v>
      </c>
      <c r="AB73"/>
      <c r="AC73"/>
      <c r="AD73"/>
    </row>
    <row r="74" spans="1:30" x14ac:dyDescent="0.25">
      <c r="A74" t="s">
        <v>3216</v>
      </c>
      <c r="B74" t="s">
        <v>3217</v>
      </c>
      <c r="C74" s="9" t="s">
        <v>3218</v>
      </c>
      <c r="D74" s="9">
        <v>91074748</v>
      </c>
      <c r="E74" s="5" t="s">
        <v>3003</v>
      </c>
      <c r="F74" s="1" t="s">
        <v>3004</v>
      </c>
      <c r="G74" s="25">
        <v>44442</v>
      </c>
      <c r="H74" s="1" t="s">
        <v>3219</v>
      </c>
      <c r="I74" s="14" t="s">
        <v>2772</v>
      </c>
      <c r="J74" s="1" t="s">
        <v>3006</v>
      </c>
      <c r="K74" s="14" t="s">
        <v>3007</v>
      </c>
      <c r="L74" s="1" t="s">
        <v>3008</v>
      </c>
      <c r="M74" s="1" t="s">
        <v>3016</v>
      </c>
      <c r="N74" s="1">
        <v>861</v>
      </c>
      <c r="O74" s="1" t="s">
        <v>976</v>
      </c>
      <c r="P74" s="5">
        <v>132.4</v>
      </c>
      <c r="Q74" s="5">
        <v>257.60000000000002</v>
      </c>
      <c r="R74" s="5">
        <v>390</v>
      </c>
      <c r="S74" s="5">
        <v>0</v>
      </c>
      <c r="T74" s="5" t="s">
        <v>22</v>
      </c>
      <c r="U74" s="5" t="s">
        <v>2508</v>
      </c>
      <c r="V74" s="5" t="s">
        <v>735</v>
      </c>
      <c r="AB74"/>
      <c r="AC74"/>
      <c r="AD74"/>
    </row>
    <row r="75" spans="1:30" x14ac:dyDescent="0.25">
      <c r="A75" t="s">
        <v>3216</v>
      </c>
      <c r="B75" t="s">
        <v>3217</v>
      </c>
      <c r="C75" s="9" t="s">
        <v>3218</v>
      </c>
      <c r="D75" s="9">
        <v>91074748</v>
      </c>
      <c r="E75" s="5" t="s">
        <v>3003</v>
      </c>
      <c r="F75" s="1" t="s">
        <v>3004</v>
      </c>
      <c r="G75" s="25">
        <v>44442</v>
      </c>
      <c r="H75" s="1" t="s">
        <v>3220</v>
      </c>
      <c r="I75" s="14" t="s">
        <v>259</v>
      </c>
      <c r="J75" s="1" t="s">
        <v>3006</v>
      </c>
      <c r="K75" s="14" t="s">
        <v>3007</v>
      </c>
      <c r="L75" s="1" t="s">
        <v>3008</v>
      </c>
      <c r="M75" s="1" t="s">
        <v>3016</v>
      </c>
      <c r="N75" s="1">
        <v>861</v>
      </c>
      <c r="O75" s="1" t="s">
        <v>976</v>
      </c>
      <c r="P75" s="5">
        <v>78.08</v>
      </c>
      <c r="Q75" s="5">
        <v>151.91999999999999</v>
      </c>
      <c r="R75" s="5">
        <v>230</v>
      </c>
      <c r="S75" s="5">
        <v>0</v>
      </c>
      <c r="T75" s="5" t="s">
        <v>23</v>
      </c>
      <c r="V75" s="5" t="s">
        <v>259</v>
      </c>
      <c r="AB75"/>
      <c r="AC75"/>
      <c r="AD75"/>
    </row>
    <row r="76" spans="1:30" x14ac:dyDescent="0.25">
      <c r="A76" t="s">
        <v>3216</v>
      </c>
      <c r="B76" t="s">
        <v>3217</v>
      </c>
      <c r="C76" s="9" t="s">
        <v>3218</v>
      </c>
      <c r="D76" s="9">
        <v>91074748</v>
      </c>
      <c r="E76" s="5" t="s">
        <v>3003</v>
      </c>
      <c r="F76" s="1" t="s">
        <v>3004</v>
      </c>
      <c r="G76" s="25">
        <v>44442</v>
      </c>
      <c r="H76" s="1" t="s">
        <v>3140</v>
      </c>
      <c r="I76" s="14" t="s">
        <v>314</v>
      </c>
      <c r="J76" s="1" t="s">
        <v>3006</v>
      </c>
      <c r="K76" s="14" t="s">
        <v>3007</v>
      </c>
      <c r="L76" s="1" t="s">
        <v>3008</v>
      </c>
      <c r="M76" s="1" t="s">
        <v>3016</v>
      </c>
      <c r="N76" s="1">
        <v>861</v>
      </c>
      <c r="O76" s="1" t="s">
        <v>976</v>
      </c>
      <c r="P76" s="5">
        <v>159.56</v>
      </c>
      <c r="Q76" s="5">
        <v>310.44</v>
      </c>
      <c r="R76" s="5">
        <v>470</v>
      </c>
      <c r="S76" s="5">
        <v>0</v>
      </c>
      <c r="T76" s="5" t="s">
        <v>23</v>
      </c>
      <c r="V76" s="5" t="s">
        <v>314</v>
      </c>
      <c r="AB76"/>
      <c r="AC76"/>
      <c r="AD76"/>
    </row>
    <row r="77" spans="1:30" x14ac:dyDescent="0.25">
      <c r="A77" t="s">
        <v>3216</v>
      </c>
      <c r="B77" t="s">
        <v>3217</v>
      </c>
      <c r="C77" s="9" t="s">
        <v>3218</v>
      </c>
      <c r="D77" s="9">
        <v>91074748</v>
      </c>
      <c r="E77" s="5" t="s">
        <v>3003</v>
      </c>
      <c r="F77" s="1" t="s">
        <v>3004</v>
      </c>
      <c r="G77" s="25">
        <v>44442</v>
      </c>
      <c r="H77" s="1" t="s">
        <v>3221</v>
      </c>
      <c r="I77" s="14" t="s">
        <v>2930</v>
      </c>
      <c r="J77" s="1" t="s">
        <v>3006</v>
      </c>
      <c r="K77" s="14" t="s">
        <v>3007</v>
      </c>
      <c r="L77" s="1" t="s">
        <v>3008</v>
      </c>
      <c r="M77" s="1" t="s">
        <v>3016</v>
      </c>
      <c r="N77" s="1">
        <v>861</v>
      </c>
      <c r="O77" s="1" t="s">
        <v>976</v>
      </c>
      <c r="P77" s="5">
        <v>195.21</v>
      </c>
      <c r="Q77" s="5">
        <v>379.79</v>
      </c>
      <c r="R77" s="5">
        <v>575</v>
      </c>
      <c r="S77" s="5">
        <v>0</v>
      </c>
      <c r="T77" s="5" t="s">
        <v>23</v>
      </c>
      <c r="U77" s="5" t="s">
        <v>2447</v>
      </c>
      <c r="V77" s="5" t="s">
        <v>919</v>
      </c>
      <c r="AB77"/>
      <c r="AC77"/>
      <c r="AD77"/>
    </row>
    <row r="78" spans="1:30" x14ac:dyDescent="0.25">
      <c r="A78" t="s">
        <v>3222</v>
      </c>
      <c r="B78" t="s">
        <v>3223</v>
      </c>
      <c r="C78" s="9" t="s">
        <v>3224</v>
      </c>
      <c r="D78" s="9">
        <v>999664444</v>
      </c>
      <c r="E78" s="5" t="s">
        <v>3025</v>
      </c>
      <c r="F78" s="1" t="s">
        <v>3026</v>
      </c>
      <c r="G78" s="25">
        <v>44525</v>
      </c>
      <c r="H78" s="1" t="s">
        <v>3225</v>
      </c>
      <c r="I78" s="14" t="s">
        <v>519</v>
      </c>
      <c r="J78" s="1" t="s">
        <v>3006</v>
      </c>
      <c r="K78" s="14" t="s">
        <v>3007</v>
      </c>
      <c r="L78" s="1" t="s">
        <v>3008</v>
      </c>
      <c r="M78" s="1" t="s">
        <v>3016</v>
      </c>
      <c r="N78" s="1">
        <v>1290</v>
      </c>
      <c r="O78" s="1" t="s">
        <v>976</v>
      </c>
      <c r="P78" s="5">
        <v>200.42</v>
      </c>
      <c r="Q78" s="5">
        <v>18.5</v>
      </c>
      <c r="R78" s="5">
        <v>185</v>
      </c>
      <c r="S78" s="5">
        <v>33.92</v>
      </c>
      <c r="T78" s="5" t="s">
        <v>22</v>
      </c>
      <c r="V78" s="5" t="s">
        <v>519</v>
      </c>
      <c r="AB78"/>
      <c r="AC78"/>
      <c r="AD78"/>
    </row>
    <row r="79" spans="1:30" x14ac:dyDescent="0.25">
      <c r="A79" t="s">
        <v>3226</v>
      </c>
      <c r="B79" t="s">
        <v>3227</v>
      </c>
      <c r="C79" s="9" t="s">
        <v>3228</v>
      </c>
      <c r="D79" s="9" t="s">
        <v>3229</v>
      </c>
      <c r="E79" s="5" t="s">
        <v>3003</v>
      </c>
      <c r="F79" s="1" t="s">
        <v>3004</v>
      </c>
      <c r="G79" s="25">
        <v>44599</v>
      </c>
      <c r="H79" s="1" t="s">
        <v>3015</v>
      </c>
      <c r="I79" s="14" t="s">
        <v>252</v>
      </c>
      <c r="J79" s="1" t="s">
        <v>3006</v>
      </c>
      <c r="K79" s="14" t="s">
        <v>3007</v>
      </c>
      <c r="L79" s="1" t="s">
        <v>3008</v>
      </c>
      <c r="M79" s="1" t="s">
        <v>3009</v>
      </c>
      <c r="N79" s="1">
        <v>1768</v>
      </c>
      <c r="O79" s="1" t="s">
        <v>976</v>
      </c>
      <c r="P79" s="5">
        <v>1681.37</v>
      </c>
      <c r="Q79" s="5">
        <v>0</v>
      </c>
      <c r="R79" s="5">
        <v>1665</v>
      </c>
      <c r="S79" s="5">
        <v>16.37</v>
      </c>
      <c r="T79" s="5" t="s">
        <v>22</v>
      </c>
      <c r="V79" s="5" t="s">
        <v>252</v>
      </c>
      <c r="AB79"/>
      <c r="AC79"/>
      <c r="AD79"/>
    </row>
    <row r="80" spans="1:30" x14ac:dyDescent="0.25">
      <c r="A80" t="s">
        <v>3230</v>
      </c>
      <c r="B80" t="s">
        <v>3231</v>
      </c>
      <c r="C80" s="9" t="s">
        <v>3232</v>
      </c>
      <c r="D80" s="9">
        <v>973498046</v>
      </c>
      <c r="E80" s="5" t="s">
        <v>3133</v>
      </c>
      <c r="F80" s="1" t="s">
        <v>3233</v>
      </c>
      <c r="G80" s="25">
        <v>44374</v>
      </c>
      <c r="H80" s="1" t="s">
        <v>3234</v>
      </c>
      <c r="I80" s="14" t="s">
        <v>520</v>
      </c>
      <c r="J80" s="1" t="s">
        <v>3006</v>
      </c>
      <c r="K80" s="14" t="s">
        <v>3007</v>
      </c>
      <c r="L80" s="1" t="s">
        <v>3008</v>
      </c>
      <c r="M80" s="1" t="s">
        <v>3016</v>
      </c>
      <c r="N80" s="1">
        <v>552</v>
      </c>
      <c r="O80" s="1" t="s">
        <v>976</v>
      </c>
      <c r="P80" s="5">
        <v>213.97</v>
      </c>
      <c r="Q80" s="5">
        <v>0</v>
      </c>
      <c r="R80" s="5">
        <v>185</v>
      </c>
      <c r="S80" s="5">
        <v>28.97</v>
      </c>
      <c r="T80" s="5" t="s">
        <v>24</v>
      </c>
      <c r="V80" s="5" t="s">
        <v>520</v>
      </c>
      <c r="AB80"/>
      <c r="AC80"/>
      <c r="AD80"/>
    </row>
    <row r="81" spans="1:30" x14ac:dyDescent="0.25">
      <c r="A81" t="s">
        <v>3235</v>
      </c>
      <c r="B81" t="s">
        <v>3236</v>
      </c>
      <c r="C81" s="9" t="s">
        <v>3237</v>
      </c>
      <c r="D81" s="9">
        <v>987964236</v>
      </c>
      <c r="E81" s="5" t="s">
        <v>3003</v>
      </c>
      <c r="F81" s="1" t="s">
        <v>3004</v>
      </c>
      <c r="G81" s="25">
        <v>44437</v>
      </c>
      <c r="H81" s="1" t="s">
        <v>3238</v>
      </c>
      <c r="I81" s="14" t="s">
        <v>497</v>
      </c>
      <c r="J81" s="1" t="s">
        <v>3006</v>
      </c>
      <c r="K81" s="14" t="s">
        <v>3007</v>
      </c>
      <c r="L81" s="1" t="s">
        <v>3008</v>
      </c>
      <c r="M81" s="1" t="s">
        <v>3016</v>
      </c>
      <c r="N81" s="1">
        <v>830</v>
      </c>
      <c r="O81" s="1" t="s">
        <v>976</v>
      </c>
      <c r="P81" s="5">
        <v>327.5</v>
      </c>
      <c r="Q81" s="5">
        <v>0</v>
      </c>
      <c r="R81" s="5">
        <v>315</v>
      </c>
      <c r="S81" s="5">
        <v>12.5</v>
      </c>
      <c r="T81" s="5" t="s">
        <v>24</v>
      </c>
      <c r="V81" s="5" t="s">
        <v>497</v>
      </c>
      <c r="AB81"/>
      <c r="AC81"/>
      <c r="AD81"/>
    </row>
    <row r="82" spans="1:30" x14ac:dyDescent="0.25">
      <c r="A82" t="s">
        <v>3235</v>
      </c>
      <c r="B82" t="s">
        <v>3236</v>
      </c>
      <c r="C82" s="9" t="s">
        <v>3237</v>
      </c>
      <c r="D82" s="9">
        <v>987964236</v>
      </c>
      <c r="E82" s="5" t="s">
        <v>3003</v>
      </c>
      <c r="F82" s="1" t="s">
        <v>3004</v>
      </c>
      <c r="G82" s="25">
        <v>44437</v>
      </c>
      <c r="H82" s="1" t="s">
        <v>3239</v>
      </c>
      <c r="I82" s="14" t="s">
        <v>498</v>
      </c>
      <c r="J82" s="1" t="s">
        <v>3006</v>
      </c>
      <c r="K82" s="14" t="s">
        <v>3007</v>
      </c>
      <c r="L82" s="1" t="s">
        <v>3008</v>
      </c>
      <c r="M82" s="1" t="s">
        <v>3016</v>
      </c>
      <c r="N82" s="1">
        <v>830</v>
      </c>
      <c r="O82" s="1" t="s">
        <v>976</v>
      </c>
      <c r="P82" s="5">
        <v>327.5</v>
      </c>
      <c r="Q82" s="5">
        <v>0</v>
      </c>
      <c r="R82" s="5">
        <v>315</v>
      </c>
      <c r="S82" s="5">
        <v>12.5</v>
      </c>
      <c r="T82" s="5" t="s">
        <v>25</v>
      </c>
      <c r="V82" s="5" t="s">
        <v>498</v>
      </c>
      <c r="AB82"/>
      <c r="AC82"/>
      <c r="AD82"/>
    </row>
    <row r="83" spans="1:30" x14ac:dyDescent="0.25">
      <c r="A83" t="s">
        <v>3240</v>
      </c>
      <c r="B83" t="s">
        <v>3241</v>
      </c>
      <c r="C83" s="9" t="s">
        <v>3242</v>
      </c>
      <c r="D83" s="9">
        <v>992810812</v>
      </c>
      <c r="E83" s="5" t="s">
        <v>3041</v>
      </c>
      <c r="F83" s="1" t="s">
        <v>3243</v>
      </c>
      <c r="G83" s="25">
        <v>44538</v>
      </c>
      <c r="H83" s="1" t="s">
        <v>3244</v>
      </c>
      <c r="I83" s="14" t="s">
        <v>2791</v>
      </c>
      <c r="J83" s="1" t="s">
        <v>3006</v>
      </c>
      <c r="K83" s="14" t="s">
        <v>3007</v>
      </c>
      <c r="L83" s="1" t="s">
        <v>3008</v>
      </c>
      <c r="M83" s="1" t="s">
        <v>3016</v>
      </c>
      <c r="N83" s="1">
        <v>1376</v>
      </c>
      <c r="O83" s="1" t="s">
        <v>976</v>
      </c>
      <c r="P83" s="5">
        <v>1695.91</v>
      </c>
      <c r="Q83" s="5">
        <v>0</v>
      </c>
      <c r="R83" s="5">
        <v>1665</v>
      </c>
      <c r="S83" s="5">
        <v>30.91</v>
      </c>
      <c r="T83" s="5" t="s">
        <v>22</v>
      </c>
      <c r="U83" s="5" t="s">
        <v>2447</v>
      </c>
      <c r="V83" s="5" t="s">
        <v>762</v>
      </c>
      <c r="AB83"/>
      <c r="AC83"/>
      <c r="AD83"/>
    </row>
    <row r="84" spans="1:30" x14ac:dyDescent="0.25">
      <c r="A84" t="s">
        <v>3245</v>
      </c>
      <c r="B84" t="s">
        <v>3246</v>
      </c>
      <c r="C84" s="9" t="s">
        <v>3247</v>
      </c>
      <c r="D84" s="9">
        <v>84779767</v>
      </c>
      <c r="E84" s="5" t="s">
        <v>3133</v>
      </c>
      <c r="F84" s="1" t="s">
        <v>3248</v>
      </c>
      <c r="G84" s="25">
        <v>44433</v>
      </c>
      <c r="H84" s="1" t="s">
        <v>3249</v>
      </c>
      <c r="I84" s="14" t="s">
        <v>562</v>
      </c>
      <c r="J84" s="1" t="s">
        <v>3006</v>
      </c>
      <c r="K84" s="14" t="s">
        <v>3007</v>
      </c>
      <c r="L84" s="1" t="s">
        <v>3008</v>
      </c>
      <c r="M84" s="1" t="s">
        <v>3016</v>
      </c>
      <c r="N84" s="1">
        <v>810</v>
      </c>
      <c r="O84" s="1" t="s">
        <v>976</v>
      </c>
      <c r="P84" s="5">
        <v>810.59</v>
      </c>
      <c r="Q84" s="5">
        <v>0</v>
      </c>
      <c r="R84" s="5">
        <v>770</v>
      </c>
      <c r="S84" s="5">
        <v>40.590000000000003</v>
      </c>
      <c r="T84" s="5" t="s">
        <v>22</v>
      </c>
      <c r="V84" s="5" t="s">
        <v>562</v>
      </c>
      <c r="AB84"/>
      <c r="AC84"/>
      <c r="AD84"/>
    </row>
    <row r="85" spans="1:30" x14ac:dyDescent="0.25">
      <c r="A85" t="s">
        <v>3250</v>
      </c>
      <c r="B85" t="s">
        <v>3251</v>
      </c>
      <c r="C85" s="9" t="s">
        <v>3252</v>
      </c>
      <c r="D85" s="9" t="s">
        <v>3253</v>
      </c>
      <c r="E85" s="5" t="s">
        <v>3003</v>
      </c>
      <c r="F85" s="1" t="s">
        <v>3004</v>
      </c>
      <c r="G85" s="25">
        <v>44397</v>
      </c>
      <c r="H85" s="1" t="s">
        <v>3027</v>
      </c>
      <c r="I85" s="14" t="s">
        <v>254</v>
      </c>
      <c r="J85" s="1" t="s">
        <v>3006</v>
      </c>
      <c r="K85" s="14" t="s">
        <v>3007</v>
      </c>
      <c r="L85" s="1" t="s">
        <v>3008</v>
      </c>
      <c r="M85" s="1" t="s">
        <v>3009</v>
      </c>
      <c r="N85" s="1">
        <v>668</v>
      </c>
      <c r="O85" s="1" t="s">
        <v>976</v>
      </c>
      <c r="P85" s="5">
        <v>1100.76</v>
      </c>
      <c r="Q85" s="5">
        <v>120</v>
      </c>
      <c r="R85" s="5">
        <v>1200</v>
      </c>
      <c r="S85" s="5">
        <v>20.76</v>
      </c>
      <c r="T85" s="5" t="s">
        <v>22</v>
      </c>
      <c r="V85" s="5" t="s">
        <v>254</v>
      </c>
      <c r="AB85"/>
      <c r="AC85"/>
      <c r="AD85"/>
    </row>
    <row r="86" spans="1:30" x14ac:dyDescent="0.25">
      <c r="A86" t="s">
        <v>3254</v>
      </c>
      <c r="B86" t="s">
        <v>3255</v>
      </c>
      <c r="C86" s="9" t="s">
        <v>3256</v>
      </c>
      <c r="D86" s="9">
        <v>11983517119</v>
      </c>
      <c r="E86" s="5" t="s">
        <v>3003</v>
      </c>
      <c r="F86" s="1" t="s">
        <v>3004</v>
      </c>
      <c r="G86" s="25">
        <v>44573</v>
      </c>
      <c r="H86" s="1" t="s">
        <v>3257</v>
      </c>
      <c r="I86" s="14" t="s">
        <v>564</v>
      </c>
      <c r="J86" s="1" t="s">
        <v>3006</v>
      </c>
      <c r="K86" s="14" t="s">
        <v>3007</v>
      </c>
      <c r="L86" s="1" t="s">
        <v>3008</v>
      </c>
      <c r="M86" s="1" t="s">
        <v>3009</v>
      </c>
      <c r="N86" s="1">
        <v>1633</v>
      </c>
      <c r="O86" s="1" t="s">
        <v>976</v>
      </c>
      <c r="P86" s="5">
        <v>464</v>
      </c>
      <c r="Q86" s="5">
        <v>116</v>
      </c>
      <c r="R86" s="5">
        <v>580</v>
      </c>
      <c r="S86" s="5">
        <v>0</v>
      </c>
      <c r="T86" s="5">
        <v>38</v>
      </c>
      <c r="V86" s="5" t="s">
        <v>564</v>
      </c>
      <c r="AB86"/>
      <c r="AC86"/>
      <c r="AD86"/>
    </row>
    <row r="87" spans="1:30" x14ac:dyDescent="0.25">
      <c r="A87" t="s">
        <v>3254</v>
      </c>
      <c r="B87" t="s">
        <v>3255</v>
      </c>
      <c r="C87" s="9" t="s">
        <v>3256</v>
      </c>
      <c r="D87" s="9">
        <v>11983517119</v>
      </c>
      <c r="E87" s="5" t="s">
        <v>3003</v>
      </c>
      <c r="F87" s="1" t="s">
        <v>3004</v>
      </c>
      <c r="G87" s="25">
        <v>44573</v>
      </c>
      <c r="H87" s="1" t="s">
        <v>3258</v>
      </c>
      <c r="I87" s="14" t="s">
        <v>2805</v>
      </c>
      <c r="J87" s="1" t="s">
        <v>3006</v>
      </c>
      <c r="K87" s="14" t="s">
        <v>3007</v>
      </c>
      <c r="L87" s="1" t="s">
        <v>3008</v>
      </c>
      <c r="M87" s="1" t="s">
        <v>3009</v>
      </c>
      <c r="N87" s="1">
        <v>1633</v>
      </c>
      <c r="O87" s="1" t="s">
        <v>976</v>
      </c>
      <c r="P87" s="5">
        <v>464</v>
      </c>
      <c r="Q87" s="5">
        <v>116</v>
      </c>
      <c r="R87" s="5">
        <v>580</v>
      </c>
      <c r="S87" s="5">
        <v>0</v>
      </c>
      <c r="T87" s="5">
        <v>38</v>
      </c>
      <c r="U87" s="5" t="s">
        <v>2443</v>
      </c>
      <c r="V87" s="5" t="s">
        <v>776</v>
      </c>
      <c r="AB87"/>
      <c r="AC87"/>
      <c r="AD87"/>
    </row>
    <row r="88" spans="1:30" x14ac:dyDescent="0.25">
      <c r="A88" t="s">
        <v>3254</v>
      </c>
      <c r="B88" t="s">
        <v>3255</v>
      </c>
      <c r="C88" s="9" t="s">
        <v>3256</v>
      </c>
      <c r="D88" s="9">
        <v>11983517119</v>
      </c>
      <c r="E88" s="5" t="s">
        <v>3003</v>
      </c>
      <c r="F88" s="1" t="s">
        <v>3004</v>
      </c>
      <c r="G88" s="25">
        <v>44580</v>
      </c>
      <c r="H88" s="1" t="s">
        <v>3259</v>
      </c>
      <c r="I88" s="14" t="s">
        <v>512</v>
      </c>
      <c r="J88" s="1" t="s">
        <v>3006</v>
      </c>
      <c r="K88" s="14" t="s">
        <v>3007</v>
      </c>
      <c r="L88" s="1" t="s">
        <v>3008</v>
      </c>
      <c r="M88" s="1" t="s">
        <v>3016</v>
      </c>
      <c r="N88" s="1">
        <v>1693</v>
      </c>
      <c r="O88" s="1" t="s">
        <v>976</v>
      </c>
      <c r="P88" s="5">
        <v>157.25</v>
      </c>
      <c r="Q88" s="5">
        <v>112.75</v>
      </c>
      <c r="R88" s="5">
        <v>270</v>
      </c>
      <c r="S88" s="5">
        <v>0</v>
      </c>
      <c r="T88" s="5" t="s">
        <v>23</v>
      </c>
      <c r="V88" s="5" t="s">
        <v>512</v>
      </c>
      <c r="AB88"/>
      <c r="AC88"/>
      <c r="AD88"/>
    </row>
    <row r="89" spans="1:30" x14ac:dyDescent="0.25">
      <c r="A89" t="s">
        <v>3260</v>
      </c>
      <c r="B89" t="s">
        <v>3261</v>
      </c>
      <c r="C89" s="9" t="s">
        <v>3262</v>
      </c>
      <c r="D89" s="9" t="s">
        <v>3263</v>
      </c>
      <c r="E89" s="5" t="s">
        <v>3003</v>
      </c>
      <c r="F89" s="1" t="s">
        <v>3004</v>
      </c>
      <c r="G89" s="25">
        <v>44480</v>
      </c>
      <c r="H89" s="1" t="s">
        <v>3264</v>
      </c>
      <c r="I89" s="14" t="s">
        <v>386</v>
      </c>
      <c r="J89" s="1" t="s">
        <v>3006</v>
      </c>
      <c r="K89" s="14" t="s">
        <v>3007</v>
      </c>
      <c r="L89" s="1" t="s">
        <v>3008</v>
      </c>
      <c r="M89" s="1" t="s">
        <v>3009</v>
      </c>
      <c r="N89" s="1">
        <v>1030</v>
      </c>
      <c r="O89" s="1" t="s">
        <v>976</v>
      </c>
      <c r="P89" s="5">
        <v>575</v>
      </c>
      <c r="Q89" s="5">
        <v>0</v>
      </c>
      <c r="R89" s="5">
        <v>575</v>
      </c>
      <c r="S89" s="5">
        <v>0</v>
      </c>
      <c r="T89" s="5" t="s">
        <v>23</v>
      </c>
      <c r="V89" s="5" t="s">
        <v>386</v>
      </c>
      <c r="AB89"/>
      <c r="AC89"/>
      <c r="AD89"/>
    </row>
    <row r="90" spans="1:30" x14ac:dyDescent="0.25">
      <c r="A90" t="s">
        <v>3260</v>
      </c>
      <c r="B90" t="s">
        <v>3261</v>
      </c>
      <c r="C90" s="9" t="s">
        <v>3262</v>
      </c>
      <c r="D90" s="9" t="s">
        <v>3263</v>
      </c>
      <c r="E90" s="5" t="s">
        <v>3003</v>
      </c>
      <c r="F90" s="1" t="s">
        <v>3004</v>
      </c>
      <c r="G90" s="25">
        <v>44500</v>
      </c>
      <c r="H90" s="1" t="s">
        <v>3265</v>
      </c>
      <c r="I90" s="14" t="s">
        <v>2930</v>
      </c>
      <c r="J90" s="1" t="s">
        <v>3006</v>
      </c>
      <c r="K90" s="14" t="s">
        <v>3007</v>
      </c>
      <c r="L90" s="1" t="s">
        <v>3008</v>
      </c>
      <c r="M90" s="1" t="s">
        <v>3009</v>
      </c>
      <c r="N90" s="1">
        <v>1143</v>
      </c>
      <c r="O90" s="1" t="s">
        <v>976</v>
      </c>
      <c r="P90" s="5">
        <v>575</v>
      </c>
      <c r="Q90" s="5">
        <v>0</v>
      </c>
      <c r="R90" s="5">
        <v>575</v>
      </c>
      <c r="S90" s="5">
        <v>0</v>
      </c>
      <c r="T90" s="5" t="s">
        <v>22</v>
      </c>
      <c r="U90" s="5" t="s">
        <v>2443</v>
      </c>
      <c r="V90" s="5" t="s">
        <v>920</v>
      </c>
      <c r="AB90"/>
      <c r="AC90"/>
      <c r="AD90"/>
    </row>
    <row r="91" spans="1:30" x14ac:dyDescent="0.25">
      <c r="A91" t="s">
        <v>3260</v>
      </c>
      <c r="B91" t="s">
        <v>3261</v>
      </c>
      <c r="C91" s="9" t="s">
        <v>3262</v>
      </c>
      <c r="D91" s="9" t="s">
        <v>3263</v>
      </c>
      <c r="E91" s="5" t="s">
        <v>3003</v>
      </c>
      <c r="F91" s="1" t="s">
        <v>3004</v>
      </c>
      <c r="G91" s="25">
        <v>44572</v>
      </c>
      <c r="H91" s="1" t="s">
        <v>3266</v>
      </c>
      <c r="I91" s="14" t="s">
        <v>500</v>
      </c>
      <c r="J91" s="1" t="s">
        <v>3006</v>
      </c>
      <c r="K91" s="14" t="s">
        <v>3007</v>
      </c>
      <c r="L91" s="1" t="s">
        <v>3008</v>
      </c>
      <c r="M91" s="1" t="s">
        <v>3009</v>
      </c>
      <c r="N91" s="1">
        <v>1624</v>
      </c>
      <c r="O91" s="1" t="s">
        <v>976</v>
      </c>
      <c r="P91" s="5">
        <v>315</v>
      </c>
      <c r="Q91" s="5">
        <v>0</v>
      </c>
      <c r="R91" s="5">
        <v>315</v>
      </c>
      <c r="S91" s="5">
        <v>0</v>
      </c>
      <c r="T91" s="5" t="s">
        <v>22</v>
      </c>
      <c r="V91" s="5" t="s">
        <v>500</v>
      </c>
      <c r="AB91"/>
      <c r="AC91"/>
      <c r="AD91"/>
    </row>
    <row r="92" spans="1:30" x14ac:dyDescent="0.25">
      <c r="A92" t="s">
        <v>3260</v>
      </c>
      <c r="B92" t="s">
        <v>3261</v>
      </c>
      <c r="C92" s="9" t="s">
        <v>3262</v>
      </c>
      <c r="D92" s="9" t="s">
        <v>3263</v>
      </c>
      <c r="E92" s="5" t="s">
        <v>3003</v>
      </c>
      <c r="F92" s="1" t="s">
        <v>3004</v>
      </c>
      <c r="G92" s="25">
        <v>44572</v>
      </c>
      <c r="H92" s="1" t="s">
        <v>3267</v>
      </c>
      <c r="I92" s="14" t="s">
        <v>396</v>
      </c>
      <c r="J92" s="1" t="s">
        <v>3006</v>
      </c>
      <c r="K92" s="14" t="s">
        <v>3007</v>
      </c>
      <c r="L92" s="1" t="s">
        <v>3008</v>
      </c>
      <c r="M92" s="1" t="s">
        <v>3009</v>
      </c>
      <c r="N92" s="1">
        <v>1624</v>
      </c>
      <c r="O92" s="1" t="s">
        <v>976</v>
      </c>
      <c r="P92" s="5">
        <v>870</v>
      </c>
      <c r="Q92" s="5">
        <v>0</v>
      </c>
      <c r="R92" s="5">
        <v>870</v>
      </c>
      <c r="S92" s="5">
        <v>0</v>
      </c>
      <c r="T92" s="5">
        <v>40</v>
      </c>
      <c r="V92" s="5" t="s">
        <v>396</v>
      </c>
      <c r="AB92"/>
      <c r="AC92"/>
      <c r="AD92"/>
    </row>
    <row r="93" spans="1:30" x14ac:dyDescent="0.25">
      <c r="A93" t="s">
        <v>3268</v>
      </c>
      <c r="B93" t="s">
        <v>3269</v>
      </c>
      <c r="C93" s="9" t="s">
        <v>3270</v>
      </c>
      <c r="D93" s="9" t="s">
        <v>3271</v>
      </c>
      <c r="E93" s="5" t="s">
        <v>3003</v>
      </c>
      <c r="F93" s="1" t="s">
        <v>3004</v>
      </c>
      <c r="G93" s="25">
        <v>44255</v>
      </c>
      <c r="H93" s="1" t="s">
        <v>3175</v>
      </c>
      <c r="I93" s="14" t="s">
        <v>583</v>
      </c>
      <c r="J93" s="1" t="s">
        <v>3006</v>
      </c>
      <c r="K93" s="14" t="s">
        <v>3007</v>
      </c>
      <c r="L93" s="1" t="s">
        <v>3008</v>
      </c>
      <c r="M93" s="1" t="s">
        <v>3016</v>
      </c>
      <c r="N93" s="1">
        <v>244</v>
      </c>
      <c r="O93" s="1" t="s">
        <v>976</v>
      </c>
      <c r="P93" s="5">
        <v>490</v>
      </c>
      <c r="Q93" s="5">
        <v>0</v>
      </c>
      <c r="R93" s="5">
        <v>490</v>
      </c>
      <c r="S93" s="5">
        <v>0</v>
      </c>
      <c r="T93" s="5" t="s">
        <v>23</v>
      </c>
      <c r="V93" s="5" t="s">
        <v>583</v>
      </c>
      <c r="AB93"/>
      <c r="AC93"/>
      <c r="AD93"/>
    </row>
    <row r="94" spans="1:30" x14ac:dyDescent="0.25">
      <c r="A94" t="s">
        <v>3268</v>
      </c>
      <c r="B94" t="s">
        <v>3269</v>
      </c>
      <c r="C94" s="9" t="s">
        <v>3270</v>
      </c>
      <c r="D94" s="9" t="s">
        <v>3271</v>
      </c>
      <c r="E94" s="5" t="s">
        <v>3003</v>
      </c>
      <c r="F94" s="1" t="s">
        <v>3004</v>
      </c>
      <c r="G94" s="25">
        <v>44255</v>
      </c>
      <c r="H94" s="1" t="s">
        <v>3272</v>
      </c>
      <c r="I94" s="14" t="s">
        <v>2917</v>
      </c>
      <c r="J94" s="1" t="s">
        <v>3006</v>
      </c>
      <c r="K94" s="14" t="s">
        <v>3007</v>
      </c>
      <c r="L94" s="1" t="s">
        <v>3008</v>
      </c>
      <c r="M94" s="1" t="s">
        <v>3016</v>
      </c>
      <c r="N94" s="1">
        <v>244</v>
      </c>
      <c r="O94" s="1" t="s">
        <v>976</v>
      </c>
      <c r="P94" s="5">
        <v>930</v>
      </c>
      <c r="Q94" s="5">
        <v>0</v>
      </c>
      <c r="R94" s="5">
        <v>930</v>
      </c>
      <c r="S94" s="5">
        <v>0</v>
      </c>
      <c r="T94" s="5" t="s">
        <v>5574</v>
      </c>
      <c r="U94" s="5" t="s">
        <v>2433</v>
      </c>
      <c r="V94" s="5" t="s">
        <v>910</v>
      </c>
      <c r="AB94"/>
      <c r="AC94"/>
      <c r="AD94"/>
    </row>
    <row r="95" spans="1:30" x14ac:dyDescent="0.25">
      <c r="A95" t="s">
        <v>3268</v>
      </c>
      <c r="B95" t="s">
        <v>3269</v>
      </c>
      <c r="C95" s="9" t="s">
        <v>3270</v>
      </c>
      <c r="D95" s="9" t="s">
        <v>3271</v>
      </c>
      <c r="E95" s="5" t="s">
        <v>3003</v>
      </c>
      <c r="F95" s="1" t="s">
        <v>3004</v>
      </c>
      <c r="G95" s="25">
        <v>44487</v>
      </c>
      <c r="H95" s="1" t="s">
        <v>3084</v>
      </c>
      <c r="I95" s="14" t="s">
        <v>2930</v>
      </c>
      <c r="J95" s="1" t="s">
        <v>3006</v>
      </c>
      <c r="K95" s="14" t="s">
        <v>3007</v>
      </c>
      <c r="L95" s="1" t="s">
        <v>3008</v>
      </c>
      <c r="M95" s="1" t="s">
        <v>3016</v>
      </c>
      <c r="N95" s="1">
        <v>1061</v>
      </c>
      <c r="O95" s="1" t="s">
        <v>976</v>
      </c>
      <c r="P95" s="5">
        <v>575</v>
      </c>
      <c r="Q95" s="5">
        <v>0</v>
      </c>
      <c r="R95" s="5">
        <v>575</v>
      </c>
      <c r="S95" s="5">
        <v>0</v>
      </c>
      <c r="T95" s="5" t="s">
        <v>23</v>
      </c>
      <c r="U95" s="5" t="s">
        <v>2482</v>
      </c>
      <c r="V95" s="5" t="s">
        <v>922</v>
      </c>
      <c r="AB95"/>
      <c r="AC95"/>
      <c r="AD95"/>
    </row>
    <row r="96" spans="1:30" x14ac:dyDescent="0.25">
      <c r="A96" t="s">
        <v>3273</v>
      </c>
      <c r="B96" t="s">
        <v>3274</v>
      </c>
      <c r="C96" s="9" t="s">
        <v>3275</v>
      </c>
      <c r="D96" s="9" t="s">
        <v>3276</v>
      </c>
      <c r="E96" s="5" t="s">
        <v>3003</v>
      </c>
      <c r="F96" s="1" t="s">
        <v>3004</v>
      </c>
      <c r="G96" s="25">
        <v>44546</v>
      </c>
      <c r="H96" s="1" t="s">
        <v>3277</v>
      </c>
      <c r="I96" s="14" t="s">
        <v>2774</v>
      </c>
      <c r="J96" s="1" t="s">
        <v>3006</v>
      </c>
      <c r="K96" s="14" t="s">
        <v>3007</v>
      </c>
      <c r="L96" s="1" t="s">
        <v>3008</v>
      </c>
      <c r="M96" s="1" t="s">
        <v>3009</v>
      </c>
      <c r="N96" s="1">
        <v>1480</v>
      </c>
      <c r="O96" s="1" t="s">
        <v>976</v>
      </c>
      <c r="P96" s="5">
        <v>105.99</v>
      </c>
      <c r="Q96" s="5">
        <v>242.01</v>
      </c>
      <c r="R96" s="5">
        <v>348</v>
      </c>
      <c r="S96" s="5">
        <v>0</v>
      </c>
      <c r="T96" s="5" t="s">
        <v>23</v>
      </c>
      <c r="U96" s="5" t="s">
        <v>2447</v>
      </c>
      <c r="V96" s="5" t="s">
        <v>739</v>
      </c>
      <c r="AB96"/>
      <c r="AC96"/>
      <c r="AD96"/>
    </row>
    <row r="97" spans="1:30" x14ac:dyDescent="0.25">
      <c r="A97" t="s">
        <v>3273</v>
      </c>
      <c r="B97" t="s">
        <v>3274</v>
      </c>
      <c r="C97" s="9" t="s">
        <v>3275</v>
      </c>
      <c r="D97" s="9" t="s">
        <v>3276</v>
      </c>
      <c r="E97" s="5" t="s">
        <v>3003</v>
      </c>
      <c r="F97" s="1" t="s">
        <v>3004</v>
      </c>
      <c r="G97" s="25">
        <v>44546</v>
      </c>
      <c r="H97" s="1" t="s">
        <v>3278</v>
      </c>
      <c r="I97" s="14" t="s">
        <v>2774</v>
      </c>
      <c r="J97" s="1" t="s">
        <v>3006</v>
      </c>
      <c r="K97" s="14" t="s">
        <v>3007</v>
      </c>
      <c r="L97" s="1" t="s">
        <v>3008</v>
      </c>
      <c r="M97" s="1" t="s">
        <v>3009</v>
      </c>
      <c r="N97" s="1">
        <v>1480</v>
      </c>
      <c r="O97" s="1" t="s">
        <v>976</v>
      </c>
      <c r="P97" s="5">
        <v>105.99</v>
      </c>
      <c r="Q97" s="5">
        <v>242.01</v>
      </c>
      <c r="R97" s="5">
        <v>348</v>
      </c>
      <c r="S97" s="5">
        <v>0</v>
      </c>
      <c r="T97" s="5" t="s">
        <v>23</v>
      </c>
      <c r="U97" s="5" t="s">
        <v>2482</v>
      </c>
      <c r="V97" s="5" t="s">
        <v>740</v>
      </c>
      <c r="AB97"/>
      <c r="AC97"/>
      <c r="AD97"/>
    </row>
    <row r="98" spans="1:30" x14ac:dyDescent="0.25">
      <c r="A98" t="s">
        <v>3273</v>
      </c>
      <c r="B98" t="s">
        <v>3274</v>
      </c>
      <c r="C98" s="9" t="s">
        <v>3275</v>
      </c>
      <c r="D98" s="9" t="s">
        <v>3276</v>
      </c>
      <c r="E98" s="5" t="s">
        <v>3003</v>
      </c>
      <c r="F98" s="1" t="s">
        <v>3004</v>
      </c>
      <c r="G98" s="25">
        <v>44546</v>
      </c>
      <c r="H98" s="1" t="s">
        <v>3279</v>
      </c>
      <c r="I98" s="14" t="s">
        <v>453</v>
      </c>
      <c r="J98" s="1" t="s">
        <v>3006</v>
      </c>
      <c r="K98" s="14" t="s">
        <v>3007</v>
      </c>
      <c r="L98" s="1" t="s">
        <v>3008</v>
      </c>
      <c r="M98" s="1" t="s">
        <v>3009</v>
      </c>
      <c r="N98" s="1">
        <v>1480</v>
      </c>
      <c r="O98" s="1" t="s">
        <v>976</v>
      </c>
      <c r="P98" s="5">
        <v>67.010000000000005</v>
      </c>
      <c r="Q98" s="5">
        <v>152.99</v>
      </c>
      <c r="R98" s="5">
        <v>220</v>
      </c>
      <c r="S98" s="5">
        <v>0</v>
      </c>
      <c r="T98" s="5" t="s">
        <v>23</v>
      </c>
      <c r="V98" s="5" t="s">
        <v>453</v>
      </c>
      <c r="AB98"/>
      <c r="AC98"/>
      <c r="AD98"/>
    </row>
    <row r="99" spans="1:30" x14ac:dyDescent="0.25">
      <c r="A99" t="s">
        <v>3273</v>
      </c>
      <c r="B99" t="s">
        <v>3274</v>
      </c>
      <c r="C99" s="9" t="s">
        <v>3275</v>
      </c>
      <c r="D99" s="9" t="s">
        <v>3276</v>
      </c>
      <c r="E99" s="5" t="s">
        <v>3003</v>
      </c>
      <c r="F99" s="1" t="s">
        <v>3004</v>
      </c>
      <c r="G99" s="25">
        <v>44546</v>
      </c>
      <c r="H99" s="1" t="s">
        <v>3280</v>
      </c>
      <c r="I99" s="14" t="s">
        <v>2970</v>
      </c>
      <c r="J99" s="1" t="s">
        <v>3006</v>
      </c>
      <c r="K99" s="14" t="s">
        <v>3007</v>
      </c>
      <c r="L99" s="1" t="s">
        <v>3008</v>
      </c>
      <c r="M99" s="1" t="s">
        <v>3009</v>
      </c>
      <c r="N99" s="1">
        <v>1480</v>
      </c>
      <c r="O99" s="1" t="s">
        <v>976</v>
      </c>
      <c r="P99" s="5">
        <v>67.010000000000005</v>
      </c>
      <c r="Q99" s="5">
        <v>152.99</v>
      </c>
      <c r="R99" s="5">
        <v>220</v>
      </c>
      <c r="S99" s="5">
        <v>0</v>
      </c>
      <c r="T99" s="5" t="s">
        <v>23</v>
      </c>
      <c r="U99" s="5" t="s">
        <v>2482</v>
      </c>
      <c r="V99" s="5" t="s">
        <v>942</v>
      </c>
      <c r="AB99"/>
      <c r="AC99"/>
      <c r="AD99"/>
    </row>
    <row r="100" spans="1:30" x14ac:dyDescent="0.25">
      <c r="A100" t="s">
        <v>3281</v>
      </c>
      <c r="B100" t="s">
        <v>3282</v>
      </c>
      <c r="C100" s="9" t="s">
        <v>3283</v>
      </c>
      <c r="D100" s="9">
        <v>950225502</v>
      </c>
      <c r="E100" s="5" t="s">
        <v>3003</v>
      </c>
      <c r="F100" s="1" t="s">
        <v>3004</v>
      </c>
      <c r="G100" s="25">
        <v>44493</v>
      </c>
      <c r="H100" s="1" t="s">
        <v>3027</v>
      </c>
      <c r="I100" s="14" t="s">
        <v>254</v>
      </c>
      <c r="J100" s="1" t="s">
        <v>3006</v>
      </c>
      <c r="K100" s="14" t="s">
        <v>3007</v>
      </c>
      <c r="L100" s="1" t="s">
        <v>3008</v>
      </c>
      <c r="M100" s="1" t="s">
        <v>3016</v>
      </c>
      <c r="N100" s="1">
        <v>1087</v>
      </c>
      <c r="O100" s="1" t="s">
        <v>976</v>
      </c>
      <c r="P100" s="5">
        <v>1330</v>
      </c>
      <c r="Q100" s="5">
        <v>0</v>
      </c>
      <c r="R100" s="5">
        <v>1330</v>
      </c>
      <c r="S100" s="5">
        <v>0</v>
      </c>
      <c r="T100" s="5" t="s">
        <v>22</v>
      </c>
      <c r="V100" s="5" t="s">
        <v>254</v>
      </c>
      <c r="AB100"/>
      <c r="AC100"/>
      <c r="AD100"/>
    </row>
    <row r="101" spans="1:30" x14ac:dyDescent="0.25">
      <c r="A101" t="s">
        <v>3284</v>
      </c>
      <c r="B101" t="s">
        <v>3285</v>
      </c>
      <c r="C101" s="9" t="s">
        <v>3286</v>
      </c>
      <c r="D101" s="9">
        <v>956592709</v>
      </c>
      <c r="E101" s="5" t="s">
        <v>3003</v>
      </c>
      <c r="F101" s="1" t="s">
        <v>3004</v>
      </c>
      <c r="G101" s="25">
        <v>44366</v>
      </c>
      <c r="H101" s="1" t="s">
        <v>3155</v>
      </c>
      <c r="I101" s="14" t="s">
        <v>2841</v>
      </c>
      <c r="J101" s="1" t="s">
        <v>3006</v>
      </c>
      <c r="K101" s="14" t="s">
        <v>3007</v>
      </c>
      <c r="L101" s="1" t="s">
        <v>3008</v>
      </c>
      <c r="M101" s="1" t="s">
        <v>3016</v>
      </c>
      <c r="N101" s="1">
        <v>531</v>
      </c>
      <c r="O101" s="1" t="s">
        <v>976</v>
      </c>
      <c r="P101" s="5">
        <v>70.84</v>
      </c>
      <c r="Q101" s="5">
        <v>0</v>
      </c>
      <c r="R101" s="5">
        <v>59.9</v>
      </c>
      <c r="S101" s="5">
        <v>10.94</v>
      </c>
      <c r="T101" s="5">
        <v>43</v>
      </c>
      <c r="U101" s="5" t="s">
        <v>2482</v>
      </c>
      <c r="V101" s="5" t="s">
        <v>827</v>
      </c>
      <c r="AB101"/>
      <c r="AC101"/>
      <c r="AD101"/>
    </row>
    <row r="102" spans="1:30" x14ac:dyDescent="0.25">
      <c r="A102" t="s">
        <v>3287</v>
      </c>
      <c r="B102" t="s">
        <v>3288</v>
      </c>
      <c r="C102" s="9" t="s">
        <v>3289</v>
      </c>
      <c r="D102" s="9">
        <v>991727752</v>
      </c>
      <c r="E102" s="5" t="s">
        <v>3003</v>
      </c>
      <c r="F102" s="1" t="s">
        <v>3004</v>
      </c>
      <c r="G102" s="25">
        <v>44352</v>
      </c>
      <c r="H102" s="1" t="s">
        <v>3290</v>
      </c>
      <c r="I102" s="14" t="s">
        <v>223</v>
      </c>
      <c r="J102" s="1" t="s">
        <v>3006</v>
      </c>
      <c r="K102" s="14" t="s">
        <v>3007</v>
      </c>
      <c r="L102" s="1" t="s">
        <v>3008</v>
      </c>
      <c r="M102" s="1" t="s">
        <v>3016</v>
      </c>
      <c r="N102" s="1">
        <v>472</v>
      </c>
      <c r="O102" s="1" t="s">
        <v>976</v>
      </c>
      <c r="P102" s="5">
        <v>4300</v>
      </c>
      <c r="Q102" s="5">
        <v>5620</v>
      </c>
      <c r="R102" s="5">
        <v>9920</v>
      </c>
      <c r="S102" s="5">
        <v>0</v>
      </c>
      <c r="T102" s="5" t="s">
        <v>5576</v>
      </c>
      <c r="V102" s="5" t="s">
        <v>223</v>
      </c>
      <c r="AB102"/>
      <c r="AC102"/>
      <c r="AD102"/>
    </row>
    <row r="103" spans="1:30" x14ac:dyDescent="0.25">
      <c r="A103" t="s">
        <v>3291</v>
      </c>
      <c r="B103" t="s">
        <v>3292</v>
      </c>
      <c r="C103" s="9" t="s">
        <v>3293</v>
      </c>
      <c r="D103" s="9">
        <v>988354122</v>
      </c>
      <c r="E103" s="5" t="s">
        <v>3003</v>
      </c>
      <c r="F103" s="1" t="s">
        <v>3004</v>
      </c>
      <c r="G103" s="25">
        <v>44536</v>
      </c>
      <c r="H103" s="1" t="s">
        <v>3027</v>
      </c>
      <c r="I103" s="14" t="s">
        <v>254</v>
      </c>
      <c r="J103" s="1" t="s">
        <v>3006</v>
      </c>
      <c r="K103" s="14" t="s">
        <v>3007</v>
      </c>
      <c r="L103" s="1" t="s">
        <v>3008</v>
      </c>
      <c r="M103" s="1" t="s">
        <v>3016</v>
      </c>
      <c r="N103" s="1">
        <v>1364</v>
      </c>
      <c r="O103" s="1" t="s">
        <v>976</v>
      </c>
      <c r="P103" s="5">
        <v>1264.6199999999999</v>
      </c>
      <c r="Q103" s="5">
        <v>138</v>
      </c>
      <c r="R103" s="5">
        <v>1380</v>
      </c>
      <c r="S103" s="5">
        <v>22.62</v>
      </c>
      <c r="T103" s="5" t="s">
        <v>22</v>
      </c>
      <c r="V103" s="5" t="s">
        <v>254</v>
      </c>
      <c r="AB103"/>
      <c r="AC103"/>
      <c r="AD103"/>
    </row>
    <row r="104" spans="1:30" x14ac:dyDescent="0.25">
      <c r="A104" t="s">
        <v>3294</v>
      </c>
      <c r="B104" t="s">
        <v>3295</v>
      </c>
      <c r="C104" s="9" t="s">
        <v>3296</v>
      </c>
      <c r="D104" s="9">
        <v>966477030</v>
      </c>
      <c r="E104" s="5" t="s">
        <v>3003</v>
      </c>
      <c r="F104" s="1" t="s">
        <v>3297</v>
      </c>
      <c r="G104" s="25">
        <v>44412</v>
      </c>
      <c r="H104" s="1" t="s">
        <v>3298</v>
      </c>
      <c r="I104" s="14" t="s">
        <v>557</v>
      </c>
      <c r="J104" s="1" t="s">
        <v>3006</v>
      </c>
      <c r="K104" s="14" t="s">
        <v>3007</v>
      </c>
      <c r="L104" s="1" t="s">
        <v>3008</v>
      </c>
      <c r="M104" s="1" t="s">
        <v>3016</v>
      </c>
      <c r="N104" s="1">
        <v>736</v>
      </c>
      <c r="O104" s="1" t="s">
        <v>976</v>
      </c>
      <c r="P104" s="5">
        <v>191.44</v>
      </c>
      <c r="Q104" s="5">
        <v>0</v>
      </c>
      <c r="R104" s="5">
        <v>180</v>
      </c>
      <c r="S104" s="5">
        <v>11.44</v>
      </c>
      <c r="T104" s="5" t="s">
        <v>24</v>
      </c>
      <c r="V104" s="5" t="s">
        <v>557</v>
      </c>
      <c r="AB104"/>
      <c r="AC104"/>
      <c r="AD104"/>
    </row>
    <row r="105" spans="1:30" x14ac:dyDescent="0.25">
      <c r="A105" t="s">
        <v>3294</v>
      </c>
      <c r="B105" t="s">
        <v>3295</v>
      </c>
      <c r="C105" s="9" t="s">
        <v>3296</v>
      </c>
      <c r="D105" s="9">
        <v>966477030</v>
      </c>
      <c r="E105" s="5" t="s">
        <v>3003</v>
      </c>
      <c r="F105" s="1" t="s">
        <v>3297</v>
      </c>
      <c r="G105" s="25">
        <v>44412</v>
      </c>
      <c r="H105" s="1" t="s">
        <v>3299</v>
      </c>
      <c r="I105" s="14" t="s">
        <v>594</v>
      </c>
      <c r="J105" s="1" t="s">
        <v>3006</v>
      </c>
      <c r="K105" s="14" t="s">
        <v>3007</v>
      </c>
      <c r="L105" s="1" t="s">
        <v>3008</v>
      </c>
      <c r="M105" s="1" t="s">
        <v>3016</v>
      </c>
      <c r="N105" s="1">
        <v>736</v>
      </c>
      <c r="O105" s="1" t="s">
        <v>976</v>
      </c>
      <c r="P105" s="5">
        <v>26.59</v>
      </c>
      <c r="Q105" s="5">
        <v>0</v>
      </c>
      <c r="R105" s="5">
        <v>25</v>
      </c>
      <c r="S105" s="5">
        <v>1.59</v>
      </c>
      <c r="T105" s="5" t="s">
        <v>22</v>
      </c>
      <c r="V105" s="5" t="s">
        <v>594</v>
      </c>
      <c r="AB105"/>
      <c r="AC105"/>
      <c r="AD105"/>
    </row>
    <row r="106" spans="1:30" x14ac:dyDescent="0.25">
      <c r="A106" t="s">
        <v>3300</v>
      </c>
      <c r="B106" t="s">
        <v>3301</v>
      </c>
      <c r="C106" s="9" t="s">
        <v>3302</v>
      </c>
      <c r="D106" s="9" t="s">
        <v>3303</v>
      </c>
      <c r="E106" s="5" t="s">
        <v>3003</v>
      </c>
      <c r="F106" s="1" t="s">
        <v>3004</v>
      </c>
      <c r="G106" s="25">
        <v>44525</v>
      </c>
      <c r="H106" s="1" t="s">
        <v>3075</v>
      </c>
      <c r="I106" s="14" t="s">
        <v>2791</v>
      </c>
      <c r="J106" s="1" t="s">
        <v>3006</v>
      </c>
      <c r="K106" s="14" t="s">
        <v>3007</v>
      </c>
      <c r="L106" s="1" t="s">
        <v>3008</v>
      </c>
      <c r="M106" s="1" t="s">
        <v>3009</v>
      </c>
      <c r="N106" s="1">
        <v>1277</v>
      </c>
      <c r="O106" s="1" t="s">
        <v>976</v>
      </c>
      <c r="P106" s="5">
        <v>1242</v>
      </c>
      <c r="Q106" s="5">
        <v>138</v>
      </c>
      <c r="R106" s="5">
        <v>1380</v>
      </c>
      <c r="S106" s="5">
        <v>0</v>
      </c>
      <c r="T106" s="5" t="s">
        <v>22</v>
      </c>
      <c r="U106" s="5" t="s">
        <v>2443</v>
      </c>
      <c r="V106" s="5" t="s">
        <v>763</v>
      </c>
      <c r="AB106"/>
      <c r="AC106"/>
      <c r="AD106"/>
    </row>
    <row r="107" spans="1:30" x14ac:dyDescent="0.25">
      <c r="A107" t="s">
        <v>3304</v>
      </c>
      <c r="B107" t="s">
        <v>3305</v>
      </c>
      <c r="C107" s="9" t="s">
        <v>3306</v>
      </c>
      <c r="D107" s="9" t="s">
        <v>3307</v>
      </c>
      <c r="E107" s="5" t="s">
        <v>3003</v>
      </c>
      <c r="F107" s="1" t="s">
        <v>3004</v>
      </c>
      <c r="G107" s="25">
        <v>44518</v>
      </c>
      <c r="H107" s="1" t="s">
        <v>3122</v>
      </c>
      <c r="I107" s="14" t="s">
        <v>2992</v>
      </c>
      <c r="J107" s="1" t="s">
        <v>3006</v>
      </c>
      <c r="K107" s="14" t="s">
        <v>3007</v>
      </c>
      <c r="L107" s="1" t="s">
        <v>3008</v>
      </c>
      <c r="M107" s="1" t="s">
        <v>3009</v>
      </c>
      <c r="N107" s="1">
        <v>1225</v>
      </c>
      <c r="O107" s="1" t="s">
        <v>976</v>
      </c>
      <c r="P107" s="5">
        <v>1560</v>
      </c>
      <c r="Q107" s="5">
        <v>0</v>
      </c>
      <c r="R107" s="5">
        <v>1560</v>
      </c>
      <c r="S107" s="5">
        <v>0</v>
      </c>
      <c r="T107" s="5" t="s">
        <v>22</v>
      </c>
      <c r="U107" s="5" t="s">
        <v>2443</v>
      </c>
      <c r="V107" s="5" t="s">
        <v>962</v>
      </c>
      <c r="AB107"/>
      <c r="AC107"/>
      <c r="AD107"/>
    </row>
    <row r="108" spans="1:30" x14ac:dyDescent="0.25">
      <c r="A108" t="s">
        <v>3308</v>
      </c>
      <c r="B108" t="s">
        <v>3309</v>
      </c>
      <c r="C108" s="9" t="s">
        <v>3310</v>
      </c>
      <c r="D108" s="9" t="s">
        <v>3311</v>
      </c>
      <c r="E108" s="5" t="s">
        <v>3003</v>
      </c>
      <c r="F108" s="1" t="s">
        <v>3004</v>
      </c>
      <c r="G108" s="25">
        <v>44421</v>
      </c>
      <c r="H108" s="1" t="s">
        <v>3312</v>
      </c>
      <c r="I108" s="14" t="s">
        <v>2806</v>
      </c>
      <c r="J108" s="1" t="s">
        <v>3006</v>
      </c>
      <c r="K108" s="14" t="s">
        <v>3007</v>
      </c>
      <c r="L108" s="1" t="s">
        <v>3008</v>
      </c>
      <c r="M108" s="1" t="s">
        <v>3016</v>
      </c>
      <c r="N108" s="1">
        <v>767</v>
      </c>
      <c r="O108" s="1" t="s">
        <v>976</v>
      </c>
      <c r="P108" s="5">
        <v>495.5</v>
      </c>
      <c r="Q108" s="5">
        <v>0</v>
      </c>
      <c r="R108" s="5">
        <v>470</v>
      </c>
      <c r="S108" s="5">
        <v>25.5</v>
      </c>
      <c r="T108" s="5">
        <v>38</v>
      </c>
      <c r="U108" s="5" t="s">
        <v>2482</v>
      </c>
      <c r="V108" s="5" t="s">
        <v>777</v>
      </c>
      <c r="AB108"/>
      <c r="AC108"/>
      <c r="AD108"/>
    </row>
    <row r="109" spans="1:30" x14ac:dyDescent="0.25">
      <c r="A109" t="s">
        <v>3313</v>
      </c>
      <c r="B109" t="s">
        <v>3314</v>
      </c>
      <c r="C109" s="9" t="s">
        <v>3315</v>
      </c>
      <c r="D109" s="9">
        <v>985108644</v>
      </c>
      <c r="E109" s="5" t="s">
        <v>3003</v>
      </c>
      <c r="F109" s="1" t="s">
        <v>3004</v>
      </c>
      <c r="G109" s="25">
        <v>44587</v>
      </c>
      <c r="H109" s="1" t="s">
        <v>3129</v>
      </c>
      <c r="I109" s="14" t="s">
        <v>2790</v>
      </c>
      <c r="J109" s="1" t="s">
        <v>3006</v>
      </c>
      <c r="K109" s="14" t="s">
        <v>3007</v>
      </c>
      <c r="L109" s="1" t="s">
        <v>3008</v>
      </c>
      <c r="M109" s="1" t="s">
        <v>3009</v>
      </c>
      <c r="N109" s="1">
        <v>1723</v>
      </c>
      <c r="O109" s="1" t="s">
        <v>976</v>
      </c>
      <c r="P109" s="5">
        <v>1775</v>
      </c>
      <c r="Q109" s="5">
        <v>0</v>
      </c>
      <c r="R109" s="5">
        <v>1750</v>
      </c>
      <c r="S109" s="5">
        <v>25</v>
      </c>
      <c r="T109" s="5" t="s">
        <v>5574</v>
      </c>
      <c r="U109" s="5" t="s">
        <v>2482</v>
      </c>
      <c r="V109" s="5" t="s">
        <v>246</v>
      </c>
      <c r="AB109"/>
      <c r="AC109"/>
      <c r="AD109"/>
    </row>
    <row r="110" spans="1:30" x14ac:dyDescent="0.25">
      <c r="A110" t="s">
        <v>3316</v>
      </c>
      <c r="B110" t="s">
        <v>3317</v>
      </c>
      <c r="C110" s="9" t="s">
        <v>3318</v>
      </c>
      <c r="D110" s="9">
        <v>991477544</v>
      </c>
      <c r="E110" s="5" t="s">
        <v>3041</v>
      </c>
      <c r="F110" s="1" t="s">
        <v>3042</v>
      </c>
      <c r="G110" s="25">
        <v>44582</v>
      </c>
      <c r="H110" s="1" t="s">
        <v>3075</v>
      </c>
      <c r="I110" s="14" t="s">
        <v>2791</v>
      </c>
      <c r="J110" s="1" t="s">
        <v>3006</v>
      </c>
      <c r="K110" s="14" t="s">
        <v>3007</v>
      </c>
      <c r="L110" s="1" t="s">
        <v>3008</v>
      </c>
      <c r="M110" s="1" t="s">
        <v>3016</v>
      </c>
      <c r="N110" s="1">
        <v>1696</v>
      </c>
      <c r="O110" s="1" t="s">
        <v>976</v>
      </c>
      <c r="P110" s="5">
        <v>1696.88</v>
      </c>
      <c r="Q110" s="5">
        <v>0</v>
      </c>
      <c r="R110" s="5">
        <v>1665</v>
      </c>
      <c r="S110" s="5">
        <v>31.88</v>
      </c>
      <c r="T110" s="5" t="s">
        <v>22</v>
      </c>
      <c r="U110" s="5" t="s">
        <v>2443</v>
      </c>
      <c r="V110" s="5" t="s">
        <v>763</v>
      </c>
      <c r="AB110"/>
      <c r="AC110"/>
      <c r="AD110"/>
    </row>
    <row r="111" spans="1:30" x14ac:dyDescent="0.25">
      <c r="A111" t="s">
        <v>3319</v>
      </c>
      <c r="B111" t="s">
        <v>3320</v>
      </c>
      <c r="C111" s="9" t="s">
        <v>3321</v>
      </c>
      <c r="D111" s="9">
        <v>999768584</v>
      </c>
      <c r="E111" s="5" t="s">
        <v>3003</v>
      </c>
      <c r="F111" s="1" t="s">
        <v>3004</v>
      </c>
      <c r="G111" s="25">
        <v>44523</v>
      </c>
      <c r="H111" s="1" t="s">
        <v>3322</v>
      </c>
      <c r="I111" s="14" t="s">
        <v>2809</v>
      </c>
      <c r="J111" s="1" t="s">
        <v>3006</v>
      </c>
      <c r="K111" s="14" t="s">
        <v>3007</v>
      </c>
      <c r="L111" s="1" t="s">
        <v>3008</v>
      </c>
      <c r="M111" s="1" t="s">
        <v>3016</v>
      </c>
      <c r="N111" s="1">
        <v>1257</v>
      </c>
      <c r="O111" s="1" t="s">
        <v>976</v>
      </c>
      <c r="P111" s="5">
        <v>1210</v>
      </c>
      <c r="Q111" s="5">
        <v>0</v>
      </c>
      <c r="R111" s="5">
        <v>1210</v>
      </c>
      <c r="S111" s="5">
        <v>0</v>
      </c>
      <c r="T111" s="5">
        <v>42</v>
      </c>
      <c r="U111" s="5" t="s">
        <v>2472</v>
      </c>
      <c r="V111" s="5" t="s">
        <v>783</v>
      </c>
      <c r="AB111"/>
      <c r="AC111"/>
      <c r="AD111"/>
    </row>
    <row r="112" spans="1:30" x14ac:dyDescent="0.25">
      <c r="A112" t="s">
        <v>3323</v>
      </c>
      <c r="B112" t="s">
        <v>3324</v>
      </c>
      <c r="C112" s="9" t="s">
        <v>3325</v>
      </c>
      <c r="D112" s="9">
        <v>981754211</v>
      </c>
      <c r="E112" s="5" t="s">
        <v>3003</v>
      </c>
      <c r="F112" s="1" t="s">
        <v>3004</v>
      </c>
      <c r="G112" s="25">
        <v>44547</v>
      </c>
      <c r="H112" s="1" t="s">
        <v>3326</v>
      </c>
      <c r="I112" s="14" t="s">
        <v>2774</v>
      </c>
      <c r="J112" s="1" t="s">
        <v>3006</v>
      </c>
      <c r="K112" s="14" t="s">
        <v>3007</v>
      </c>
      <c r="L112" s="1" t="s">
        <v>3008</v>
      </c>
      <c r="M112" s="1" t="s">
        <v>3016</v>
      </c>
      <c r="N112" s="1">
        <v>1491</v>
      </c>
      <c r="O112" s="1" t="s">
        <v>976</v>
      </c>
      <c r="P112" s="5">
        <v>357.19</v>
      </c>
      <c r="Q112" s="5">
        <v>0</v>
      </c>
      <c r="R112" s="5">
        <v>348</v>
      </c>
      <c r="S112" s="5">
        <v>9.19</v>
      </c>
      <c r="T112" s="5" t="s">
        <v>21</v>
      </c>
      <c r="U112" s="5" t="s">
        <v>2482</v>
      </c>
      <c r="V112" s="5" t="s">
        <v>740</v>
      </c>
      <c r="AB112"/>
      <c r="AC112"/>
      <c r="AD112"/>
    </row>
    <row r="113" spans="1:30" x14ac:dyDescent="0.25">
      <c r="A113" t="s">
        <v>3323</v>
      </c>
      <c r="B113" t="s">
        <v>3324</v>
      </c>
      <c r="C113" s="9" t="s">
        <v>3325</v>
      </c>
      <c r="D113" s="9">
        <v>981754211</v>
      </c>
      <c r="E113" s="5" t="s">
        <v>3003</v>
      </c>
      <c r="F113" s="1" t="s">
        <v>3004</v>
      </c>
      <c r="G113" s="25">
        <v>44547</v>
      </c>
      <c r="H113" s="1" t="s">
        <v>3327</v>
      </c>
      <c r="I113" s="14" t="s">
        <v>2867</v>
      </c>
      <c r="J113" s="1" t="s">
        <v>3006</v>
      </c>
      <c r="K113" s="14" t="s">
        <v>3007</v>
      </c>
      <c r="L113" s="1" t="s">
        <v>3008</v>
      </c>
      <c r="M113" s="1" t="s">
        <v>3016</v>
      </c>
      <c r="N113" s="1">
        <v>1491</v>
      </c>
      <c r="O113" s="1" t="s">
        <v>976</v>
      </c>
      <c r="P113" s="5">
        <v>497.81</v>
      </c>
      <c r="Q113" s="5">
        <v>0</v>
      </c>
      <c r="R113" s="5">
        <v>485</v>
      </c>
      <c r="S113" s="5">
        <v>12.81</v>
      </c>
      <c r="T113" s="5" t="s">
        <v>22</v>
      </c>
      <c r="U113" s="5" t="s">
        <v>2482</v>
      </c>
      <c r="V113" s="5" t="s">
        <v>869</v>
      </c>
      <c r="AB113"/>
      <c r="AC113"/>
      <c r="AD113"/>
    </row>
    <row r="114" spans="1:30" x14ac:dyDescent="0.25">
      <c r="A114" t="s">
        <v>3328</v>
      </c>
      <c r="B114" t="s">
        <v>3329</v>
      </c>
      <c r="C114" s="9" t="s">
        <v>3330</v>
      </c>
      <c r="D114" s="9">
        <v>992159988</v>
      </c>
      <c r="E114" s="5" t="s">
        <v>3003</v>
      </c>
      <c r="F114" s="1" t="s">
        <v>3004</v>
      </c>
      <c r="G114" s="25">
        <v>44384</v>
      </c>
      <c r="H114" s="1" t="s">
        <v>3160</v>
      </c>
      <c r="I114" s="14" t="s">
        <v>488</v>
      </c>
      <c r="J114" s="1" t="s">
        <v>3006</v>
      </c>
      <c r="K114" s="14" t="s">
        <v>3007</v>
      </c>
      <c r="L114" s="1" t="s">
        <v>3008</v>
      </c>
      <c r="M114" s="1" t="s">
        <v>3016</v>
      </c>
      <c r="N114" s="1">
        <v>605</v>
      </c>
      <c r="O114" s="1" t="s">
        <v>976</v>
      </c>
      <c r="P114" s="5">
        <v>273.32</v>
      </c>
      <c r="Q114" s="5">
        <v>29</v>
      </c>
      <c r="R114" s="5">
        <v>290</v>
      </c>
      <c r="S114" s="5">
        <v>12.32</v>
      </c>
      <c r="T114" s="5" t="s">
        <v>22</v>
      </c>
      <c r="V114" s="5" t="s">
        <v>488</v>
      </c>
      <c r="AB114"/>
      <c r="AC114"/>
      <c r="AD114"/>
    </row>
    <row r="115" spans="1:30" x14ac:dyDescent="0.25">
      <c r="A115" t="s">
        <v>3331</v>
      </c>
      <c r="B115" t="s">
        <v>3332</v>
      </c>
      <c r="C115" s="9" t="s">
        <v>3333</v>
      </c>
      <c r="D115" s="9">
        <v>11999998423</v>
      </c>
      <c r="E115" s="5" t="s">
        <v>3003</v>
      </c>
      <c r="F115" s="1" t="s">
        <v>3004</v>
      </c>
      <c r="G115" s="25">
        <v>44396</v>
      </c>
      <c r="H115" s="1" t="s">
        <v>3334</v>
      </c>
      <c r="I115" s="14" t="s">
        <v>493</v>
      </c>
      <c r="J115" s="1" t="s">
        <v>3006</v>
      </c>
      <c r="K115" s="14" t="s">
        <v>3007</v>
      </c>
      <c r="L115" s="1" t="s">
        <v>3008</v>
      </c>
      <c r="M115" s="1" t="s">
        <v>3016</v>
      </c>
      <c r="N115" s="1">
        <v>659</v>
      </c>
      <c r="O115" s="1" t="s">
        <v>976</v>
      </c>
      <c r="P115" s="5">
        <v>30</v>
      </c>
      <c r="Q115" s="5">
        <v>260</v>
      </c>
      <c r="R115" s="5">
        <v>290</v>
      </c>
      <c r="S115" s="5">
        <v>0</v>
      </c>
      <c r="T115" s="5" t="s">
        <v>23</v>
      </c>
      <c r="V115" s="5" t="s">
        <v>493</v>
      </c>
      <c r="AB115"/>
      <c r="AC115"/>
      <c r="AD115"/>
    </row>
    <row r="116" spans="1:30" x14ac:dyDescent="0.25">
      <c r="A116" t="s">
        <v>3331</v>
      </c>
      <c r="B116" t="s">
        <v>3332</v>
      </c>
      <c r="C116" s="9" t="s">
        <v>3333</v>
      </c>
      <c r="D116" s="9">
        <v>11999998423</v>
      </c>
      <c r="E116" s="5" t="s">
        <v>3003</v>
      </c>
      <c r="F116" s="1" t="s">
        <v>3004</v>
      </c>
      <c r="G116" s="25">
        <v>44396</v>
      </c>
      <c r="H116" s="1" t="s">
        <v>3335</v>
      </c>
      <c r="I116" s="14" t="s">
        <v>499</v>
      </c>
      <c r="J116" s="1" t="s">
        <v>3006</v>
      </c>
      <c r="K116" s="14" t="s">
        <v>3007</v>
      </c>
      <c r="L116" s="1" t="s">
        <v>3008</v>
      </c>
      <c r="M116" s="1" t="s">
        <v>3016</v>
      </c>
      <c r="N116" s="1">
        <v>659</v>
      </c>
      <c r="O116" s="1" t="s">
        <v>976</v>
      </c>
      <c r="P116" s="5">
        <v>30</v>
      </c>
      <c r="Q116" s="5">
        <v>260</v>
      </c>
      <c r="R116" s="5">
        <v>290</v>
      </c>
      <c r="S116" s="5">
        <v>0</v>
      </c>
      <c r="T116" s="5" t="s">
        <v>23</v>
      </c>
      <c r="V116" s="5" t="s">
        <v>499</v>
      </c>
      <c r="AB116"/>
      <c r="AC116"/>
      <c r="AD116"/>
    </row>
    <row r="117" spans="1:30" x14ac:dyDescent="0.25">
      <c r="A117" t="s">
        <v>3336</v>
      </c>
      <c r="B117" t="s">
        <v>3337</v>
      </c>
      <c r="C117" s="9" t="s">
        <v>3338</v>
      </c>
      <c r="D117" s="9">
        <v>974493388</v>
      </c>
      <c r="E117" s="5" t="s">
        <v>3003</v>
      </c>
      <c r="F117" s="1" t="s">
        <v>3004</v>
      </c>
      <c r="G117" s="25">
        <v>44565</v>
      </c>
      <c r="H117" s="1" t="s">
        <v>3015</v>
      </c>
      <c r="I117" s="14" t="s">
        <v>252</v>
      </c>
      <c r="J117" s="1" t="s">
        <v>3006</v>
      </c>
      <c r="K117" s="14" t="s">
        <v>3007</v>
      </c>
      <c r="L117" s="1" t="s">
        <v>3008</v>
      </c>
      <c r="M117" s="1" t="s">
        <v>3009</v>
      </c>
      <c r="N117" s="1">
        <v>1577</v>
      </c>
      <c r="O117" s="1" t="s">
        <v>976</v>
      </c>
      <c r="P117" s="5">
        <v>1514.5</v>
      </c>
      <c r="Q117" s="5">
        <v>166.5</v>
      </c>
      <c r="R117" s="5">
        <v>1665</v>
      </c>
      <c r="S117" s="5">
        <v>16</v>
      </c>
      <c r="T117" s="5" t="s">
        <v>22</v>
      </c>
      <c r="V117" s="5" t="s">
        <v>252</v>
      </c>
      <c r="AB117"/>
      <c r="AC117"/>
      <c r="AD117"/>
    </row>
    <row r="118" spans="1:30" x14ac:dyDescent="0.25">
      <c r="A118" t="s">
        <v>3339</v>
      </c>
      <c r="B118" t="s">
        <v>3340</v>
      </c>
      <c r="C118" s="9" t="s">
        <v>3341</v>
      </c>
      <c r="D118" s="9">
        <v>991942596</v>
      </c>
      <c r="E118" s="5" t="s">
        <v>3133</v>
      </c>
      <c r="F118" s="1" t="s">
        <v>3342</v>
      </c>
      <c r="G118" s="25">
        <v>44419</v>
      </c>
      <c r="H118" s="1" t="s">
        <v>3015</v>
      </c>
      <c r="I118" s="14" t="s">
        <v>252</v>
      </c>
      <c r="J118" s="1" t="s">
        <v>3006</v>
      </c>
      <c r="K118" s="14" t="s">
        <v>3007</v>
      </c>
      <c r="L118" s="1" t="s">
        <v>3008</v>
      </c>
      <c r="M118" s="1" t="s">
        <v>3009</v>
      </c>
      <c r="N118" s="1">
        <v>759</v>
      </c>
      <c r="O118" s="1" t="s">
        <v>976</v>
      </c>
      <c r="P118" s="5">
        <v>1225.97</v>
      </c>
      <c r="Q118" s="5">
        <v>133</v>
      </c>
      <c r="R118" s="5">
        <v>1330</v>
      </c>
      <c r="S118" s="5">
        <v>28.97</v>
      </c>
      <c r="T118" s="5" t="s">
        <v>22</v>
      </c>
      <c r="V118" s="5" t="s">
        <v>252</v>
      </c>
      <c r="AB118"/>
      <c r="AC118"/>
      <c r="AD118"/>
    </row>
    <row r="119" spans="1:30" x14ac:dyDescent="0.25">
      <c r="A119" t="s">
        <v>3339</v>
      </c>
      <c r="B119" t="s">
        <v>3340</v>
      </c>
      <c r="C119" s="9" t="s">
        <v>3341</v>
      </c>
      <c r="D119" s="9">
        <v>991942596</v>
      </c>
      <c r="E119" s="5" t="s">
        <v>3133</v>
      </c>
      <c r="F119" s="1" t="s">
        <v>3342</v>
      </c>
      <c r="G119" s="25">
        <v>44448</v>
      </c>
      <c r="H119" s="1" t="s">
        <v>3343</v>
      </c>
      <c r="I119" s="14" t="s">
        <v>253</v>
      </c>
      <c r="J119" s="1" t="s">
        <v>3006</v>
      </c>
      <c r="K119" s="14" t="s">
        <v>3007</v>
      </c>
      <c r="L119" s="1" t="s">
        <v>3008</v>
      </c>
      <c r="M119" s="1" t="s">
        <v>3009</v>
      </c>
      <c r="N119" s="1">
        <v>879</v>
      </c>
      <c r="O119" s="1" t="s">
        <v>976</v>
      </c>
      <c r="P119" s="5">
        <v>1460.71</v>
      </c>
      <c r="Q119" s="5">
        <v>354</v>
      </c>
      <c r="R119" s="5">
        <v>1770</v>
      </c>
      <c r="S119" s="5">
        <v>44.71</v>
      </c>
      <c r="T119" s="5" t="s">
        <v>24</v>
      </c>
      <c r="V119" s="5" t="s">
        <v>253</v>
      </c>
      <c r="AB119"/>
      <c r="AC119"/>
      <c r="AD119"/>
    </row>
    <row r="120" spans="1:30" x14ac:dyDescent="0.25">
      <c r="A120" t="s">
        <v>3344</v>
      </c>
      <c r="B120" t="s">
        <v>3345</v>
      </c>
      <c r="C120" s="9" t="s">
        <v>3346</v>
      </c>
      <c r="D120" s="9">
        <v>981306663</v>
      </c>
      <c r="E120" s="5" t="s">
        <v>3003</v>
      </c>
      <c r="F120" s="1" t="s">
        <v>3004</v>
      </c>
      <c r="G120" s="25">
        <v>44329</v>
      </c>
      <c r="H120" s="1" t="s">
        <v>3153</v>
      </c>
      <c r="I120" s="14" t="s">
        <v>2841</v>
      </c>
      <c r="J120" s="1" t="s">
        <v>3006</v>
      </c>
      <c r="K120" s="14" t="s">
        <v>3007</v>
      </c>
      <c r="L120" s="1" t="s">
        <v>3008</v>
      </c>
      <c r="M120" s="1" t="s">
        <v>3016</v>
      </c>
      <c r="N120" s="1">
        <v>414</v>
      </c>
      <c r="O120" s="1" t="s">
        <v>976</v>
      </c>
      <c r="P120" s="5">
        <v>70.84</v>
      </c>
      <c r="Q120" s="5">
        <v>0</v>
      </c>
      <c r="R120" s="5">
        <v>59.9</v>
      </c>
      <c r="S120" s="5">
        <v>10.94</v>
      </c>
      <c r="T120" s="5">
        <v>39</v>
      </c>
      <c r="U120" s="5" t="s">
        <v>2482</v>
      </c>
      <c r="V120" s="5" t="s">
        <v>827</v>
      </c>
      <c r="AB120"/>
      <c r="AC120"/>
      <c r="AD120"/>
    </row>
    <row r="121" spans="1:30" x14ac:dyDescent="0.25">
      <c r="A121" t="s">
        <v>3347</v>
      </c>
      <c r="B121" t="s">
        <v>3348</v>
      </c>
      <c r="C121" s="9" t="s">
        <v>3349</v>
      </c>
      <c r="D121" s="9">
        <v>992294896</v>
      </c>
      <c r="E121" s="5" t="s">
        <v>3187</v>
      </c>
      <c r="F121" s="1" t="s">
        <v>3188</v>
      </c>
      <c r="G121" s="25">
        <v>44397</v>
      </c>
      <c r="H121" s="1" t="s">
        <v>3015</v>
      </c>
      <c r="I121" s="14" t="s">
        <v>252</v>
      </c>
      <c r="J121" s="1" t="s">
        <v>3006</v>
      </c>
      <c r="K121" s="14" t="s">
        <v>3007</v>
      </c>
      <c r="L121" s="1" t="s">
        <v>3008</v>
      </c>
      <c r="M121" s="1" t="s">
        <v>3009</v>
      </c>
      <c r="N121" s="1">
        <v>661</v>
      </c>
      <c r="O121" s="1" t="s">
        <v>976</v>
      </c>
      <c r="P121" s="5">
        <v>1102.74</v>
      </c>
      <c r="Q121" s="5">
        <v>120</v>
      </c>
      <c r="R121" s="5">
        <v>1200</v>
      </c>
      <c r="S121" s="5">
        <v>22.74</v>
      </c>
      <c r="T121" s="5" t="s">
        <v>22</v>
      </c>
      <c r="V121" s="5" t="s">
        <v>252</v>
      </c>
      <c r="AB121"/>
      <c r="AC121"/>
      <c r="AD121"/>
    </row>
    <row r="122" spans="1:30" x14ac:dyDescent="0.25">
      <c r="A122" t="s">
        <v>3347</v>
      </c>
      <c r="B122" t="s">
        <v>3348</v>
      </c>
      <c r="C122" s="9" t="s">
        <v>3349</v>
      </c>
      <c r="D122" s="9">
        <v>992294896</v>
      </c>
      <c r="E122" s="5" t="s">
        <v>3187</v>
      </c>
      <c r="F122" s="1" t="s">
        <v>3188</v>
      </c>
      <c r="G122" s="25">
        <v>44493</v>
      </c>
      <c r="H122" s="1" t="s">
        <v>3075</v>
      </c>
      <c r="I122" s="14" t="s">
        <v>2791</v>
      </c>
      <c r="J122" s="1" t="s">
        <v>3006</v>
      </c>
      <c r="K122" s="14" t="s">
        <v>3007</v>
      </c>
      <c r="L122" s="1" t="s">
        <v>3008</v>
      </c>
      <c r="M122" s="1" t="s">
        <v>3009</v>
      </c>
      <c r="N122" s="1">
        <v>1102</v>
      </c>
      <c r="O122" s="1" t="s">
        <v>976</v>
      </c>
      <c r="P122" s="5">
        <v>1224.1199999999999</v>
      </c>
      <c r="Q122" s="5">
        <v>133</v>
      </c>
      <c r="R122" s="5">
        <v>1330</v>
      </c>
      <c r="S122" s="5">
        <v>27.12</v>
      </c>
      <c r="T122" s="5" t="s">
        <v>22</v>
      </c>
      <c r="U122" s="5" t="s">
        <v>2443</v>
      </c>
      <c r="V122" s="5" t="s">
        <v>763</v>
      </c>
      <c r="AB122"/>
      <c r="AC122"/>
      <c r="AD122"/>
    </row>
    <row r="123" spans="1:30" x14ac:dyDescent="0.25">
      <c r="A123" t="s">
        <v>3347</v>
      </c>
      <c r="B123" t="s">
        <v>3348</v>
      </c>
      <c r="C123" s="9" t="s">
        <v>3349</v>
      </c>
      <c r="D123" s="9">
        <v>992294896</v>
      </c>
      <c r="E123" s="5" t="s">
        <v>3187</v>
      </c>
      <c r="F123" s="1" t="s">
        <v>3188</v>
      </c>
      <c r="G123" s="25">
        <v>44582</v>
      </c>
      <c r="H123" s="1" t="s">
        <v>3350</v>
      </c>
      <c r="I123" s="14" t="s">
        <v>412</v>
      </c>
      <c r="J123" s="1" t="s">
        <v>3006</v>
      </c>
      <c r="K123" s="14" t="s">
        <v>3007</v>
      </c>
      <c r="L123" s="1" t="s">
        <v>3008</v>
      </c>
      <c r="M123" s="1" t="s">
        <v>3009</v>
      </c>
      <c r="N123" s="1">
        <v>1698</v>
      </c>
      <c r="O123" s="1" t="s">
        <v>976</v>
      </c>
      <c r="P123" s="5">
        <v>888.47</v>
      </c>
      <c r="Q123" s="5">
        <v>0</v>
      </c>
      <c r="R123" s="5">
        <v>870</v>
      </c>
      <c r="S123" s="5">
        <v>18.47</v>
      </c>
      <c r="T123" s="5">
        <v>36</v>
      </c>
      <c r="V123" s="5" t="s">
        <v>412</v>
      </c>
      <c r="AB123"/>
      <c r="AC123"/>
      <c r="AD123"/>
    </row>
    <row r="124" spans="1:30" x14ac:dyDescent="0.25">
      <c r="A124" t="s">
        <v>3347</v>
      </c>
      <c r="B124" t="s">
        <v>3348</v>
      </c>
      <c r="C124" s="9" t="s">
        <v>3349</v>
      </c>
      <c r="D124" s="9">
        <v>992294896</v>
      </c>
      <c r="E124" s="5" t="s">
        <v>3187</v>
      </c>
      <c r="F124" s="1" t="s">
        <v>3188</v>
      </c>
      <c r="G124" s="25">
        <v>44582</v>
      </c>
      <c r="H124" s="1" t="s">
        <v>3351</v>
      </c>
      <c r="I124" s="14" t="s">
        <v>540</v>
      </c>
      <c r="J124" s="1" t="s">
        <v>3006</v>
      </c>
      <c r="K124" s="14" t="s">
        <v>3007</v>
      </c>
      <c r="L124" s="1" t="s">
        <v>3008</v>
      </c>
      <c r="M124" s="1" t="s">
        <v>3009</v>
      </c>
      <c r="N124" s="1">
        <v>1698</v>
      </c>
      <c r="O124" s="1" t="s">
        <v>976</v>
      </c>
      <c r="P124" s="5">
        <v>500.4</v>
      </c>
      <c r="Q124" s="5">
        <v>0</v>
      </c>
      <c r="R124" s="5">
        <v>490</v>
      </c>
      <c r="S124" s="5">
        <v>10.4</v>
      </c>
      <c r="T124" s="5" t="s">
        <v>23</v>
      </c>
      <c r="V124" s="5" t="s">
        <v>540</v>
      </c>
      <c r="AB124"/>
      <c r="AC124"/>
      <c r="AD124"/>
    </row>
    <row r="125" spans="1:30" x14ac:dyDescent="0.25">
      <c r="A125" t="s">
        <v>3352</v>
      </c>
      <c r="B125" t="s">
        <v>3353</v>
      </c>
      <c r="C125" s="9" t="s">
        <v>3354</v>
      </c>
      <c r="D125" s="9">
        <v>987878871</v>
      </c>
      <c r="E125" s="5" t="s">
        <v>3003</v>
      </c>
      <c r="F125" s="1" t="s">
        <v>3004</v>
      </c>
      <c r="G125" s="25">
        <v>44361</v>
      </c>
      <c r="H125" s="1" t="s">
        <v>3355</v>
      </c>
      <c r="I125" s="14" t="s">
        <v>2841</v>
      </c>
      <c r="J125" s="1" t="s">
        <v>3006</v>
      </c>
      <c r="K125" s="14" t="s">
        <v>3007</v>
      </c>
      <c r="L125" s="1" t="s">
        <v>3008</v>
      </c>
      <c r="M125" s="1" t="s">
        <v>3016</v>
      </c>
      <c r="N125" s="1">
        <v>506</v>
      </c>
      <c r="O125" s="1" t="s">
        <v>976</v>
      </c>
      <c r="P125" s="5">
        <v>72.8</v>
      </c>
      <c r="Q125" s="5">
        <v>0</v>
      </c>
      <c r="R125" s="5">
        <v>59.9</v>
      </c>
      <c r="S125" s="5">
        <v>12.9</v>
      </c>
      <c r="T125" s="5">
        <v>41</v>
      </c>
      <c r="U125" s="5" t="s">
        <v>2472</v>
      </c>
      <c r="V125" s="5" t="s">
        <v>826</v>
      </c>
      <c r="AB125"/>
      <c r="AC125"/>
      <c r="AD125"/>
    </row>
    <row r="126" spans="1:30" x14ac:dyDescent="0.25">
      <c r="A126" t="s">
        <v>3356</v>
      </c>
      <c r="B126" t="s">
        <v>3357</v>
      </c>
      <c r="C126" s="9" t="s">
        <v>3358</v>
      </c>
      <c r="D126" s="9">
        <v>988392547</v>
      </c>
      <c r="E126" s="5" t="s">
        <v>3003</v>
      </c>
      <c r="F126" s="1" t="s">
        <v>3004</v>
      </c>
      <c r="G126" s="25">
        <v>44331</v>
      </c>
      <c r="H126" s="1" t="s">
        <v>3075</v>
      </c>
      <c r="I126" s="14" t="s">
        <v>2791</v>
      </c>
      <c r="J126" s="1" t="s">
        <v>3006</v>
      </c>
      <c r="K126" s="14" t="s">
        <v>3007</v>
      </c>
      <c r="L126" s="1" t="s">
        <v>3008</v>
      </c>
      <c r="M126" s="1" t="s">
        <v>3009</v>
      </c>
      <c r="N126" s="1">
        <v>419</v>
      </c>
      <c r="O126" s="1" t="s">
        <v>976</v>
      </c>
      <c r="P126" s="5">
        <v>1216.77</v>
      </c>
      <c r="Q126" s="5">
        <v>0</v>
      </c>
      <c r="R126" s="5">
        <v>1200</v>
      </c>
      <c r="S126" s="5">
        <v>16.77</v>
      </c>
      <c r="T126" s="5" t="s">
        <v>22</v>
      </c>
      <c r="U126" s="5" t="s">
        <v>2443</v>
      </c>
      <c r="V126" s="5" t="s">
        <v>763</v>
      </c>
      <c r="AB126"/>
      <c r="AC126"/>
      <c r="AD126"/>
    </row>
    <row r="127" spans="1:30" x14ac:dyDescent="0.25">
      <c r="A127" t="s">
        <v>3359</v>
      </c>
      <c r="B127" t="s">
        <v>3360</v>
      </c>
      <c r="C127" s="9" t="s">
        <v>3361</v>
      </c>
      <c r="D127" s="9" t="s">
        <v>3362</v>
      </c>
      <c r="E127" s="5" t="s">
        <v>3003</v>
      </c>
      <c r="F127" s="1" t="s">
        <v>3035</v>
      </c>
      <c r="G127" s="25">
        <v>44500</v>
      </c>
      <c r="H127" s="1" t="s">
        <v>3363</v>
      </c>
      <c r="I127" s="14" t="s">
        <v>308</v>
      </c>
      <c r="J127" s="1" t="s">
        <v>3006</v>
      </c>
      <c r="K127" s="14" t="s">
        <v>3007</v>
      </c>
      <c r="L127" s="1" t="s">
        <v>3008</v>
      </c>
      <c r="M127" s="1" t="s">
        <v>3016</v>
      </c>
      <c r="N127" s="1">
        <v>1145</v>
      </c>
      <c r="O127" s="1" t="s">
        <v>976</v>
      </c>
      <c r="P127" s="5">
        <v>0</v>
      </c>
      <c r="Q127" s="5">
        <v>790</v>
      </c>
      <c r="R127" s="5">
        <v>790</v>
      </c>
      <c r="S127" s="5">
        <v>0</v>
      </c>
      <c r="T127" s="5" t="s">
        <v>22</v>
      </c>
      <c r="V127" s="5" t="s">
        <v>308</v>
      </c>
      <c r="AB127"/>
      <c r="AC127"/>
      <c r="AD127"/>
    </row>
    <row r="128" spans="1:30" x14ac:dyDescent="0.25">
      <c r="A128" t="s">
        <v>3359</v>
      </c>
      <c r="B128" t="s">
        <v>3360</v>
      </c>
      <c r="C128" s="9" t="s">
        <v>3361</v>
      </c>
      <c r="D128" s="9" t="s">
        <v>3362</v>
      </c>
      <c r="E128" s="5" t="s">
        <v>3003</v>
      </c>
      <c r="F128" s="1" t="s">
        <v>3035</v>
      </c>
      <c r="G128" s="25">
        <v>44541</v>
      </c>
      <c r="H128" s="1" t="s">
        <v>3364</v>
      </c>
      <c r="I128" s="14" t="s">
        <v>415</v>
      </c>
      <c r="J128" s="1" t="s">
        <v>3006</v>
      </c>
      <c r="K128" s="14" t="s">
        <v>3007</v>
      </c>
      <c r="L128" s="1" t="s">
        <v>3008</v>
      </c>
      <c r="M128" s="1" t="s">
        <v>3016</v>
      </c>
      <c r="N128" s="1">
        <v>1423</v>
      </c>
      <c r="O128" s="1" t="s">
        <v>976</v>
      </c>
      <c r="P128" s="5">
        <v>0.01</v>
      </c>
      <c r="Q128" s="5">
        <v>869.99</v>
      </c>
      <c r="R128" s="5">
        <v>870</v>
      </c>
      <c r="S128" s="5">
        <v>0</v>
      </c>
      <c r="T128" s="5">
        <v>39</v>
      </c>
      <c r="V128" s="5" t="s">
        <v>415</v>
      </c>
      <c r="AB128"/>
      <c r="AC128"/>
      <c r="AD128"/>
    </row>
    <row r="129" spans="1:30" x14ac:dyDescent="0.25">
      <c r="A129" t="s">
        <v>3365</v>
      </c>
      <c r="B129" t="s">
        <v>3366</v>
      </c>
      <c r="C129" s="9" t="s">
        <v>3367</v>
      </c>
      <c r="D129" s="9">
        <v>988199891</v>
      </c>
      <c r="E129" s="5" t="s">
        <v>3133</v>
      </c>
      <c r="F129" s="1" t="s">
        <v>3368</v>
      </c>
      <c r="G129" s="25">
        <v>44493</v>
      </c>
      <c r="H129" s="1" t="s">
        <v>3075</v>
      </c>
      <c r="I129" s="14" t="s">
        <v>2791</v>
      </c>
      <c r="J129" s="1" t="s">
        <v>3006</v>
      </c>
      <c r="K129" s="14" t="s">
        <v>3007</v>
      </c>
      <c r="L129" s="1" t="s">
        <v>3008</v>
      </c>
      <c r="M129" s="1" t="s">
        <v>3009</v>
      </c>
      <c r="N129" s="1">
        <v>1107</v>
      </c>
      <c r="O129" s="1" t="s">
        <v>976</v>
      </c>
      <c r="P129" s="5">
        <v>1228.3800000000001</v>
      </c>
      <c r="Q129" s="5">
        <v>133</v>
      </c>
      <c r="R129" s="5">
        <v>1330</v>
      </c>
      <c r="S129" s="5">
        <v>31.38</v>
      </c>
      <c r="T129" s="5" t="s">
        <v>22</v>
      </c>
      <c r="U129" s="5" t="s">
        <v>2443</v>
      </c>
      <c r="V129" s="5" t="s">
        <v>763</v>
      </c>
      <c r="AB129"/>
      <c r="AC129"/>
      <c r="AD129"/>
    </row>
    <row r="130" spans="1:30" x14ac:dyDescent="0.25">
      <c r="A130" t="s">
        <v>3365</v>
      </c>
      <c r="B130" t="s">
        <v>3366</v>
      </c>
      <c r="C130" s="9" t="s">
        <v>3367</v>
      </c>
      <c r="D130" s="9">
        <v>988199891</v>
      </c>
      <c r="E130" s="5" t="s">
        <v>3133</v>
      </c>
      <c r="F130" s="1" t="s">
        <v>3368</v>
      </c>
      <c r="G130" s="25">
        <v>44493</v>
      </c>
      <c r="H130" s="1" t="s">
        <v>3369</v>
      </c>
      <c r="I130" s="14" t="s">
        <v>419</v>
      </c>
      <c r="J130" s="1" t="s">
        <v>3006</v>
      </c>
      <c r="K130" s="14" t="s">
        <v>3007</v>
      </c>
      <c r="L130" s="1" t="s">
        <v>3008</v>
      </c>
      <c r="M130" s="1" t="s">
        <v>3009</v>
      </c>
      <c r="N130" s="1">
        <v>1107</v>
      </c>
      <c r="O130" s="1" t="s">
        <v>976</v>
      </c>
      <c r="P130" s="5">
        <v>803.52</v>
      </c>
      <c r="Q130" s="5">
        <v>87</v>
      </c>
      <c r="R130" s="5">
        <v>870</v>
      </c>
      <c r="S130" s="5">
        <v>20.52</v>
      </c>
      <c r="T130" s="5">
        <v>43</v>
      </c>
      <c r="V130" s="5" t="s">
        <v>419</v>
      </c>
      <c r="AB130"/>
      <c r="AC130"/>
      <c r="AD130"/>
    </row>
    <row r="131" spans="1:30" x14ac:dyDescent="0.25">
      <c r="A131" t="s">
        <v>3370</v>
      </c>
      <c r="B131" t="s">
        <v>3371</v>
      </c>
      <c r="C131" s="9" t="s">
        <v>3372</v>
      </c>
      <c r="D131" s="9" t="s">
        <v>3373</v>
      </c>
      <c r="E131" s="5" t="s">
        <v>3041</v>
      </c>
      <c r="F131" s="1" t="s">
        <v>3042</v>
      </c>
      <c r="G131" s="25">
        <v>44566</v>
      </c>
      <c r="H131" s="1" t="s">
        <v>3374</v>
      </c>
      <c r="I131" s="14" t="s">
        <v>551</v>
      </c>
      <c r="J131" s="1" t="s">
        <v>3006</v>
      </c>
      <c r="K131" s="14" t="s">
        <v>3007</v>
      </c>
      <c r="L131" s="1" t="s">
        <v>3008</v>
      </c>
      <c r="M131" s="1" t="s">
        <v>3016</v>
      </c>
      <c r="N131" s="1">
        <v>1584</v>
      </c>
      <c r="O131" s="1" t="s">
        <v>976</v>
      </c>
      <c r="P131" s="5">
        <v>913.75</v>
      </c>
      <c r="Q131" s="5">
        <v>0</v>
      </c>
      <c r="R131" s="5">
        <v>890</v>
      </c>
      <c r="S131" s="5">
        <v>23.75</v>
      </c>
      <c r="T131" s="5" t="s">
        <v>23</v>
      </c>
      <c r="V131" s="5" t="s">
        <v>551</v>
      </c>
      <c r="AB131"/>
      <c r="AC131"/>
      <c r="AD131"/>
    </row>
    <row r="132" spans="1:30" x14ac:dyDescent="0.25">
      <c r="A132" t="s">
        <v>3375</v>
      </c>
      <c r="B132" t="s">
        <v>3376</v>
      </c>
      <c r="C132" s="9" t="s">
        <v>3377</v>
      </c>
      <c r="D132" s="9">
        <v>999811900</v>
      </c>
      <c r="E132" s="5" t="s">
        <v>3073</v>
      </c>
      <c r="F132" s="1" t="s">
        <v>3378</v>
      </c>
      <c r="G132" s="25">
        <v>44500</v>
      </c>
      <c r="H132" s="1" t="s">
        <v>3379</v>
      </c>
      <c r="I132" s="14" t="s">
        <v>302</v>
      </c>
      <c r="J132" s="1" t="s">
        <v>3006</v>
      </c>
      <c r="K132" s="14" t="s">
        <v>3007</v>
      </c>
      <c r="L132" s="1" t="s">
        <v>3008</v>
      </c>
      <c r="M132" s="1" t="s">
        <v>3016</v>
      </c>
      <c r="N132" s="1">
        <v>1141</v>
      </c>
      <c r="O132" s="1" t="s">
        <v>976</v>
      </c>
      <c r="P132" s="5">
        <v>824.12</v>
      </c>
      <c r="Q132" s="5">
        <v>0</v>
      </c>
      <c r="R132" s="5">
        <v>790</v>
      </c>
      <c r="S132" s="5">
        <v>34.119999999999997</v>
      </c>
      <c r="T132" s="5" t="s">
        <v>23</v>
      </c>
      <c r="V132" s="5" t="s">
        <v>302</v>
      </c>
      <c r="AB132"/>
      <c r="AC132"/>
      <c r="AD132"/>
    </row>
    <row r="133" spans="1:30" x14ac:dyDescent="0.25">
      <c r="A133" t="s">
        <v>3380</v>
      </c>
      <c r="B133" t="s">
        <v>3381</v>
      </c>
      <c r="C133" s="9" t="s">
        <v>3382</v>
      </c>
      <c r="D133" s="9">
        <v>948417750</v>
      </c>
      <c r="E133" s="5" t="s">
        <v>3003</v>
      </c>
      <c r="F133" s="1" t="s">
        <v>3004</v>
      </c>
      <c r="G133" s="25">
        <v>44525</v>
      </c>
      <c r="H133" s="1" t="s">
        <v>3015</v>
      </c>
      <c r="I133" s="14" t="s">
        <v>252</v>
      </c>
      <c r="J133" s="1" t="s">
        <v>3006</v>
      </c>
      <c r="K133" s="14" t="s">
        <v>3007</v>
      </c>
      <c r="L133" s="1" t="s">
        <v>3008</v>
      </c>
      <c r="M133" s="1" t="s">
        <v>3009</v>
      </c>
      <c r="N133" s="1">
        <v>1283</v>
      </c>
      <c r="O133" s="1" t="s">
        <v>976</v>
      </c>
      <c r="P133" s="5">
        <v>1242</v>
      </c>
      <c r="Q133" s="5">
        <v>138</v>
      </c>
      <c r="R133" s="5">
        <v>1380</v>
      </c>
      <c r="S133" s="5">
        <v>0</v>
      </c>
      <c r="T133" s="5" t="s">
        <v>22</v>
      </c>
      <c r="V133" s="5" t="s">
        <v>252</v>
      </c>
      <c r="AB133"/>
      <c r="AC133"/>
      <c r="AD133"/>
    </row>
    <row r="134" spans="1:30" x14ac:dyDescent="0.25">
      <c r="A134" t="s">
        <v>3383</v>
      </c>
      <c r="B134" t="s">
        <v>3384</v>
      </c>
      <c r="C134" s="9" t="s">
        <v>3385</v>
      </c>
      <c r="D134" s="9" t="s">
        <v>3386</v>
      </c>
      <c r="E134" s="5" t="s">
        <v>3003</v>
      </c>
      <c r="F134" s="1" t="s">
        <v>3004</v>
      </c>
      <c r="G134" s="25">
        <v>44421</v>
      </c>
      <c r="H134" s="1" t="s">
        <v>3387</v>
      </c>
      <c r="I134" s="14" t="s">
        <v>550</v>
      </c>
      <c r="J134" s="1" t="s">
        <v>3006</v>
      </c>
      <c r="K134" s="14" t="s">
        <v>3007</v>
      </c>
      <c r="L134" s="1" t="s">
        <v>3008</v>
      </c>
      <c r="M134" s="1" t="s">
        <v>3009</v>
      </c>
      <c r="N134" s="1">
        <v>769</v>
      </c>
      <c r="O134" s="1" t="s">
        <v>976</v>
      </c>
      <c r="P134" s="5">
        <v>315</v>
      </c>
      <c r="Q134" s="5">
        <v>575</v>
      </c>
      <c r="R134" s="5">
        <v>890</v>
      </c>
      <c r="S134" s="5">
        <v>0</v>
      </c>
      <c r="T134" s="5" t="s">
        <v>24</v>
      </c>
      <c r="V134" s="5" t="s">
        <v>550</v>
      </c>
      <c r="AB134"/>
      <c r="AC134"/>
      <c r="AD134"/>
    </row>
    <row r="135" spans="1:30" x14ac:dyDescent="0.25">
      <c r="A135" t="s">
        <v>3388</v>
      </c>
      <c r="B135" t="s">
        <v>3389</v>
      </c>
      <c r="C135" s="9" t="s">
        <v>3390</v>
      </c>
      <c r="D135" s="9">
        <v>958212030</v>
      </c>
      <c r="E135" s="5" t="s">
        <v>3107</v>
      </c>
      <c r="F135" s="1" t="s">
        <v>3391</v>
      </c>
      <c r="G135" s="25">
        <v>44381</v>
      </c>
      <c r="H135" s="1" t="s">
        <v>3392</v>
      </c>
      <c r="I135" s="14" t="s">
        <v>297</v>
      </c>
      <c r="J135" s="1" t="s">
        <v>3006</v>
      </c>
      <c r="K135" s="14" t="s">
        <v>3007</v>
      </c>
      <c r="L135" s="1" t="s">
        <v>3008</v>
      </c>
      <c r="M135" s="1" t="s">
        <v>3016</v>
      </c>
      <c r="N135" s="1">
        <v>582</v>
      </c>
      <c r="O135" s="1" t="s">
        <v>976</v>
      </c>
      <c r="P135" s="5">
        <v>640.37</v>
      </c>
      <c r="Q135" s="5">
        <v>0</v>
      </c>
      <c r="R135" s="5">
        <v>615</v>
      </c>
      <c r="S135" s="5">
        <v>25.37</v>
      </c>
      <c r="T135" s="5" t="s">
        <v>23</v>
      </c>
      <c r="V135" s="5" t="s">
        <v>297</v>
      </c>
      <c r="AB135"/>
      <c r="AC135"/>
      <c r="AD135"/>
    </row>
    <row r="136" spans="1:30" x14ac:dyDescent="0.25">
      <c r="A136" t="s">
        <v>3393</v>
      </c>
      <c r="B136" t="s">
        <v>3394</v>
      </c>
      <c r="C136" s="9" t="s">
        <v>3395</v>
      </c>
      <c r="D136" s="9" t="s">
        <v>3396</v>
      </c>
      <c r="E136" s="5" t="s">
        <v>3003</v>
      </c>
      <c r="F136" s="1" t="s">
        <v>3004</v>
      </c>
      <c r="G136" s="25">
        <v>44255</v>
      </c>
      <c r="H136" s="1" t="s">
        <v>3397</v>
      </c>
      <c r="I136" s="14" t="s">
        <v>2768</v>
      </c>
      <c r="J136" s="1" t="s">
        <v>3006</v>
      </c>
      <c r="K136" s="14" t="s">
        <v>3007</v>
      </c>
      <c r="L136" s="1" t="s">
        <v>3008</v>
      </c>
      <c r="M136" s="1" t="s">
        <v>3009</v>
      </c>
      <c r="N136" s="1">
        <v>248</v>
      </c>
      <c r="O136" s="1" t="s">
        <v>976</v>
      </c>
      <c r="P136" s="5">
        <v>599</v>
      </c>
      <c r="Q136" s="5">
        <v>0</v>
      </c>
      <c r="R136" s="5">
        <v>599</v>
      </c>
      <c r="S136" s="5">
        <v>0</v>
      </c>
      <c r="T136" s="5" t="s">
        <v>23</v>
      </c>
      <c r="U136" s="5" t="s">
        <v>2482</v>
      </c>
      <c r="V136" s="5" t="s">
        <v>726</v>
      </c>
      <c r="AB136"/>
      <c r="AC136"/>
      <c r="AD136"/>
    </row>
    <row r="137" spans="1:30" x14ac:dyDescent="0.25">
      <c r="A137" t="s">
        <v>3393</v>
      </c>
      <c r="B137" t="s">
        <v>3394</v>
      </c>
      <c r="C137" s="9" t="s">
        <v>3395</v>
      </c>
      <c r="D137" s="9" t="s">
        <v>3396</v>
      </c>
      <c r="E137" s="5" t="s">
        <v>3003</v>
      </c>
      <c r="F137" s="1" t="s">
        <v>3004</v>
      </c>
      <c r="G137" s="25">
        <v>44255</v>
      </c>
      <c r="H137" s="1" t="s">
        <v>3398</v>
      </c>
      <c r="I137" s="14" t="s">
        <v>1159</v>
      </c>
      <c r="J137" s="1" t="s">
        <v>3006</v>
      </c>
      <c r="K137" s="14" t="s">
        <v>3007</v>
      </c>
      <c r="L137" s="1" t="s">
        <v>3008</v>
      </c>
      <c r="M137" s="1" t="s">
        <v>3009</v>
      </c>
      <c r="N137" s="1">
        <v>248</v>
      </c>
      <c r="O137" s="1" t="s">
        <v>976</v>
      </c>
      <c r="P137" s="5">
        <v>440</v>
      </c>
      <c r="Q137" s="5">
        <v>0</v>
      </c>
      <c r="R137" s="5">
        <v>440</v>
      </c>
      <c r="S137" s="5">
        <v>0</v>
      </c>
      <c r="T137" s="5" t="s">
        <v>23</v>
      </c>
      <c r="U137" s="5" t="s">
        <v>2579</v>
      </c>
      <c r="V137" s="5" t="s">
        <v>733</v>
      </c>
      <c r="AB137"/>
      <c r="AC137"/>
      <c r="AD137"/>
    </row>
    <row r="138" spans="1:30" x14ac:dyDescent="0.25">
      <c r="A138" t="s">
        <v>3393</v>
      </c>
      <c r="B138" t="s">
        <v>3394</v>
      </c>
      <c r="C138" s="9" t="s">
        <v>3395</v>
      </c>
      <c r="D138" s="9" t="s">
        <v>3396</v>
      </c>
      <c r="E138" s="5" t="s">
        <v>3003</v>
      </c>
      <c r="F138" s="1" t="s">
        <v>3004</v>
      </c>
      <c r="G138" s="25">
        <v>44255</v>
      </c>
      <c r="H138" s="1" t="s">
        <v>3399</v>
      </c>
      <c r="I138" s="14" t="s">
        <v>2769</v>
      </c>
      <c r="J138" s="1" t="s">
        <v>3006</v>
      </c>
      <c r="K138" s="14" t="s">
        <v>3007</v>
      </c>
      <c r="L138" s="1" t="s">
        <v>3008</v>
      </c>
      <c r="M138" s="1" t="s">
        <v>3009</v>
      </c>
      <c r="N138" s="1">
        <v>248</v>
      </c>
      <c r="O138" s="1" t="s">
        <v>976</v>
      </c>
      <c r="P138" s="5">
        <v>490</v>
      </c>
      <c r="Q138" s="5">
        <v>0</v>
      </c>
      <c r="R138" s="5">
        <v>490</v>
      </c>
      <c r="S138" s="5">
        <v>0</v>
      </c>
      <c r="T138" s="5" t="s">
        <v>23</v>
      </c>
      <c r="U138" s="5" t="s">
        <v>2472</v>
      </c>
      <c r="V138" s="5" t="s">
        <v>747</v>
      </c>
      <c r="AB138"/>
      <c r="AC138"/>
      <c r="AD138"/>
    </row>
    <row r="139" spans="1:30" x14ac:dyDescent="0.25">
      <c r="A139" t="s">
        <v>3400</v>
      </c>
      <c r="B139" t="s">
        <v>3401</v>
      </c>
      <c r="C139" s="9" t="s">
        <v>3402</v>
      </c>
      <c r="D139" s="9" t="s">
        <v>3403</v>
      </c>
      <c r="E139" s="5" t="s">
        <v>3003</v>
      </c>
      <c r="F139" s="1" t="s">
        <v>3004</v>
      </c>
      <c r="G139" s="25">
        <v>44573</v>
      </c>
      <c r="H139" s="1" t="s">
        <v>3404</v>
      </c>
      <c r="I139" s="14" t="s">
        <v>2877</v>
      </c>
      <c r="J139" s="1" t="s">
        <v>3006</v>
      </c>
      <c r="K139" s="14" t="s">
        <v>3007</v>
      </c>
      <c r="L139" s="1" t="s">
        <v>3008</v>
      </c>
      <c r="M139" s="1" t="s">
        <v>3016</v>
      </c>
      <c r="N139" s="1">
        <v>1629</v>
      </c>
      <c r="O139" s="1" t="s">
        <v>976</v>
      </c>
      <c r="P139" s="5">
        <v>870</v>
      </c>
      <c r="Q139" s="5">
        <v>0</v>
      </c>
      <c r="R139" s="5">
        <v>870</v>
      </c>
      <c r="S139" s="5">
        <v>0</v>
      </c>
      <c r="T139" s="5" t="s">
        <v>22</v>
      </c>
      <c r="U139" s="5" t="s">
        <v>2443</v>
      </c>
      <c r="V139" s="5" t="s">
        <v>884</v>
      </c>
      <c r="AB139"/>
      <c r="AC139"/>
      <c r="AD139"/>
    </row>
    <row r="140" spans="1:30" x14ac:dyDescent="0.25">
      <c r="A140" t="s">
        <v>3405</v>
      </c>
      <c r="B140" t="s">
        <v>3406</v>
      </c>
      <c r="C140" s="9" t="s">
        <v>3407</v>
      </c>
      <c r="D140" s="9" t="s">
        <v>3408</v>
      </c>
      <c r="E140" s="5" t="s">
        <v>3003</v>
      </c>
      <c r="F140" s="1" t="s">
        <v>3004</v>
      </c>
      <c r="G140" s="25">
        <v>44326</v>
      </c>
      <c r="H140" s="1" t="s">
        <v>3409</v>
      </c>
      <c r="I140" s="14" t="s">
        <v>392</v>
      </c>
      <c r="J140" s="1" t="s">
        <v>3006</v>
      </c>
      <c r="K140" s="14" t="s">
        <v>3007</v>
      </c>
      <c r="L140" s="1" t="s">
        <v>3008</v>
      </c>
      <c r="M140" s="1" t="s">
        <v>3009</v>
      </c>
      <c r="N140" s="1">
        <v>398</v>
      </c>
      <c r="O140" s="1" t="s">
        <v>976</v>
      </c>
      <c r="P140" s="5">
        <v>830</v>
      </c>
      <c r="Q140" s="5">
        <v>0</v>
      </c>
      <c r="R140" s="5">
        <v>830</v>
      </c>
      <c r="S140" s="5">
        <v>0</v>
      </c>
      <c r="T140" s="5">
        <v>36</v>
      </c>
      <c r="V140" s="5" t="s">
        <v>392</v>
      </c>
      <c r="AB140"/>
      <c r="AC140"/>
      <c r="AD140"/>
    </row>
    <row r="141" spans="1:30" x14ac:dyDescent="0.25">
      <c r="A141" t="s">
        <v>3405</v>
      </c>
      <c r="B141" t="s">
        <v>3406</v>
      </c>
      <c r="C141" s="9" t="s">
        <v>3407</v>
      </c>
      <c r="D141" s="9" t="s">
        <v>3408</v>
      </c>
      <c r="E141" s="5" t="s">
        <v>3003</v>
      </c>
      <c r="F141" s="1" t="s">
        <v>3004</v>
      </c>
      <c r="G141" s="25">
        <v>44393</v>
      </c>
      <c r="H141" s="1" t="s">
        <v>3410</v>
      </c>
      <c r="I141" s="14" t="s">
        <v>2792</v>
      </c>
      <c r="J141" s="1" t="s">
        <v>3006</v>
      </c>
      <c r="K141" s="14" t="s">
        <v>3007</v>
      </c>
      <c r="L141" s="1" t="s">
        <v>3008</v>
      </c>
      <c r="M141" s="1" t="s">
        <v>3016</v>
      </c>
      <c r="N141" s="1">
        <v>640</v>
      </c>
      <c r="O141" s="1" t="s">
        <v>976</v>
      </c>
      <c r="P141" s="5">
        <v>1200</v>
      </c>
      <c r="Q141" s="5">
        <v>0</v>
      </c>
      <c r="R141" s="5">
        <v>1200</v>
      </c>
      <c r="S141" s="5">
        <v>0</v>
      </c>
      <c r="T141" s="5" t="s">
        <v>22</v>
      </c>
      <c r="U141" s="5" t="s">
        <v>2727</v>
      </c>
      <c r="V141" s="5" t="s">
        <v>764</v>
      </c>
      <c r="AB141"/>
      <c r="AC141"/>
      <c r="AD141"/>
    </row>
    <row r="142" spans="1:30" x14ac:dyDescent="0.25">
      <c r="A142" t="s">
        <v>3405</v>
      </c>
      <c r="B142" t="s">
        <v>3406</v>
      </c>
      <c r="C142" s="9" t="s">
        <v>3407</v>
      </c>
      <c r="D142" s="9" t="s">
        <v>3408</v>
      </c>
      <c r="E142" s="5" t="s">
        <v>3003</v>
      </c>
      <c r="F142" s="1" t="s">
        <v>3004</v>
      </c>
      <c r="G142" s="25">
        <v>44393</v>
      </c>
      <c r="H142" s="1" t="s">
        <v>3411</v>
      </c>
      <c r="I142" s="14" t="s">
        <v>2802</v>
      </c>
      <c r="J142" s="1" t="s">
        <v>3006</v>
      </c>
      <c r="K142" s="14" t="s">
        <v>3007</v>
      </c>
      <c r="L142" s="1" t="s">
        <v>3008</v>
      </c>
      <c r="M142" s="1" t="s">
        <v>3016</v>
      </c>
      <c r="N142" s="1">
        <v>640</v>
      </c>
      <c r="O142" s="1" t="s">
        <v>976</v>
      </c>
      <c r="P142" s="5">
        <v>969</v>
      </c>
      <c r="Q142" s="5">
        <v>231</v>
      </c>
      <c r="R142" s="5">
        <v>1200</v>
      </c>
      <c r="S142" s="5">
        <v>0</v>
      </c>
      <c r="T142" s="5" t="s">
        <v>5575</v>
      </c>
      <c r="U142" s="5" t="s">
        <v>2463</v>
      </c>
      <c r="V142" s="5" t="s">
        <v>770</v>
      </c>
      <c r="AB142"/>
      <c r="AC142"/>
      <c r="AD142"/>
    </row>
    <row r="143" spans="1:30" x14ac:dyDescent="0.25">
      <c r="A143" t="s">
        <v>3412</v>
      </c>
      <c r="B143" t="s">
        <v>3413</v>
      </c>
      <c r="C143" s="9" t="s">
        <v>3414</v>
      </c>
      <c r="D143" s="9" t="s">
        <v>3415</v>
      </c>
      <c r="E143" s="5" t="s">
        <v>3003</v>
      </c>
      <c r="F143" s="1" t="s">
        <v>3004</v>
      </c>
      <c r="G143" s="25">
        <v>44554</v>
      </c>
      <c r="H143" s="1" t="s">
        <v>3416</v>
      </c>
      <c r="I143" s="14" t="s">
        <v>1415</v>
      </c>
      <c r="J143" s="1" t="s">
        <v>3006</v>
      </c>
      <c r="K143" s="14" t="s">
        <v>3007</v>
      </c>
      <c r="L143" s="1" t="s">
        <v>3008</v>
      </c>
      <c r="M143" s="1" t="s">
        <v>3009</v>
      </c>
      <c r="N143" s="1">
        <v>1546</v>
      </c>
      <c r="O143" s="1" t="s">
        <v>976</v>
      </c>
      <c r="P143" s="5">
        <v>390</v>
      </c>
      <c r="Q143" s="5">
        <v>0</v>
      </c>
      <c r="R143" s="5">
        <v>390</v>
      </c>
      <c r="S143" s="5">
        <v>0</v>
      </c>
      <c r="T143" s="5" t="s">
        <v>22</v>
      </c>
      <c r="U143" s="5" t="s">
        <v>2495</v>
      </c>
      <c r="V143" s="5" t="s">
        <v>843</v>
      </c>
      <c r="AB143"/>
      <c r="AC143"/>
      <c r="AD143"/>
    </row>
    <row r="144" spans="1:30" x14ac:dyDescent="0.25">
      <c r="A144" t="s">
        <v>3417</v>
      </c>
      <c r="B144" t="s">
        <v>3418</v>
      </c>
      <c r="C144" s="9" t="s">
        <v>3419</v>
      </c>
      <c r="D144" s="9">
        <v>938021458</v>
      </c>
      <c r="E144" s="5" t="s">
        <v>3420</v>
      </c>
      <c r="F144" s="1" t="s">
        <v>3421</v>
      </c>
      <c r="G144" s="25">
        <v>44407</v>
      </c>
      <c r="H144" s="1" t="s">
        <v>3298</v>
      </c>
      <c r="I144" s="14" t="s">
        <v>557</v>
      </c>
      <c r="J144" s="1" t="s">
        <v>3006</v>
      </c>
      <c r="K144" s="14" t="s">
        <v>3007</v>
      </c>
      <c r="L144" s="1" t="s">
        <v>3008</v>
      </c>
      <c r="M144" s="1" t="s">
        <v>3009</v>
      </c>
      <c r="N144" s="1">
        <v>712</v>
      </c>
      <c r="O144" s="1" t="s">
        <v>976</v>
      </c>
      <c r="P144" s="5">
        <v>202.74</v>
      </c>
      <c r="Q144" s="5">
        <v>0</v>
      </c>
      <c r="R144" s="5">
        <v>180</v>
      </c>
      <c r="S144" s="5">
        <v>22.74</v>
      </c>
      <c r="T144" s="5" t="s">
        <v>24</v>
      </c>
      <c r="V144" s="5" t="s">
        <v>557</v>
      </c>
      <c r="AB144"/>
      <c r="AC144"/>
      <c r="AD144"/>
    </row>
    <row r="145" spans="1:30" x14ac:dyDescent="0.25">
      <c r="A145" t="s">
        <v>3422</v>
      </c>
      <c r="B145" t="s">
        <v>3423</v>
      </c>
      <c r="C145" s="9" t="s">
        <v>3424</v>
      </c>
      <c r="D145" s="9" t="s">
        <v>3425</v>
      </c>
      <c r="E145" s="5" t="s">
        <v>3041</v>
      </c>
      <c r="F145" s="1" t="s">
        <v>3042</v>
      </c>
      <c r="G145" s="25">
        <v>44306</v>
      </c>
      <c r="H145" s="1" t="s">
        <v>3426</v>
      </c>
      <c r="I145" s="14" t="s">
        <v>2851</v>
      </c>
      <c r="J145" s="1" t="s">
        <v>3006</v>
      </c>
      <c r="K145" s="14" t="s">
        <v>3007</v>
      </c>
      <c r="L145" s="1" t="s">
        <v>3008</v>
      </c>
      <c r="M145" s="1" t="s">
        <v>3009</v>
      </c>
      <c r="N145" s="1">
        <v>330</v>
      </c>
      <c r="O145" s="1" t="s">
        <v>976</v>
      </c>
      <c r="P145" s="5">
        <v>595</v>
      </c>
      <c r="Q145" s="5">
        <v>0</v>
      </c>
      <c r="R145" s="5">
        <v>595</v>
      </c>
      <c r="S145" s="5">
        <v>0</v>
      </c>
      <c r="T145" s="5" t="s">
        <v>23</v>
      </c>
      <c r="U145" s="5" t="s">
        <v>2443</v>
      </c>
      <c r="V145" s="5" t="s">
        <v>872</v>
      </c>
      <c r="AB145"/>
      <c r="AC145"/>
      <c r="AD145"/>
    </row>
    <row r="146" spans="1:30" x14ac:dyDescent="0.25">
      <c r="A146" t="s">
        <v>3427</v>
      </c>
      <c r="B146" t="s">
        <v>3428</v>
      </c>
      <c r="C146" s="9" t="s">
        <v>3429</v>
      </c>
      <c r="D146" s="9" t="s">
        <v>3430</v>
      </c>
      <c r="E146" s="5" t="s">
        <v>3003</v>
      </c>
      <c r="F146" s="1" t="s">
        <v>3004</v>
      </c>
      <c r="G146" s="25">
        <v>44525</v>
      </c>
      <c r="H146" s="1" t="s">
        <v>3244</v>
      </c>
      <c r="I146" s="14" t="s">
        <v>2791</v>
      </c>
      <c r="J146" s="1" t="s">
        <v>3006</v>
      </c>
      <c r="K146" s="14" t="s">
        <v>3007</v>
      </c>
      <c r="L146" s="1" t="s">
        <v>3008</v>
      </c>
      <c r="M146" s="1" t="s">
        <v>3009</v>
      </c>
      <c r="N146" s="1">
        <v>1281</v>
      </c>
      <c r="O146" s="1" t="s">
        <v>976</v>
      </c>
      <c r="P146" s="5">
        <v>1380</v>
      </c>
      <c r="Q146" s="5">
        <v>0</v>
      </c>
      <c r="R146" s="5">
        <v>1380</v>
      </c>
      <c r="S146" s="5">
        <v>0</v>
      </c>
      <c r="T146" s="5" t="s">
        <v>22</v>
      </c>
      <c r="U146" s="5" t="s">
        <v>2447</v>
      </c>
      <c r="V146" s="5" t="s">
        <v>762</v>
      </c>
      <c r="AB146"/>
      <c r="AC146"/>
      <c r="AD146"/>
    </row>
    <row r="147" spans="1:30" x14ac:dyDescent="0.25">
      <c r="A147" t="s">
        <v>3427</v>
      </c>
      <c r="B147" t="s">
        <v>3428</v>
      </c>
      <c r="C147" s="9" t="s">
        <v>3429</v>
      </c>
      <c r="D147" s="9" t="s">
        <v>3430</v>
      </c>
      <c r="E147" s="5" t="s">
        <v>3003</v>
      </c>
      <c r="F147" s="1" t="s">
        <v>3004</v>
      </c>
      <c r="G147" s="25">
        <v>44525</v>
      </c>
      <c r="H147" s="1" t="s">
        <v>3298</v>
      </c>
      <c r="I147" s="14" t="s">
        <v>557</v>
      </c>
      <c r="J147" s="1" t="s">
        <v>3006</v>
      </c>
      <c r="K147" s="14" t="s">
        <v>3007</v>
      </c>
      <c r="L147" s="1" t="s">
        <v>3008</v>
      </c>
      <c r="M147" s="1" t="s">
        <v>3009</v>
      </c>
      <c r="N147" s="1">
        <v>1281</v>
      </c>
      <c r="O147" s="1" t="s">
        <v>976</v>
      </c>
      <c r="P147" s="5">
        <v>180</v>
      </c>
      <c r="Q147" s="5">
        <v>0</v>
      </c>
      <c r="R147" s="5">
        <v>180</v>
      </c>
      <c r="S147" s="5">
        <v>0</v>
      </c>
      <c r="T147" s="5" t="s">
        <v>24</v>
      </c>
      <c r="V147" s="5" t="s">
        <v>557</v>
      </c>
      <c r="AB147"/>
      <c r="AC147"/>
      <c r="AD147"/>
    </row>
    <row r="148" spans="1:30" x14ac:dyDescent="0.25">
      <c r="A148" t="s">
        <v>3427</v>
      </c>
      <c r="B148" t="s">
        <v>3428</v>
      </c>
      <c r="C148" s="9" t="s">
        <v>3429</v>
      </c>
      <c r="D148" s="9" t="s">
        <v>3430</v>
      </c>
      <c r="E148" s="5" t="s">
        <v>3003</v>
      </c>
      <c r="F148" s="1" t="s">
        <v>3004</v>
      </c>
      <c r="G148" s="25">
        <v>44525</v>
      </c>
      <c r="H148" s="1" t="s">
        <v>3431</v>
      </c>
      <c r="I148" s="14" t="s">
        <v>2810</v>
      </c>
      <c r="J148" s="1" t="s">
        <v>3006</v>
      </c>
      <c r="K148" s="14" t="s">
        <v>3007</v>
      </c>
      <c r="L148" s="1" t="s">
        <v>3008</v>
      </c>
      <c r="M148" s="1" t="s">
        <v>3009</v>
      </c>
      <c r="N148" s="1">
        <v>1281</v>
      </c>
      <c r="O148" s="1" t="s">
        <v>976</v>
      </c>
      <c r="P148" s="5">
        <v>1160</v>
      </c>
      <c r="Q148" s="5">
        <v>0</v>
      </c>
      <c r="R148" s="5">
        <v>1160</v>
      </c>
      <c r="S148" s="5">
        <v>0</v>
      </c>
      <c r="T148" s="5">
        <v>40</v>
      </c>
      <c r="U148" s="5" t="s">
        <v>2482</v>
      </c>
      <c r="V148" s="5" t="s">
        <v>784</v>
      </c>
      <c r="AB148"/>
      <c r="AC148"/>
      <c r="AD148"/>
    </row>
    <row r="149" spans="1:30" x14ac:dyDescent="0.25">
      <c r="A149" t="s">
        <v>3427</v>
      </c>
      <c r="B149" t="s">
        <v>3428</v>
      </c>
      <c r="C149" s="9" t="s">
        <v>3429</v>
      </c>
      <c r="D149" s="9" t="s">
        <v>3430</v>
      </c>
      <c r="E149" s="5" t="s">
        <v>3003</v>
      </c>
      <c r="F149" s="1" t="s">
        <v>3004</v>
      </c>
      <c r="G149" s="25">
        <v>44525</v>
      </c>
      <c r="H149" s="1" t="s">
        <v>3432</v>
      </c>
      <c r="I149" s="14" t="s">
        <v>307</v>
      </c>
      <c r="J149" s="1" t="s">
        <v>3006</v>
      </c>
      <c r="K149" s="14" t="s">
        <v>3007</v>
      </c>
      <c r="L149" s="1" t="s">
        <v>3008</v>
      </c>
      <c r="M149" s="1" t="s">
        <v>3009</v>
      </c>
      <c r="N149" s="1">
        <v>1281</v>
      </c>
      <c r="O149" s="1" t="s">
        <v>976</v>
      </c>
      <c r="P149" s="5">
        <v>790</v>
      </c>
      <c r="Q149" s="5">
        <v>0</v>
      </c>
      <c r="R149" s="5">
        <v>790</v>
      </c>
      <c r="S149" s="5">
        <v>0</v>
      </c>
      <c r="T149" s="5" t="s">
        <v>23</v>
      </c>
      <c r="V149" s="5" t="s">
        <v>307</v>
      </c>
      <c r="AB149"/>
      <c r="AC149"/>
      <c r="AD149"/>
    </row>
    <row r="150" spans="1:30" x14ac:dyDescent="0.25">
      <c r="A150" t="s">
        <v>3427</v>
      </c>
      <c r="B150" t="s">
        <v>3428</v>
      </c>
      <c r="C150" s="9" t="s">
        <v>3429</v>
      </c>
      <c r="D150" s="9" t="s">
        <v>3430</v>
      </c>
      <c r="E150" s="5" t="s">
        <v>3003</v>
      </c>
      <c r="F150" s="1" t="s">
        <v>3004</v>
      </c>
      <c r="G150" s="25">
        <v>44525</v>
      </c>
      <c r="H150" s="1" t="s">
        <v>3433</v>
      </c>
      <c r="I150" s="14" t="s">
        <v>2862</v>
      </c>
      <c r="J150" s="1" t="s">
        <v>3006</v>
      </c>
      <c r="K150" s="14" t="s">
        <v>3007</v>
      </c>
      <c r="L150" s="1" t="s">
        <v>3008</v>
      </c>
      <c r="M150" s="1" t="s">
        <v>3009</v>
      </c>
      <c r="N150" s="1">
        <v>1281</v>
      </c>
      <c r="O150" s="1" t="s">
        <v>976</v>
      </c>
      <c r="P150" s="5">
        <v>790</v>
      </c>
      <c r="Q150" s="5">
        <v>0</v>
      </c>
      <c r="R150" s="5">
        <v>790</v>
      </c>
      <c r="S150" s="5">
        <v>0</v>
      </c>
      <c r="T150" s="5" t="s">
        <v>23</v>
      </c>
      <c r="U150" s="5" t="s">
        <v>2482</v>
      </c>
      <c r="V150" s="5" t="s">
        <v>862</v>
      </c>
      <c r="AB150"/>
      <c r="AC150"/>
      <c r="AD150"/>
    </row>
    <row r="151" spans="1:30" x14ac:dyDescent="0.25">
      <c r="A151" t="s">
        <v>3434</v>
      </c>
      <c r="B151" t="s">
        <v>3435</v>
      </c>
      <c r="C151" s="9" t="s">
        <v>3436</v>
      </c>
      <c r="D151" s="9">
        <v>981612828</v>
      </c>
      <c r="E151" s="5" t="s">
        <v>3187</v>
      </c>
      <c r="F151" s="1" t="s">
        <v>3188</v>
      </c>
      <c r="G151" s="25">
        <v>44312</v>
      </c>
      <c r="H151" s="1" t="s">
        <v>3015</v>
      </c>
      <c r="I151" s="14" t="s">
        <v>252</v>
      </c>
      <c r="J151" s="1" t="s">
        <v>3006</v>
      </c>
      <c r="K151" s="14" t="s">
        <v>3007</v>
      </c>
      <c r="L151" s="1" t="s">
        <v>3008</v>
      </c>
      <c r="M151" s="1" t="s">
        <v>3009</v>
      </c>
      <c r="N151" s="1">
        <v>344</v>
      </c>
      <c r="O151" s="1" t="s">
        <v>976</v>
      </c>
      <c r="P151" s="5">
        <v>1135.98</v>
      </c>
      <c r="Q151" s="5">
        <v>0</v>
      </c>
      <c r="R151" s="5">
        <v>1100</v>
      </c>
      <c r="S151" s="5">
        <v>35.979999999999997</v>
      </c>
      <c r="T151" s="5" t="s">
        <v>22</v>
      </c>
      <c r="V151" s="5" t="s">
        <v>252</v>
      </c>
      <c r="AB151"/>
      <c r="AC151"/>
      <c r="AD151"/>
    </row>
    <row r="152" spans="1:30" x14ac:dyDescent="0.25">
      <c r="A152" t="s">
        <v>3437</v>
      </c>
      <c r="B152" t="s">
        <v>3438</v>
      </c>
      <c r="C152" s="9" t="s">
        <v>3439</v>
      </c>
      <c r="D152" s="9">
        <v>37078900</v>
      </c>
      <c r="E152" s="5" t="s">
        <v>3003</v>
      </c>
      <c r="F152" s="1" t="s">
        <v>3004</v>
      </c>
      <c r="G152" s="25">
        <v>44358</v>
      </c>
      <c r="H152" s="1" t="s">
        <v>3440</v>
      </c>
      <c r="I152" s="14" t="s">
        <v>2853</v>
      </c>
      <c r="J152" s="1" t="s">
        <v>3006</v>
      </c>
      <c r="K152" s="14" t="s">
        <v>3007</v>
      </c>
      <c r="L152" s="1" t="s">
        <v>3008</v>
      </c>
      <c r="M152" s="1" t="s">
        <v>3016</v>
      </c>
      <c r="N152" s="1">
        <v>497</v>
      </c>
      <c r="O152" s="1" t="s">
        <v>976</v>
      </c>
      <c r="P152" s="5">
        <v>339.93</v>
      </c>
      <c r="Q152" s="5">
        <v>275.07</v>
      </c>
      <c r="R152" s="5">
        <v>615</v>
      </c>
      <c r="S152" s="5">
        <v>0</v>
      </c>
      <c r="T152" s="5" t="s">
        <v>23</v>
      </c>
      <c r="U152" s="5" t="s">
        <v>2447</v>
      </c>
      <c r="V152" s="5" t="s">
        <v>846</v>
      </c>
      <c r="AB152"/>
      <c r="AC152"/>
      <c r="AD152"/>
    </row>
    <row r="153" spans="1:30" x14ac:dyDescent="0.25">
      <c r="A153" t="s">
        <v>3437</v>
      </c>
      <c r="B153" t="s">
        <v>3438</v>
      </c>
      <c r="C153" s="9" t="s">
        <v>3439</v>
      </c>
      <c r="D153" s="9">
        <v>37078900</v>
      </c>
      <c r="E153" s="5" t="s">
        <v>3003</v>
      </c>
      <c r="F153" s="1" t="s">
        <v>3004</v>
      </c>
      <c r="G153" s="25">
        <v>44358</v>
      </c>
      <c r="H153" s="1" t="s">
        <v>3441</v>
      </c>
      <c r="I153" s="14" t="s">
        <v>528</v>
      </c>
      <c r="J153" s="1" t="s">
        <v>3006</v>
      </c>
      <c r="K153" s="14" t="s">
        <v>3007</v>
      </c>
      <c r="L153" s="1" t="s">
        <v>3008</v>
      </c>
      <c r="M153" s="1" t="s">
        <v>3016</v>
      </c>
      <c r="N153" s="1">
        <v>497</v>
      </c>
      <c r="O153" s="1" t="s">
        <v>976</v>
      </c>
      <c r="P153" s="5">
        <v>420.07</v>
      </c>
      <c r="Q153" s="5">
        <v>339.93</v>
      </c>
      <c r="R153" s="5">
        <v>760</v>
      </c>
      <c r="S153" s="5">
        <v>0</v>
      </c>
      <c r="T153" s="5" t="s">
        <v>23</v>
      </c>
      <c r="V153" s="5" t="s">
        <v>528</v>
      </c>
      <c r="AB153"/>
      <c r="AC153"/>
      <c r="AD153"/>
    </row>
    <row r="154" spans="1:30" x14ac:dyDescent="0.25">
      <c r="A154" t="s">
        <v>3442</v>
      </c>
      <c r="B154" t="s">
        <v>3443</v>
      </c>
      <c r="C154" s="9" t="s">
        <v>3444</v>
      </c>
      <c r="D154" s="9" t="s">
        <v>3445</v>
      </c>
      <c r="E154" s="5" t="s">
        <v>3003</v>
      </c>
      <c r="F154" s="1" t="s">
        <v>3004</v>
      </c>
      <c r="G154" s="25">
        <v>44539</v>
      </c>
      <c r="H154" s="1" t="s">
        <v>3446</v>
      </c>
      <c r="I154" s="14" t="s">
        <v>2891</v>
      </c>
      <c r="J154" s="1" t="s">
        <v>3006</v>
      </c>
      <c r="K154" s="14" t="s">
        <v>3007</v>
      </c>
      <c r="L154" s="1" t="s">
        <v>3008</v>
      </c>
      <c r="M154" s="1" t="s">
        <v>3009</v>
      </c>
      <c r="N154" s="1">
        <v>1396</v>
      </c>
      <c r="O154" s="1" t="s">
        <v>976</v>
      </c>
      <c r="P154" s="5">
        <v>477</v>
      </c>
      <c r="Q154" s="5">
        <v>763</v>
      </c>
      <c r="R154" s="5">
        <v>1240</v>
      </c>
      <c r="S154" s="5">
        <v>0</v>
      </c>
      <c r="T154" s="5" t="s">
        <v>22</v>
      </c>
      <c r="U154" s="5" t="s">
        <v>2447</v>
      </c>
      <c r="V154" s="5" t="s">
        <v>899</v>
      </c>
      <c r="AB154"/>
      <c r="AC154"/>
      <c r="AD154"/>
    </row>
    <row r="155" spans="1:30" x14ac:dyDescent="0.25">
      <c r="A155" t="s">
        <v>3447</v>
      </c>
      <c r="B155" t="s">
        <v>3448</v>
      </c>
      <c r="C155" s="9" t="s">
        <v>3449</v>
      </c>
      <c r="D155" s="9">
        <v>997070131</v>
      </c>
      <c r="E155" s="5" t="s">
        <v>3041</v>
      </c>
      <c r="F155" s="1" t="s">
        <v>3042</v>
      </c>
      <c r="G155" s="25">
        <v>44412</v>
      </c>
      <c r="H155" s="1" t="s">
        <v>3450</v>
      </c>
      <c r="I155" s="14" t="s">
        <v>2921</v>
      </c>
      <c r="J155" s="1" t="s">
        <v>3006</v>
      </c>
      <c r="K155" s="14" t="s">
        <v>3007</v>
      </c>
      <c r="L155" s="1" t="s">
        <v>3008</v>
      </c>
      <c r="M155" s="1" t="s">
        <v>3016</v>
      </c>
      <c r="N155" s="1">
        <v>735</v>
      </c>
      <c r="O155" s="1" t="s">
        <v>976</v>
      </c>
      <c r="P155" s="5">
        <v>391.59</v>
      </c>
      <c r="Q155" s="5">
        <v>0</v>
      </c>
      <c r="R155" s="5">
        <v>370</v>
      </c>
      <c r="S155" s="5">
        <v>21.59</v>
      </c>
      <c r="T155" s="5" t="s">
        <v>23</v>
      </c>
      <c r="U155" s="5" t="s">
        <v>2433</v>
      </c>
      <c r="V155" s="5" t="s">
        <v>913</v>
      </c>
      <c r="AB155"/>
      <c r="AC155"/>
      <c r="AD155"/>
    </row>
    <row r="156" spans="1:30" x14ac:dyDescent="0.25">
      <c r="A156" t="s">
        <v>3451</v>
      </c>
      <c r="B156" t="s">
        <v>3452</v>
      </c>
      <c r="C156" s="9" t="s">
        <v>3453</v>
      </c>
      <c r="D156" s="9">
        <v>957601001</v>
      </c>
      <c r="E156" s="5" t="s">
        <v>3003</v>
      </c>
      <c r="F156" s="1" t="s">
        <v>3004</v>
      </c>
      <c r="G156" s="25">
        <v>44230</v>
      </c>
      <c r="H156" s="1" t="s">
        <v>3343</v>
      </c>
      <c r="I156" s="14" t="s">
        <v>253</v>
      </c>
      <c r="J156" s="1" t="s">
        <v>3006</v>
      </c>
      <c r="K156" s="14" t="s">
        <v>3007</v>
      </c>
      <c r="L156" s="1" t="s">
        <v>3008</v>
      </c>
      <c r="M156" s="1" t="s">
        <v>3009</v>
      </c>
      <c r="N156" s="1">
        <v>192</v>
      </c>
      <c r="O156" s="1" t="s">
        <v>976</v>
      </c>
      <c r="P156" s="5">
        <v>1611.44</v>
      </c>
      <c r="Q156" s="5">
        <v>0</v>
      </c>
      <c r="R156" s="5">
        <v>1595</v>
      </c>
      <c r="S156" s="5">
        <v>16.440000000000001</v>
      </c>
      <c r="T156" s="5" t="s">
        <v>24</v>
      </c>
      <c r="V156" s="5" t="s">
        <v>253</v>
      </c>
      <c r="AB156"/>
      <c r="AC156"/>
      <c r="AD156"/>
    </row>
    <row r="157" spans="1:30" x14ac:dyDescent="0.25">
      <c r="A157" t="s">
        <v>3451</v>
      </c>
      <c r="B157" t="s">
        <v>3452</v>
      </c>
      <c r="C157" s="9" t="s">
        <v>3453</v>
      </c>
      <c r="D157" s="9">
        <v>957601001</v>
      </c>
      <c r="E157" s="5" t="s">
        <v>3003</v>
      </c>
      <c r="F157" s="1" t="s">
        <v>3004</v>
      </c>
      <c r="G157" s="25">
        <v>44404</v>
      </c>
      <c r="H157" s="1" t="s">
        <v>3015</v>
      </c>
      <c r="I157" s="14" t="s">
        <v>252</v>
      </c>
      <c r="J157" s="1" t="s">
        <v>3006</v>
      </c>
      <c r="K157" s="14" t="s">
        <v>3007</v>
      </c>
      <c r="L157" s="1" t="s">
        <v>3008</v>
      </c>
      <c r="M157" s="1" t="s">
        <v>3009</v>
      </c>
      <c r="N157" s="1">
        <v>698</v>
      </c>
      <c r="O157" s="1" t="s">
        <v>976</v>
      </c>
      <c r="P157" s="5">
        <v>1215.04</v>
      </c>
      <c r="Q157" s="5">
        <v>133</v>
      </c>
      <c r="R157" s="5">
        <v>1330</v>
      </c>
      <c r="S157" s="5">
        <v>18.04</v>
      </c>
      <c r="T157" s="5" t="s">
        <v>22</v>
      </c>
      <c r="V157" s="5" t="s">
        <v>252</v>
      </c>
      <c r="AB157"/>
      <c r="AC157"/>
      <c r="AD157"/>
    </row>
    <row r="158" spans="1:30" x14ac:dyDescent="0.25">
      <c r="A158" t="s">
        <v>3451</v>
      </c>
      <c r="B158" t="s">
        <v>3452</v>
      </c>
      <c r="C158" s="9" t="s">
        <v>3453</v>
      </c>
      <c r="D158" s="9">
        <v>957601001</v>
      </c>
      <c r="E158" s="5" t="s">
        <v>3003</v>
      </c>
      <c r="F158" s="1" t="s">
        <v>3004</v>
      </c>
      <c r="G158" s="25">
        <v>44404</v>
      </c>
      <c r="H158" s="1" t="s">
        <v>3454</v>
      </c>
      <c r="I158" s="14" t="s">
        <v>260</v>
      </c>
      <c r="J158" s="1" t="s">
        <v>3006</v>
      </c>
      <c r="K158" s="14" t="s">
        <v>3007</v>
      </c>
      <c r="L158" s="1" t="s">
        <v>3008</v>
      </c>
      <c r="M158" s="1" t="s">
        <v>3009</v>
      </c>
      <c r="N158" s="1">
        <v>698</v>
      </c>
      <c r="O158" s="1" t="s">
        <v>976</v>
      </c>
      <c r="P158" s="5">
        <v>210.12</v>
      </c>
      <c r="Q158" s="5">
        <v>23</v>
      </c>
      <c r="R158" s="5">
        <v>230</v>
      </c>
      <c r="S158" s="5">
        <v>3.12</v>
      </c>
      <c r="T158" s="5" t="s">
        <v>22</v>
      </c>
      <c r="V158" s="5" t="s">
        <v>260</v>
      </c>
      <c r="AB158"/>
      <c r="AC158"/>
      <c r="AD158"/>
    </row>
    <row r="159" spans="1:30" x14ac:dyDescent="0.25">
      <c r="A159" t="s">
        <v>3455</v>
      </c>
      <c r="B159" t="s">
        <v>3456</v>
      </c>
      <c r="C159" s="9" t="s">
        <v>3457</v>
      </c>
      <c r="D159" s="9">
        <v>984172732</v>
      </c>
      <c r="E159" s="5" t="s">
        <v>3003</v>
      </c>
      <c r="F159" s="1" t="s">
        <v>3004</v>
      </c>
      <c r="G159" s="25">
        <v>44485</v>
      </c>
      <c r="H159" s="1" t="s">
        <v>3458</v>
      </c>
      <c r="I159" s="14" t="s">
        <v>2856</v>
      </c>
      <c r="J159" s="1" t="s">
        <v>3006</v>
      </c>
      <c r="K159" s="14" t="s">
        <v>3007</v>
      </c>
      <c r="L159" s="1" t="s">
        <v>3008</v>
      </c>
      <c r="M159" s="1" t="s">
        <v>3009</v>
      </c>
      <c r="N159" s="1">
        <v>1057</v>
      </c>
      <c r="O159" s="1" t="s">
        <v>976</v>
      </c>
      <c r="P159" s="5">
        <v>612</v>
      </c>
      <c r="Q159" s="5">
        <v>68</v>
      </c>
      <c r="R159" s="5">
        <v>680</v>
      </c>
      <c r="S159" s="5">
        <v>0</v>
      </c>
      <c r="T159" s="5" t="s">
        <v>22</v>
      </c>
      <c r="U159" s="5" t="s">
        <v>2447</v>
      </c>
      <c r="V159" s="5" t="s">
        <v>851</v>
      </c>
      <c r="AB159"/>
      <c r="AC159"/>
      <c r="AD159"/>
    </row>
    <row r="160" spans="1:30" x14ac:dyDescent="0.25">
      <c r="A160" t="s">
        <v>3459</v>
      </c>
      <c r="B160" t="s">
        <v>3460</v>
      </c>
      <c r="C160" s="9" t="s">
        <v>3461</v>
      </c>
      <c r="D160" s="9">
        <v>984127329</v>
      </c>
      <c r="E160" s="5" t="s">
        <v>3462</v>
      </c>
      <c r="F160" s="1" t="s">
        <v>3463</v>
      </c>
      <c r="G160" s="25">
        <v>44520</v>
      </c>
      <c r="H160" s="1" t="s">
        <v>3464</v>
      </c>
      <c r="I160" s="14" t="s">
        <v>2829</v>
      </c>
      <c r="J160" s="1" t="s">
        <v>3006</v>
      </c>
      <c r="K160" s="14" t="s">
        <v>3007</v>
      </c>
      <c r="L160" s="1" t="s">
        <v>3008</v>
      </c>
      <c r="M160" s="1" t="s">
        <v>3009</v>
      </c>
      <c r="N160" s="1">
        <v>1236</v>
      </c>
      <c r="O160" s="1" t="s">
        <v>976</v>
      </c>
      <c r="P160" s="5">
        <v>2189.31</v>
      </c>
      <c r="Q160" s="5">
        <v>230</v>
      </c>
      <c r="R160" s="5">
        <v>2300</v>
      </c>
      <c r="S160" s="5">
        <v>119.31</v>
      </c>
      <c r="T160" s="5" t="s">
        <v>24</v>
      </c>
      <c r="U160" s="5" t="s">
        <v>2472</v>
      </c>
      <c r="V160" s="5" t="s">
        <v>814</v>
      </c>
      <c r="AB160"/>
      <c r="AC160"/>
      <c r="AD160"/>
    </row>
    <row r="161" spans="1:30" x14ac:dyDescent="0.25">
      <c r="A161" t="s">
        <v>3459</v>
      </c>
      <c r="B161" t="s">
        <v>3460</v>
      </c>
      <c r="C161" s="9" t="s">
        <v>3461</v>
      </c>
      <c r="D161" s="9">
        <v>984127329</v>
      </c>
      <c r="E161" s="5" t="s">
        <v>3462</v>
      </c>
      <c r="F161" s="1" t="s">
        <v>3463</v>
      </c>
      <c r="G161" s="25">
        <v>44520</v>
      </c>
      <c r="H161" s="1" t="s">
        <v>3465</v>
      </c>
      <c r="I161" s="14" t="s">
        <v>397</v>
      </c>
      <c r="J161" s="1" t="s">
        <v>3006</v>
      </c>
      <c r="K161" s="14" t="s">
        <v>3007</v>
      </c>
      <c r="L161" s="1" t="s">
        <v>3008</v>
      </c>
      <c r="M161" s="1" t="s">
        <v>3009</v>
      </c>
      <c r="N161" s="1">
        <v>1236</v>
      </c>
      <c r="O161" s="1" t="s">
        <v>976</v>
      </c>
      <c r="P161" s="5">
        <v>828.13</v>
      </c>
      <c r="Q161" s="5">
        <v>87</v>
      </c>
      <c r="R161" s="5">
        <v>870</v>
      </c>
      <c r="S161" s="5">
        <v>45.13</v>
      </c>
      <c r="T161" s="5">
        <v>41</v>
      </c>
      <c r="V161" s="5" t="s">
        <v>397</v>
      </c>
      <c r="AB161"/>
      <c r="AC161"/>
      <c r="AD161"/>
    </row>
    <row r="162" spans="1:30" x14ac:dyDescent="0.25">
      <c r="A162" t="s">
        <v>3466</v>
      </c>
      <c r="B162" t="s">
        <v>3467</v>
      </c>
      <c r="C162" s="9" t="s">
        <v>3468</v>
      </c>
      <c r="D162" s="9">
        <v>976373076</v>
      </c>
      <c r="E162" s="5" t="s">
        <v>3003</v>
      </c>
      <c r="F162" s="1" t="s">
        <v>3004</v>
      </c>
      <c r="G162" s="25">
        <v>44421</v>
      </c>
      <c r="H162" s="1" t="s">
        <v>3469</v>
      </c>
      <c r="I162" s="14" t="s">
        <v>2806</v>
      </c>
      <c r="J162" s="1" t="s">
        <v>3006</v>
      </c>
      <c r="K162" s="14" t="s">
        <v>3007</v>
      </c>
      <c r="L162" s="1" t="s">
        <v>3008</v>
      </c>
      <c r="M162" s="1" t="s">
        <v>3016</v>
      </c>
      <c r="N162" s="1">
        <v>764</v>
      </c>
      <c r="O162" s="1" t="s">
        <v>976</v>
      </c>
      <c r="P162" s="5">
        <v>423</v>
      </c>
      <c r="Q162" s="5">
        <v>47</v>
      </c>
      <c r="R162" s="5">
        <v>470</v>
      </c>
      <c r="S162" s="5">
        <v>0</v>
      </c>
      <c r="T162" s="5">
        <v>40</v>
      </c>
      <c r="U162" s="5" t="s">
        <v>2482</v>
      </c>
      <c r="V162" s="5" t="s">
        <v>777</v>
      </c>
      <c r="AB162"/>
      <c r="AC162"/>
      <c r="AD162"/>
    </row>
    <row r="163" spans="1:30" x14ac:dyDescent="0.25">
      <c r="A163" t="s">
        <v>3470</v>
      </c>
      <c r="B163" t="s">
        <v>3471</v>
      </c>
      <c r="C163" s="9" t="s">
        <v>3472</v>
      </c>
      <c r="D163" s="9">
        <v>999961463</v>
      </c>
      <c r="E163" s="5" t="s">
        <v>3473</v>
      </c>
      <c r="F163" s="1" t="s">
        <v>3474</v>
      </c>
      <c r="G163" s="25">
        <v>44322</v>
      </c>
      <c r="H163" s="1" t="s">
        <v>3027</v>
      </c>
      <c r="I163" s="14" t="s">
        <v>254</v>
      </c>
      <c r="J163" s="1" t="s">
        <v>3006</v>
      </c>
      <c r="K163" s="14" t="s">
        <v>3007</v>
      </c>
      <c r="L163" s="1" t="s">
        <v>3008</v>
      </c>
      <c r="M163" s="1" t="s">
        <v>3009</v>
      </c>
      <c r="N163" s="1">
        <v>389</v>
      </c>
      <c r="O163" s="1" t="s">
        <v>976</v>
      </c>
      <c r="P163" s="5">
        <v>1222.74</v>
      </c>
      <c r="Q163" s="5">
        <v>0</v>
      </c>
      <c r="R163" s="5">
        <v>1200</v>
      </c>
      <c r="S163" s="5">
        <v>22.74</v>
      </c>
      <c r="T163" s="5" t="s">
        <v>22</v>
      </c>
      <c r="V163" s="5" t="s">
        <v>254</v>
      </c>
      <c r="AB163"/>
      <c r="AC163"/>
      <c r="AD163"/>
    </row>
    <row r="164" spans="1:30" x14ac:dyDescent="0.25">
      <c r="A164" t="s">
        <v>3475</v>
      </c>
      <c r="B164" t="s">
        <v>3476</v>
      </c>
      <c r="C164" s="9" t="s">
        <v>3477</v>
      </c>
      <c r="D164" s="9">
        <v>967412718</v>
      </c>
      <c r="E164" s="5" t="s">
        <v>3003</v>
      </c>
      <c r="F164" s="1" t="s">
        <v>3004</v>
      </c>
      <c r="G164" s="25">
        <v>44212</v>
      </c>
      <c r="H164" s="1" t="s">
        <v>3478</v>
      </c>
      <c r="I164" s="14" t="s">
        <v>2822</v>
      </c>
      <c r="J164" s="1" t="s">
        <v>3006</v>
      </c>
      <c r="K164" s="14" t="s">
        <v>3007</v>
      </c>
      <c r="L164" s="1" t="s">
        <v>3008</v>
      </c>
      <c r="M164" s="1" t="s">
        <v>3016</v>
      </c>
      <c r="N164" s="1">
        <v>158</v>
      </c>
      <c r="O164" s="1" t="s">
        <v>976</v>
      </c>
      <c r="P164" s="5">
        <v>265.76</v>
      </c>
      <c r="Q164" s="5">
        <v>0</v>
      </c>
      <c r="R164" s="5">
        <v>245</v>
      </c>
      <c r="S164" s="5">
        <v>20.76</v>
      </c>
      <c r="T164" s="5" t="s">
        <v>24</v>
      </c>
      <c r="U164" s="5" t="s">
        <v>2508</v>
      </c>
      <c r="V164" s="5" t="s">
        <v>801</v>
      </c>
      <c r="AB164"/>
      <c r="AC164"/>
      <c r="AD164"/>
    </row>
    <row r="165" spans="1:30" x14ac:dyDescent="0.25">
      <c r="A165" t="s">
        <v>3475</v>
      </c>
      <c r="B165" t="s">
        <v>3476</v>
      </c>
      <c r="C165" s="9" t="s">
        <v>3477</v>
      </c>
      <c r="D165" s="9">
        <v>967412718</v>
      </c>
      <c r="E165" s="5" t="s">
        <v>3003</v>
      </c>
      <c r="F165" s="1" t="s">
        <v>3004</v>
      </c>
      <c r="G165" s="25">
        <v>44235</v>
      </c>
      <c r="H165" s="1" t="s">
        <v>3479</v>
      </c>
      <c r="I165" s="14" t="s">
        <v>2888</v>
      </c>
      <c r="J165" s="1" t="s">
        <v>3006</v>
      </c>
      <c r="K165" s="14" t="s">
        <v>3007</v>
      </c>
      <c r="L165" s="1" t="s">
        <v>3008</v>
      </c>
      <c r="M165" s="1" t="s">
        <v>3016</v>
      </c>
      <c r="N165" s="1">
        <v>210</v>
      </c>
      <c r="O165" s="1" t="s">
        <v>976</v>
      </c>
      <c r="P165" s="5">
        <v>245.73</v>
      </c>
      <c r="Q165" s="5">
        <v>0</v>
      </c>
      <c r="R165" s="5">
        <v>230</v>
      </c>
      <c r="S165" s="5">
        <v>15.73</v>
      </c>
      <c r="T165" s="5" t="s">
        <v>23</v>
      </c>
      <c r="U165" s="5" t="s">
        <v>2579</v>
      </c>
      <c r="V165" s="5" t="s">
        <v>896</v>
      </c>
      <c r="AB165"/>
      <c r="AC165"/>
      <c r="AD165"/>
    </row>
    <row r="166" spans="1:30" x14ac:dyDescent="0.25">
      <c r="A166" t="s">
        <v>3480</v>
      </c>
      <c r="B166" t="s">
        <v>3481</v>
      </c>
      <c r="C166" s="9" t="s">
        <v>3482</v>
      </c>
      <c r="D166" s="9">
        <v>965232722</v>
      </c>
      <c r="E166" s="5" t="s">
        <v>3041</v>
      </c>
      <c r="F166" s="1" t="s">
        <v>3243</v>
      </c>
      <c r="G166" s="25">
        <v>44462</v>
      </c>
      <c r="H166" s="1" t="s">
        <v>3027</v>
      </c>
      <c r="I166" s="14" t="s">
        <v>254</v>
      </c>
      <c r="J166" s="1" t="s">
        <v>3006</v>
      </c>
      <c r="K166" s="14" t="s">
        <v>3007</v>
      </c>
      <c r="L166" s="1" t="s">
        <v>3008</v>
      </c>
      <c r="M166" s="1" t="s">
        <v>3009</v>
      </c>
      <c r="N166" s="1">
        <v>962</v>
      </c>
      <c r="O166" s="1" t="s">
        <v>976</v>
      </c>
      <c r="P166" s="5">
        <v>1197</v>
      </c>
      <c r="Q166" s="5">
        <v>133</v>
      </c>
      <c r="R166" s="5">
        <v>1330</v>
      </c>
      <c r="S166" s="5">
        <v>0</v>
      </c>
      <c r="T166" s="5" t="s">
        <v>22</v>
      </c>
      <c r="V166" s="5" t="s">
        <v>254</v>
      </c>
      <c r="AB166"/>
      <c r="AC166"/>
      <c r="AD166"/>
    </row>
    <row r="167" spans="1:30" x14ac:dyDescent="0.25">
      <c r="A167" t="s">
        <v>3483</v>
      </c>
      <c r="B167" t="s">
        <v>3484</v>
      </c>
      <c r="C167" s="9" t="s">
        <v>3485</v>
      </c>
      <c r="D167" s="9">
        <v>980004566</v>
      </c>
      <c r="E167" s="5" t="s">
        <v>3041</v>
      </c>
      <c r="F167" s="1" t="s">
        <v>3042</v>
      </c>
      <c r="G167" s="25">
        <v>44440</v>
      </c>
      <c r="H167" s="1" t="s">
        <v>3027</v>
      </c>
      <c r="I167" s="14" t="s">
        <v>254</v>
      </c>
      <c r="J167" s="1" t="s">
        <v>3006</v>
      </c>
      <c r="K167" s="14" t="s">
        <v>3007</v>
      </c>
      <c r="L167" s="1" t="s">
        <v>3008</v>
      </c>
      <c r="M167" s="1" t="s">
        <v>3009</v>
      </c>
      <c r="N167" s="1">
        <v>843</v>
      </c>
      <c r="O167" s="1" t="s">
        <v>976</v>
      </c>
      <c r="P167" s="5">
        <v>1357.35</v>
      </c>
      <c r="Q167" s="5">
        <v>0</v>
      </c>
      <c r="R167" s="5">
        <v>1330</v>
      </c>
      <c r="S167" s="5">
        <v>27.35</v>
      </c>
      <c r="T167" s="5" t="s">
        <v>22</v>
      </c>
      <c r="V167" s="5" t="s">
        <v>254</v>
      </c>
      <c r="AB167"/>
      <c r="AC167"/>
      <c r="AD167"/>
    </row>
    <row r="168" spans="1:30" x14ac:dyDescent="0.25">
      <c r="A168" t="s">
        <v>3486</v>
      </c>
      <c r="B168" t="s">
        <v>3487</v>
      </c>
      <c r="C168" s="9" t="s">
        <v>3488</v>
      </c>
      <c r="D168" s="9">
        <v>992926098</v>
      </c>
      <c r="E168" s="5" t="s">
        <v>3003</v>
      </c>
      <c r="F168" s="1" t="s">
        <v>3004</v>
      </c>
      <c r="G168" s="25">
        <v>44410</v>
      </c>
      <c r="H168" s="1" t="s">
        <v>3075</v>
      </c>
      <c r="I168" s="14" t="s">
        <v>2791</v>
      </c>
      <c r="J168" s="1" t="s">
        <v>3006</v>
      </c>
      <c r="K168" s="14" t="s">
        <v>3007</v>
      </c>
      <c r="L168" s="1" t="s">
        <v>3008</v>
      </c>
      <c r="M168" s="1" t="s">
        <v>3009</v>
      </c>
      <c r="N168" s="1">
        <v>727</v>
      </c>
      <c r="O168" s="1" t="s">
        <v>976</v>
      </c>
      <c r="P168" s="5">
        <v>1215.56</v>
      </c>
      <c r="Q168" s="5">
        <v>133</v>
      </c>
      <c r="R168" s="5">
        <v>1330</v>
      </c>
      <c r="S168" s="5">
        <v>18.559999999999999</v>
      </c>
      <c r="T168" s="5" t="s">
        <v>22</v>
      </c>
      <c r="U168" s="5" t="s">
        <v>2443</v>
      </c>
      <c r="V168" s="5" t="s">
        <v>763</v>
      </c>
      <c r="AB168"/>
      <c r="AC168"/>
      <c r="AD168"/>
    </row>
    <row r="169" spans="1:30" x14ac:dyDescent="0.25">
      <c r="A169" t="s">
        <v>3489</v>
      </c>
      <c r="B169" t="s">
        <v>3490</v>
      </c>
      <c r="C169" s="9" t="s">
        <v>3491</v>
      </c>
      <c r="D169" s="9">
        <v>996360774</v>
      </c>
      <c r="E169" s="5" t="s">
        <v>3003</v>
      </c>
      <c r="F169" s="1" t="s">
        <v>3004</v>
      </c>
      <c r="G169" s="25">
        <v>44427</v>
      </c>
      <c r="H169" s="1" t="s">
        <v>3129</v>
      </c>
      <c r="I169" s="14" t="s">
        <v>2790</v>
      </c>
      <c r="J169" s="1" t="s">
        <v>3006</v>
      </c>
      <c r="K169" s="14" t="s">
        <v>3007</v>
      </c>
      <c r="L169" s="1" t="s">
        <v>3008</v>
      </c>
      <c r="M169" s="1" t="s">
        <v>3009</v>
      </c>
      <c r="N169" s="1">
        <v>794</v>
      </c>
      <c r="O169" s="1" t="s">
        <v>976</v>
      </c>
      <c r="P169" s="5">
        <v>1419.17</v>
      </c>
      <c r="Q169" s="5">
        <v>350</v>
      </c>
      <c r="R169" s="5">
        <v>1750</v>
      </c>
      <c r="S169" s="5">
        <v>19.170000000000002</v>
      </c>
      <c r="T169" s="5" t="s">
        <v>5574</v>
      </c>
      <c r="U169" s="5" t="s">
        <v>2482</v>
      </c>
      <c r="V169" s="5" t="s">
        <v>246</v>
      </c>
      <c r="AB169"/>
      <c r="AC169"/>
      <c r="AD169"/>
    </row>
    <row r="170" spans="1:30" x14ac:dyDescent="0.25">
      <c r="A170" t="s">
        <v>3489</v>
      </c>
      <c r="B170" t="s">
        <v>3490</v>
      </c>
      <c r="C170" s="9" t="s">
        <v>3491</v>
      </c>
      <c r="D170" s="9">
        <v>996360774</v>
      </c>
      <c r="E170" s="5" t="s">
        <v>3003</v>
      </c>
      <c r="F170" s="1" t="s">
        <v>3004</v>
      </c>
      <c r="G170" s="25">
        <v>44479</v>
      </c>
      <c r="H170" s="1" t="s">
        <v>3492</v>
      </c>
      <c r="I170" s="14" t="s">
        <v>587</v>
      </c>
      <c r="J170" s="1" t="s">
        <v>3006</v>
      </c>
      <c r="K170" s="14" t="s">
        <v>3007</v>
      </c>
      <c r="L170" s="1" t="s">
        <v>3008</v>
      </c>
      <c r="M170" s="1" t="s">
        <v>3009</v>
      </c>
      <c r="N170" s="1">
        <v>1019</v>
      </c>
      <c r="O170" s="1" t="s">
        <v>976</v>
      </c>
      <c r="P170" s="5">
        <v>1128</v>
      </c>
      <c r="Q170" s="5">
        <v>282</v>
      </c>
      <c r="R170" s="5">
        <v>1410</v>
      </c>
      <c r="S170" s="5">
        <v>0</v>
      </c>
      <c r="T170" s="5" t="s">
        <v>22</v>
      </c>
      <c r="V170" s="5" t="s">
        <v>587</v>
      </c>
      <c r="AB170"/>
      <c r="AC170"/>
      <c r="AD170"/>
    </row>
    <row r="171" spans="1:30" x14ac:dyDescent="0.25">
      <c r="A171" t="s">
        <v>3489</v>
      </c>
      <c r="B171" t="s">
        <v>3490</v>
      </c>
      <c r="C171" s="9" t="s">
        <v>3491</v>
      </c>
      <c r="D171" s="9">
        <v>996360774</v>
      </c>
      <c r="E171" s="5" t="s">
        <v>3003</v>
      </c>
      <c r="F171" s="1" t="s">
        <v>3004</v>
      </c>
      <c r="G171" s="25">
        <v>44479</v>
      </c>
      <c r="H171" s="1" t="s">
        <v>3493</v>
      </c>
      <c r="I171" s="14" t="s">
        <v>461</v>
      </c>
      <c r="J171" s="1" t="s">
        <v>3006</v>
      </c>
      <c r="K171" s="14" t="s">
        <v>3007</v>
      </c>
      <c r="L171" s="1" t="s">
        <v>3008</v>
      </c>
      <c r="M171" s="1" t="s">
        <v>3009</v>
      </c>
      <c r="N171" s="1">
        <v>1019</v>
      </c>
      <c r="O171" s="1" t="s">
        <v>976</v>
      </c>
      <c r="P171" s="5">
        <v>716</v>
      </c>
      <c r="Q171" s="5">
        <v>179</v>
      </c>
      <c r="R171" s="5">
        <v>895</v>
      </c>
      <c r="S171" s="5">
        <v>0</v>
      </c>
      <c r="T171" s="5" t="s">
        <v>22</v>
      </c>
      <c r="V171" s="5" t="s">
        <v>461</v>
      </c>
      <c r="AB171"/>
      <c r="AC171"/>
      <c r="AD171"/>
    </row>
    <row r="172" spans="1:30" x14ac:dyDescent="0.25">
      <c r="A172" t="s">
        <v>3489</v>
      </c>
      <c r="B172" t="s">
        <v>3490</v>
      </c>
      <c r="C172" s="9" t="s">
        <v>3491</v>
      </c>
      <c r="D172" s="9">
        <v>996360774</v>
      </c>
      <c r="E172" s="5" t="s">
        <v>3003</v>
      </c>
      <c r="F172" s="1" t="s">
        <v>3004</v>
      </c>
      <c r="G172" s="25">
        <v>44543</v>
      </c>
      <c r="H172" s="1" t="s">
        <v>3494</v>
      </c>
      <c r="I172" s="14" t="s">
        <v>2787</v>
      </c>
      <c r="J172" s="1" t="s">
        <v>3006</v>
      </c>
      <c r="K172" s="14" t="s">
        <v>3007</v>
      </c>
      <c r="L172" s="1" t="s">
        <v>3008</v>
      </c>
      <c r="M172" s="1" t="s">
        <v>3009</v>
      </c>
      <c r="N172" s="1">
        <v>1437</v>
      </c>
      <c r="O172" s="1" t="s">
        <v>976</v>
      </c>
      <c r="P172" s="5">
        <v>1564</v>
      </c>
      <c r="Q172" s="5">
        <v>276</v>
      </c>
      <c r="R172" s="5">
        <v>1840</v>
      </c>
      <c r="S172" s="5">
        <v>0</v>
      </c>
      <c r="T172" s="5" t="s">
        <v>22</v>
      </c>
      <c r="U172" s="5" t="s">
        <v>2482</v>
      </c>
      <c r="V172" s="5" t="s">
        <v>756</v>
      </c>
      <c r="AB172"/>
      <c r="AC172"/>
      <c r="AD172"/>
    </row>
    <row r="173" spans="1:30" x14ac:dyDescent="0.25">
      <c r="A173" t="s">
        <v>3489</v>
      </c>
      <c r="B173" t="s">
        <v>3490</v>
      </c>
      <c r="C173" s="9" t="s">
        <v>3491</v>
      </c>
      <c r="D173" s="9">
        <v>996360774</v>
      </c>
      <c r="E173" s="5" t="s">
        <v>3003</v>
      </c>
      <c r="F173" s="1" t="s">
        <v>3004</v>
      </c>
      <c r="G173" s="25">
        <v>44543</v>
      </c>
      <c r="H173" s="1" t="s">
        <v>3109</v>
      </c>
      <c r="I173" s="14" t="s">
        <v>2790</v>
      </c>
      <c r="J173" s="1" t="s">
        <v>3006</v>
      </c>
      <c r="K173" s="14" t="s">
        <v>3007</v>
      </c>
      <c r="L173" s="1" t="s">
        <v>3008</v>
      </c>
      <c r="M173" s="1" t="s">
        <v>3009</v>
      </c>
      <c r="N173" s="1">
        <v>1436</v>
      </c>
      <c r="O173" s="1" t="s">
        <v>976</v>
      </c>
      <c r="P173" s="5">
        <v>1750</v>
      </c>
      <c r="Q173" s="5">
        <v>0</v>
      </c>
      <c r="R173" s="5">
        <v>1750</v>
      </c>
      <c r="S173" s="5">
        <v>0</v>
      </c>
      <c r="T173" s="5" t="s">
        <v>5574</v>
      </c>
      <c r="U173" s="5" t="s">
        <v>2447</v>
      </c>
      <c r="V173" s="5" t="s">
        <v>244</v>
      </c>
      <c r="AB173"/>
      <c r="AC173"/>
      <c r="AD173"/>
    </row>
    <row r="174" spans="1:30" x14ac:dyDescent="0.25">
      <c r="A174" t="s">
        <v>3489</v>
      </c>
      <c r="B174" t="s">
        <v>3490</v>
      </c>
      <c r="C174" s="9" t="s">
        <v>3491</v>
      </c>
      <c r="D174" s="9">
        <v>996360774</v>
      </c>
      <c r="E174" s="5" t="s">
        <v>3003</v>
      </c>
      <c r="F174" s="1" t="s">
        <v>3004</v>
      </c>
      <c r="G174" s="25">
        <v>44543</v>
      </c>
      <c r="H174" s="1" t="s">
        <v>3495</v>
      </c>
      <c r="I174" s="14" t="s">
        <v>2966</v>
      </c>
      <c r="J174" s="1" t="s">
        <v>3006</v>
      </c>
      <c r="K174" s="14" t="s">
        <v>3007</v>
      </c>
      <c r="L174" s="1" t="s">
        <v>3008</v>
      </c>
      <c r="M174" s="1" t="s">
        <v>3009</v>
      </c>
      <c r="N174" s="1">
        <v>1437</v>
      </c>
      <c r="O174" s="1" t="s">
        <v>976</v>
      </c>
      <c r="P174" s="5">
        <v>816</v>
      </c>
      <c r="Q174" s="5">
        <v>144</v>
      </c>
      <c r="R174" s="5">
        <v>960</v>
      </c>
      <c r="S174" s="5">
        <v>0</v>
      </c>
      <c r="T174" s="5">
        <v>38</v>
      </c>
      <c r="U174" s="5" t="s">
        <v>2482</v>
      </c>
      <c r="V174" s="5" t="s">
        <v>939</v>
      </c>
      <c r="AB174"/>
      <c r="AC174"/>
      <c r="AD174"/>
    </row>
    <row r="175" spans="1:30" x14ac:dyDescent="0.25">
      <c r="A175" t="s">
        <v>3489</v>
      </c>
      <c r="B175" t="s">
        <v>3490</v>
      </c>
      <c r="C175" s="9" t="s">
        <v>3491</v>
      </c>
      <c r="D175" s="9">
        <v>996360774</v>
      </c>
      <c r="E175" s="5" t="s">
        <v>3003</v>
      </c>
      <c r="F175" s="1" t="s">
        <v>3004</v>
      </c>
      <c r="G175" s="25">
        <v>44543</v>
      </c>
      <c r="H175" s="1" t="s">
        <v>3496</v>
      </c>
      <c r="I175" s="14" t="s">
        <v>2985</v>
      </c>
      <c r="J175" s="1" t="s">
        <v>3006</v>
      </c>
      <c r="K175" s="14" t="s">
        <v>3007</v>
      </c>
      <c r="L175" s="1" t="s">
        <v>3008</v>
      </c>
      <c r="M175" s="1" t="s">
        <v>3009</v>
      </c>
      <c r="N175" s="1">
        <v>1437</v>
      </c>
      <c r="O175" s="1" t="s">
        <v>976</v>
      </c>
      <c r="P175" s="5">
        <v>667.25</v>
      </c>
      <c r="Q175" s="5">
        <v>117.75</v>
      </c>
      <c r="R175" s="5">
        <v>785</v>
      </c>
      <c r="S175" s="5">
        <v>0</v>
      </c>
      <c r="T175" s="5" t="s">
        <v>22</v>
      </c>
      <c r="U175" s="5" t="s">
        <v>2482</v>
      </c>
      <c r="V175" s="5" t="s">
        <v>950</v>
      </c>
      <c r="AB175"/>
      <c r="AC175"/>
      <c r="AD175"/>
    </row>
    <row r="176" spans="1:30" x14ac:dyDescent="0.25">
      <c r="A176" t="s">
        <v>3497</v>
      </c>
      <c r="B176" t="s">
        <v>3498</v>
      </c>
      <c r="C176" s="9" t="s">
        <v>3499</v>
      </c>
      <c r="D176" s="9">
        <v>999437183</v>
      </c>
      <c r="E176" s="5" t="s">
        <v>3013</v>
      </c>
      <c r="F176" s="1" t="s">
        <v>3067</v>
      </c>
      <c r="G176" s="25">
        <v>44540</v>
      </c>
      <c r="H176" s="1" t="s">
        <v>3083</v>
      </c>
      <c r="I176" s="14" t="s">
        <v>2930</v>
      </c>
      <c r="J176" s="1" t="s">
        <v>3006</v>
      </c>
      <c r="K176" s="14" t="s">
        <v>3007</v>
      </c>
      <c r="L176" s="1" t="s">
        <v>3008</v>
      </c>
      <c r="M176" s="1" t="s">
        <v>3009</v>
      </c>
      <c r="N176" s="1">
        <v>1410</v>
      </c>
      <c r="O176" s="1" t="s">
        <v>976</v>
      </c>
      <c r="P176" s="5">
        <v>677.12</v>
      </c>
      <c r="Q176" s="5">
        <v>0</v>
      </c>
      <c r="R176" s="5">
        <v>650</v>
      </c>
      <c r="S176" s="5">
        <v>27.12</v>
      </c>
      <c r="T176" s="5" t="s">
        <v>23</v>
      </c>
      <c r="U176" s="5" t="s">
        <v>2443</v>
      </c>
      <c r="V176" s="5" t="s">
        <v>920</v>
      </c>
      <c r="AB176"/>
      <c r="AC176"/>
      <c r="AD176"/>
    </row>
    <row r="177" spans="1:30" x14ac:dyDescent="0.25">
      <c r="A177" t="s">
        <v>3500</v>
      </c>
      <c r="B177" t="s">
        <v>3501</v>
      </c>
      <c r="C177" s="9" t="s">
        <v>3502</v>
      </c>
      <c r="D177" s="9" t="s">
        <v>3503</v>
      </c>
      <c r="E177" s="5" t="s">
        <v>3003</v>
      </c>
      <c r="F177" s="1" t="s">
        <v>3004</v>
      </c>
      <c r="G177" s="25">
        <v>44546</v>
      </c>
      <c r="H177" s="1" t="s">
        <v>3015</v>
      </c>
      <c r="I177" s="14" t="s">
        <v>252</v>
      </c>
      <c r="J177" s="1" t="s">
        <v>3006</v>
      </c>
      <c r="K177" s="14" t="s">
        <v>3007</v>
      </c>
      <c r="L177" s="1" t="s">
        <v>3008</v>
      </c>
      <c r="M177" s="1" t="s">
        <v>3016</v>
      </c>
      <c r="N177" s="1">
        <v>1476</v>
      </c>
      <c r="O177" s="1" t="s">
        <v>976</v>
      </c>
      <c r="P177" s="5">
        <v>868.98</v>
      </c>
      <c r="Q177" s="5">
        <v>796.02</v>
      </c>
      <c r="R177" s="5">
        <v>1665</v>
      </c>
      <c r="S177" s="5">
        <v>0</v>
      </c>
      <c r="T177" s="5" t="s">
        <v>22</v>
      </c>
      <c r="V177" s="5" t="s">
        <v>252</v>
      </c>
      <c r="AB177"/>
      <c r="AC177"/>
      <c r="AD177"/>
    </row>
    <row r="178" spans="1:30" x14ac:dyDescent="0.25">
      <c r="A178" t="s">
        <v>3500</v>
      </c>
      <c r="B178" t="s">
        <v>3501</v>
      </c>
      <c r="C178" s="9" t="s">
        <v>3502</v>
      </c>
      <c r="D178" s="9" t="s">
        <v>3503</v>
      </c>
      <c r="E178" s="5" t="s">
        <v>3003</v>
      </c>
      <c r="F178" s="1" t="s">
        <v>3004</v>
      </c>
      <c r="G178" s="25">
        <v>44546</v>
      </c>
      <c r="H178" s="1" t="s">
        <v>3504</v>
      </c>
      <c r="I178" s="14" t="s">
        <v>2874</v>
      </c>
      <c r="J178" s="1" t="s">
        <v>3006</v>
      </c>
      <c r="K178" s="14" t="s">
        <v>3007</v>
      </c>
      <c r="L178" s="1" t="s">
        <v>3008</v>
      </c>
      <c r="M178" s="1" t="s">
        <v>3016</v>
      </c>
      <c r="N178" s="1">
        <v>1476</v>
      </c>
      <c r="O178" s="1" t="s">
        <v>976</v>
      </c>
      <c r="P178" s="5">
        <v>694.14</v>
      </c>
      <c r="Q178" s="5">
        <v>635.86</v>
      </c>
      <c r="R178" s="5">
        <v>1330</v>
      </c>
      <c r="S178" s="5">
        <v>0</v>
      </c>
      <c r="T178" s="5" t="s">
        <v>23</v>
      </c>
      <c r="U178" s="5" t="s">
        <v>2482</v>
      </c>
      <c r="V178" s="5" t="s">
        <v>879</v>
      </c>
      <c r="AB178"/>
      <c r="AC178"/>
      <c r="AD178"/>
    </row>
    <row r="179" spans="1:30" x14ac:dyDescent="0.25">
      <c r="A179" t="s">
        <v>3500</v>
      </c>
      <c r="B179" t="s">
        <v>3501</v>
      </c>
      <c r="C179" s="9" t="s">
        <v>3502</v>
      </c>
      <c r="D179" s="9" t="s">
        <v>3503</v>
      </c>
      <c r="E179" s="5" t="s">
        <v>3003</v>
      </c>
      <c r="F179" s="1" t="s">
        <v>3004</v>
      </c>
      <c r="G179" s="25">
        <v>44546</v>
      </c>
      <c r="H179" s="1" t="s">
        <v>3505</v>
      </c>
      <c r="I179" s="14" t="s">
        <v>2963</v>
      </c>
      <c r="J179" s="1" t="s">
        <v>3006</v>
      </c>
      <c r="K179" s="14" t="s">
        <v>3007</v>
      </c>
      <c r="L179" s="1" t="s">
        <v>3008</v>
      </c>
      <c r="M179" s="1" t="s">
        <v>3016</v>
      </c>
      <c r="N179" s="1">
        <v>1476</v>
      </c>
      <c r="O179" s="1" t="s">
        <v>976</v>
      </c>
      <c r="P179" s="5">
        <v>401.88</v>
      </c>
      <c r="Q179" s="5">
        <v>368.12</v>
      </c>
      <c r="R179" s="5">
        <v>770</v>
      </c>
      <c r="S179" s="5">
        <v>0</v>
      </c>
      <c r="T179" s="5">
        <v>40</v>
      </c>
      <c r="U179" s="5" t="s">
        <v>2433</v>
      </c>
      <c r="V179" s="5" t="s">
        <v>935</v>
      </c>
      <c r="AB179"/>
      <c r="AC179"/>
      <c r="AD179"/>
    </row>
    <row r="180" spans="1:30" x14ac:dyDescent="0.25">
      <c r="A180" t="s">
        <v>3506</v>
      </c>
      <c r="B180" t="s">
        <v>3507</v>
      </c>
      <c r="C180" s="9" t="s">
        <v>3508</v>
      </c>
      <c r="D180" s="9">
        <v>996672743</v>
      </c>
      <c r="E180" s="5" t="s">
        <v>3013</v>
      </c>
      <c r="F180" s="1" t="s">
        <v>3509</v>
      </c>
      <c r="G180" s="25">
        <v>44409</v>
      </c>
      <c r="H180" s="1" t="s">
        <v>3510</v>
      </c>
      <c r="I180" s="14" t="s">
        <v>2805</v>
      </c>
      <c r="J180" s="1" t="s">
        <v>3006</v>
      </c>
      <c r="K180" s="14" t="s">
        <v>3007</v>
      </c>
      <c r="L180" s="1" t="s">
        <v>3008</v>
      </c>
      <c r="M180" s="1" t="s">
        <v>3009</v>
      </c>
      <c r="N180" s="1">
        <v>719</v>
      </c>
      <c r="O180" s="1" t="s">
        <v>976</v>
      </c>
      <c r="P180" s="5">
        <v>503.54</v>
      </c>
      <c r="Q180" s="5">
        <v>0</v>
      </c>
      <c r="R180" s="5">
        <v>470</v>
      </c>
      <c r="S180" s="5">
        <v>33.54</v>
      </c>
      <c r="T180" s="5">
        <v>40</v>
      </c>
      <c r="U180" s="5" t="s">
        <v>2443</v>
      </c>
      <c r="V180" s="5" t="s">
        <v>776</v>
      </c>
      <c r="AB180"/>
      <c r="AC180"/>
      <c r="AD180"/>
    </row>
    <row r="181" spans="1:30" x14ac:dyDescent="0.25">
      <c r="A181" t="s">
        <v>3511</v>
      </c>
      <c r="B181" t="s">
        <v>3512</v>
      </c>
      <c r="C181" s="9" t="s">
        <v>3513</v>
      </c>
      <c r="D181" s="9">
        <v>991162277</v>
      </c>
      <c r="E181" s="5" t="s">
        <v>3514</v>
      </c>
      <c r="F181" s="1" t="s">
        <v>3515</v>
      </c>
      <c r="G181" s="25">
        <v>44179</v>
      </c>
      <c r="H181" s="1" t="s">
        <v>3027</v>
      </c>
      <c r="I181" s="14" t="s">
        <v>254</v>
      </c>
      <c r="J181" s="1" t="s">
        <v>3006</v>
      </c>
      <c r="K181" s="14" t="s">
        <v>3007</v>
      </c>
      <c r="L181" s="1" t="s">
        <v>3008</v>
      </c>
      <c r="M181" s="1" t="s">
        <v>3009</v>
      </c>
      <c r="N181" s="1">
        <v>92</v>
      </c>
      <c r="O181" s="1" t="s">
        <v>976</v>
      </c>
      <c r="P181" s="5">
        <v>1120.76</v>
      </c>
      <c r="Q181" s="5">
        <v>0</v>
      </c>
      <c r="R181" s="5">
        <v>1100</v>
      </c>
      <c r="S181" s="5">
        <v>20.76</v>
      </c>
      <c r="T181" s="5" t="s">
        <v>22</v>
      </c>
      <c r="V181" s="5" t="s">
        <v>254</v>
      </c>
      <c r="AB181"/>
      <c r="AC181"/>
      <c r="AD181"/>
    </row>
    <row r="182" spans="1:30" x14ac:dyDescent="0.25">
      <c r="A182" t="s">
        <v>3511</v>
      </c>
      <c r="B182" t="s">
        <v>3512</v>
      </c>
      <c r="C182" s="9" t="s">
        <v>3513</v>
      </c>
      <c r="D182" s="9">
        <v>991162277</v>
      </c>
      <c r="E182" s="5" t="s">
        <v>3514</v>
      </c>
      <c r="F182" s="1" t="s">
        <v>3515</v>
      </c>
      <c r="G182" s="25">
        <v>44448</v>
      </c>
      <c r="H182" s="1" t="s">
        <v>3089</v>
      </c>
      <c r="I182" s="14" t="s">
        <v>303</v>
      </c>
      <c r="J182" s="1" t="s">
        <v>3006</v>
      </c>
      <c r="K182" s="14" t="s">
        <v>3007</v>
      </c>
      <c r="L182" s="1" t="s">
        <v>3008</v>
      </c>
      <c r="M182" s="1" t="s">
        <v>3016</v>
      </c>
      <c r="N182" s="1">
        <v>881</v>
      </c>
      <c r="O182" s="1" t="s">
        <v>976</v>
      </c>
      <c r="P182" s="5">
        <v>654.74</v>
      </c>
      <c r="Q182" s="5">
        <v>158</v>
      </c>
      <c r="R182" s="5">
        <v>790</v>
      </c>
      <c r="S182" s="5">
        <v>22.74</v>
      </c>
      <c r="T182" s="5" t="s">
        <v>22</v>
      </c>
      <c r="V182" s="5" t="s">
        <v>303</v>
      </c>
      <c r="AB182"/>
      <c r="AC182"/>
      <c r="AD182"/>
    </row>
    <row r="183" spans="1:30" x14ac:dyDescent="0.25">
      <c r="A183" t="s">
        <v>3511</v>
      </c>
      <c r="B183" t="s">
        <v>3512</v>
      </c>
      <c r="C183" s="9" t="s">
        <v>3513</v>
      </c>
      <c r="D183" s="9">
        <v>991162277</v>
      </c>
      <c r="E183" s="5" t="s">
        <v>3514</v>
      </c>
      <c r="F183" s="1" t="s">
        <v>3515</v>
      </c>
      <c r="G183" s="25">
        <v>44585</v>
      </c>
      <c r="H183" s="1" t="s">
        <v>3516</v>
      </c>
      <c r="I183" s="14" t="s">
        <v>380</v>
      </c>
      <c r="J183" s="1" t="s">
        <v>3006</v>
      </c>
      <c r="K183" s="14" t="s">
        <v>3007</v>
      </c>
      <c r="L183" s="1" t="s">
        <v>3008</v>
      </c>
      <c r="M183" s="1" t="s">
        <v>3009</v>
      </c>
      <c r="N183" s="1">
        <v>1709</v>
      </c>
      <c r="O183" s="1" t="s">
        <v>976</v>
      </c>
      <c r="P183" s="5">
        <v>894.12</v>
      </c>
      <c r="Q183" s="5">
        <v>153</v>
      </c>
      <c r="R183" s="5">
        <v>1020</v>
      </c>
      <c r="S183" s="5">
        <v>27.12</v>
      </c>
      <c r="T183" s="5" t="s">
        <v>5574</v>
      </c>
      <c r="V183" s="5" t="s">
        <v>380</v>
      </c>
      <c r="AB183"/>
      <c r="AC183"/>
      <c r="AD183"/>
    </row>
    <row r="184" spans="1:30" x14ac:dyDescent="0.25">
      <c r="A184" t="s">
        <v>3517</v>
      </c>
      <c r="B184" t="s">
        <v>3518</v>
      </c>
      <c r="C184" s="9" t="s">
        <v>3519</v>
      </c>
      <c r="D184" s="9">
        <v>996729082</v>
      </c>
      <c r="E184" s="5" t="s">
        <v>3133</v>
      </c>
      <c r="F184" s="1" t="s">
        <v>3248</v>
      </c>
      <c r="G184" s="25">
        <v>44171</v>
      </c>
      <c r="H184" s="1" t="s">
        <v>3392</v>
      </c>
      <c r="I184" s="14" t="s">
        <v>297</v>
      </c>
      <c r="J184" s="1" t="s">
        <v>3006</v>
      </c>
      <c r="K184" s="14" t="s">
        <v>3007</v>
      </c>
      <c r="L184" s="1" t="s">
        <v>3008</v>
      </c>
      <c r="M184" s="1" t="s">
        <v>3009</v>
      </c>
      <c r="N184" s="1">
        <v>64</v>
      </c>
      <c r="O184" s="1" t="s">
        <v>976</v>
      </c>
      <c r="P184" s="5">
        <v>615</v>
      </c>
      <c r="Q184" s="5">
        <v>0</v>
      </c>
      <c r="R184" s="5">
        <v>615</v>
      </c>
      <c r="S184" s="5">
        <v>0</v>
      </c>
      <c r="T184" s="5" t="s">
        <v>23</v>
      </c>
      <c r="V184" s="5" t="s">
        <v>297</v>
      </c>
      <c r="AB184"/>
      <c r="AC184"/>
      <c r="AD184"/>
    </row>
    <row r="185" spans="1:30" x14ac:dyDescent="0.25">
      <c r="A185" t="s">
        <v>3520</v>
      </c>
      <c r="B185" t="s">
        <v>3521</v>
      </c>
      <c r="C185" s="9" t="s">
        <v>3522</v>
      </c>
      <c r="D185" s="9">
        <v>976368228</v>
      </c>
      <c r="E185" s="5" t="s">
        <v>3003</v>
      </c>
      <c r="F185" s="1" t="s">
        <v>3004</v>
      </c>
      <c r="G185" s="25">
        <v>44536</v>
      </c>
      <c r="H185" s="1" t="s">
        <v>3027</v>
      </c>
      <c r="I185" s="14" t="s">
        <v>254</v>
      </c>
      <c r="J185" s="1" t="s">
        <v>3006</v>
      </c>
      <c r="K185" s="14" t="s">
        <v>3007</v>
      </c>
      <c r="L185" s="1" t="s">
        <v>3008</v>
      </c>
      <c r="M185" s="1" t="s">
        <v>3009</v>
      </c>
      <c r="N185" s="1">
        <v>1359</v>
      </c>
      <c r="O185" s="1" t="s">
        <v>976</v>
      </c>
      <c r="P185" s="5">
        <v>1242</v>
      </c>
      <c r="Q185" s="5">
        <v>138</v>
      </c>
      <c r="R185" s="5">
        <v>1380</v>
      </c>
      <c r="S185" s="5">
        <v>0</v>
      </c>
      <c r="T185" s="5" t="s">
        <v>22</v>
      </c>
      <c r="V185" s="5" t="s">
        <v>254</v>
      </c>
      <c r="AB185"/>
      <c r="AC185"/>
      <c r="AD185"/>
    </row>
    <row r="186" spans="1:30" x14ac:dyDescent="0.25">
      <c r="A186" t="s">
        <v>3523</v>
      </c>
      <c r="B186" t="s">
        <v>3524</v>
      </c>
      <c r="C186" s="9" t="s">
        <v>3525</v>
      </c>
      <c r="D186" s="9">
        <v>64194890</v>
      </c>
      <c r="E186" s="5" t="s">
        <v>3107</v>
      </c>
      <c r="F186" s="1" t="s">
        <v>3108</v>
      </c>
      <c r="G186" s="25">
        <v>44558</v>
      </c>
      <c r="H186" s="1" t="s">
        <v>3526</v>
      </c>
      <c r="I186" s="14" t="s">
        <v>2891</v>
      </c>
      <c r="J186" s="1" t="s">
        <v>3006</v>
      </c>
      <c r="K186" s="14" t="s">
        <v>3007</v>
      </c>
      <c r="L186" s="1" t="s">
        <v>3008</v>
      </c>
      <c r="M186" s="1" t="s">
        <v>3009</v>
      </c>
      <c r="N186" s="1">
        <v>1557</v>
      </c>
      <c r="O186" s="1" t="s">
        <v>976</v>
      </c>
      <c r="P186" s="5">
        <v>1303.8599999999999</v>
      </c>
      <c r="Q186" s="5">
        <v>0</v>
      </c>
      <c r="R186" s="5">
        <v>1240</v>
      </c>
      <c r="S186" s="5">
        <v>63.86</v>
      </c>
      <c r="T186" s="5" t="s">
        <v>22</v>
      </c>
      <c r="U186" s="5" t="s">
        <v>2463</v>
      </c>
      <c r="V186" s="5" t="s">
        <v>900</v>
      </c>
      <c r="AB186"/>
      <c r="AC186"/>
      <c r="AD186"/>
    </row>
    <row r="187" spans="1:30" x14ac:dyDescent="0.25">
      <c r="A187" t="s">
        <v>3527</v>
      </c>
      <c r="B187" t="s">
        <v>3528</v>
      </c>
      <c r="C187" s="9" t="s">
        <v>3529</v>
      </c>
      <c r="D187" s="9">
        <v>996462612</v>
      </c>
      <c r="E187" s="5" t="s">
        <v>3003</v>
      </c>
      <c r="F187" s="1" t="s">
        <v>3004</v>
      </c>
      <c r="G187" s="25">
        <v>44551</v>
      </c>
      <c r="H187" s="1" t="s">
        <v>3075</v>
      </c>
      <c r="I187" s="14" t="s">
        <v>2791</v>
      </c>
      <c r="J187" s="1" t="s">
        <v>3006</v>
      </c>
      <c r="K187" s="14" t="s">
        <v>3007</v>
      </c>
      <c r="L187" s="1" t="s">
        <v>3008</v>
      </c>
      <c r="M187" s="1" t="s">
        <v>3009</v>
      </c>
      <c r="N187" s="1">
        <v>1524</v>
      </c>
      <c r="O187" s="1" t="s">
        <v>976</v>
      </c>
      <c r="P187" s="5">
        <v>1523.5</v>
      </c>
      <c r="Q187" s="5">
        <v>166.5</v>
      </c>
      <c r="R187" s="5">
        <v>1665</v>
      </c>
      <c r="S187" s="5">
        <v>25</v>
      </c>
      <c r="T187" s="5" t="s">
        <v>22</v>
      </c>
      <c r="U187" s="5" t="s">
        <v>2443</v>
      </c>
      <c r="V187" s="5" t="s">
        <v>763</v>
      </c>
      <c r="AB187"/>
      <c r="AC187"/>
      <c r="AD187"/>
    </row>
    <row r="188" spans="1:30" x14ac:dyDescent="0.25">
      <c r="A188" t="s">
        <v>3530</v>
      </c>
      <c r="B188" t="s">
        <v>3531</v>
      </c>
      <c r="C188" s="9" t="s">
        <v>3532</v>
      </c>
      <c r="D188" s="9" t="s">
        <v>3533</v>
      </c>
      <c r="E188" s="5" t="s">
        <v>3514</v>
      </c>
      <c r="F188" s="1" t="s">
        <v>3515</v>
      </c>
      <c r="G188" s="25">
        <v>44448</v>
      </c>
      <c r="H188" s="1" t="s">
        <v>3516</v>
      </c>
      <c r="I188" s="14" t="s">
        <v>380</v>
      </c>
      <c r="J188" s="1" t="s">
        <v>3006</v>
      </c>
      <c r="K188" s="14" t="s">
        <v>3007</v>
      </c>
      <c r="L188" s="1" t="s">
        <v>3008</v>
      </c>
      <c r="M188" s="1" t="s">
        <v>3009</v>
      </c>
      <c r="N188" s="1">
        <v>886</v>
      </c>
      <c r="O188" s="1" t="s">
        <v>976</v>
      </c>
      <c r="P188" s="5">
        <v>743.1</v>
      </c>
      <c r="Q188" s="5">
        <v>178</v>
      </c>
      <c r="R188" s="5">
        <v>890</v>
      </c>
      <c r="S188" s="5">
        <v>31.1</v>
      </c>
      <c r="T188" s="5" t="s">
        <v>5574</v>
      </c>
      <c r="V188" s="5" t="s">
        <v>380</v>
      </c>
      <c r="AB188"/>
      <c r="AC188"/>
      <c r="AD188"/>
    </row>
    <row r="189" spans="1:30" x14ac:dyDescent="0.25">
      <c r="A189" t="s">
        <v>3534</v>
      </c>
      <c r="B189" t="s">
        <v>3535</v>
      </c>
      <c r="C189" s="9" t="s">
        <v>3536</v>
      </c>
      <c r="D189" s="9">
        <v>941505572</v>
      </c>
      <c r="E189" s="5" t="s">
        <v>3003</v>
      </c>
      <c r="F189" s="1" t="s">
        <v>3537</v>
      </c>
      <c r="G189" s="25">
        <v>44552</v>
      </c>
      <c r="H189" s="1" t="s">
        <v>3364</v>
      </c>
      <c r="I189" s="14" t="s">
        <v>415</v>
      </c>
      <c r="J189" s="1" t="s">
        <v>3006</v>
      </c>
      <c r="K189" s="14" t="s">
        <v>3007</v>
      </c>
      <c r="L189" s="1" t="s">
        <v>3008</v>
      </c>
      <c r="M189" s="1" t="s">
        <v>3009</v>
      </c>
      <c r="N189" s="1">
        <v>1530</v>
      </c>
      <c r="O189" s="1" t="s">
        <v>976</v>
      </c>
      <c r="P189" s="5">
        <v>887.02</v>
      </c>
      <c r="Q189" s="5">
        <v>0</v>
      </c>
      <c r="R189" s="5">
        <v>870</v>
      </c>
      <c r="S189" s="5">
        <v>17.02</v>
      </c>
      <c r="T189" s="5">
        <v>39</v>
      </c>
      <c r="V189" s="5" t="s">
        <v>415</v>
      </c>
      <c r="AB189"/>
      <c r="AC189"/>
      <c r="AD189"/>
    </row>
    <row r="190" spans="1:30" x14ac:dyDescent="0.25">
      <c r="A190" t="s">
        <v>3538</v>
      </c>
      <c r="B190" t="s">
        <v>3539</v>
      </c>
      <c r="C190" s="9" t="s">
        <v>3540</v>
      </c>
      <c r="D190" s="9">
        <v>997991769</v>
      </c>
      <c r="E190" s="5" t="s">
        <v>3003</v>
      </c>
      <c r="F190" s="1" t="s">
        <v>3004</v>
      </c>
      <c r="G190" s="25">
        <v>44173</v>
      </c>
      <c r="H190" s="1" t="s">
        <v>3015</v>
      </c>
      <c r="I190" s="14" t="s">
        <v>252</v>
      </c>
      <c r="J190" s="1" t="s">
        <v>3006</v>
      </c>
      <c r="K190" s="14" t="s">
        <v>3007</v>
      </c>
      <c r="L190" s="1" t="s">
        <v>3008</v>
      </c>
      <c r="M190" s="1" t="s">
        <v>3009</v>
      </c>
      <c r="N190" s="1">
        <v>73</v>
      </c>
      <c r="O190" s="1" t="s">
        <v>976</v>
      </c>
      <c r="P190" s="5">
        <v>1100</v>
      </c>
      <c r="Q190" s="5">
        <v>0</v>
      </c>
      <c r="R190" s="5">
        <v>1100</v>
      </c>
      <c r="S190" s="5">
        <v>0</v>
      </c>
      <c r="T190" s="5" t="s">
        <v>22</v>
      </c>
      <c r="V190" s="5" t="s">
        <v>252</v>
      </c>
      <c r="AB190"/>
      <c r="AC190"/>
      <c r="AD190"/>
    </row>
    <row r="191" spans="1:30" x14ac:dyDescent="0.25">
      <c r="A191" t="s">
        <v>3541</v>
      </c>
      <c r="B191" t="s">
        <v>3542</v>
      </c>
      <c r="C191" s="9" t="s">
        <v>3543</v>
      </c>
      <c r="D191" s="9" t="s">
        <v>3544</v>
      </c>
      <c r="E191" s="5" t="s">
        <v>3003</v>
      </c>
      <c r="F191" s="1" t="s">
        <v>3004</v>
      </c>
      <c r="G191" s="25">
        <v>44298</v>
      </c>
      <c r="H191" s="1" t="s">
        <v>3545</v>
      </c>
      <c r="I191" s="14" t="s">
        <v>1415</v>
      </c>
      <c r="J191" s="1" t="s">
        <v>3006</v>
      </c>
      <c r="K191" s="14" t="s">
        <v>3007</v>
      </c>
      <c r="L191" s="1" t="s">
        <v>3008</v>
      </c>
      <c r="M191" s="1" t="s">
        <v>3009</v>
      </c>
      <c r="N191" s="1">
        <v>319</v>
      </c>
      <c r="O191" s="1" t="s">
        <v>976</v>
      </c>
      <c r="P191" s="5">
        <v>470</v>
      </c>
      <c r="Q191" s="5">
        <v>100</v>
      </c>
      <c r="R191" s="5">
        <v>570</v>
      </c>
      <c r="S191" s="5">
        <v>0</v>
      </c>
      <c r="T191" s="5" t="s">
        <v>23</v>
      </c>
      <c r="U191" s="5" t="s">
        <v>2472</v>
      </c>
      <c r="V191" s="5" t="s">
        <v>841</v>
      </c>
      <c r="AB191"/>
      <c r="AC191"/>
      <c r="AD191"/>
    </row>
    <row r="192" spans="1:30" x14ac:dyDescent="0.25">
      <c r="A192" t="s">
        <v>3541</v>
      </c>
      <c r="B192" t="s">
        <v>3542</v>
      </c>
      <c r="C192" s="9" t="s">
        <v>3543</v>
      </c>
      <c r="D192" s="9" t="s">
        <v>3544</v>
      </c>
      <c r="E192" s="5" t="s">
        <v>3003</v>
      </c>
      <c r="F192" s="1" t="s">
        <v>3004</v>
      </c>
      <c r="G192" s="25">
        <v>44298</v>
      </c>
      <c r="H192" s="1" t="s">
        <v>3546</v>
      </c>
      <c r="I192" s="14" t="s">
        <v>1415</v>
      </c>
      <c r="J192" s="1" t="s">
        <v>3006</v>
      </c>
      <c r="K192" s="14" t="s">
        <v>3007</v>
      </c>
      <c r="L192" s="1" t="s">
        <v>3008</v>
      </c>
      <c r="M192" s="1" t="s">
        <v>3009</v>
      </c>
      <c r="N192" s="1">
        <v>319</v>
      </c>
      <c r="O192" s="1" t="s">
        <v>976</v>
      </c>
      <c r="P192" s="5">
        <v>470</v>
      </c>
      <c r="Q192" s="5">
        <v>100</v>
      </c>
      <c r="R192" s="5">
        <v>570</v>
      </c>
      <c r="S192" s="5">
        <v>0</v>
      </c>
      <c r="T192" s="5" t="s">
        <v>23</v>
      </c>
      <c r="U192" s="5" t="s">
        <v>2482</v>
      </c>
      <c r="V192" s="5" t="s">
        <v>842</v>
      </c>
      <c r="AB192"/>
      <c r="AC192"/>
      <c r="AD192"/>
    </row>
    <row r="193" spans="1:30" x14ac:dyDescent="0.25">
      <c r="A193" t="s">
        <v>3541</v>
      </c>
      <c r="B193" t="s">
        <v>3542</v>
      </c>
      <c r="C193" s="9" t="s">
        <v>3543</v>
      </c>
      <c r="D193" s="9" t="s">
        <v>3544</v>
      </c>
      <c r="E193" s="5" t="s">
        <v>3003</v>
      </c>
      <c r="F193" s="1" t="s">
        <v>3004</v>
      </c>
      <c r="G193" s="25">
        <v>44298</v>
      </c>
      <c r="H193" s="1" t="s">
        <v>3547</v>
      </c>
      <c r="I193" s="14" t="s">
        <v>1415</v>
      </c>
      <c r="J193" s="1" t="s">
        <v>3006</v>
      </c>
      <c r="K193" s="14" t="s">
        <v>3007</v>
      </c>
      <c r="L193" s="1" t="s">
        <v>3008</v>
      </c>
      <c r="M193" s="1" t="s">
        <v>3009</v>
      </c>
      <c r="N193" s="1">
        <v>319</v>
      </c>
      <c r="O193" s="1" t="s">
        <v>976</v>
      </c>
      <c r="P193" s="5">
        <v>569.04999999999995</v>
      </c>
      <c r="Q193" s="5">
        <v>29.95</v>
      </c>
      <c r="R193" s="5">
        <v>599</v>
      </c>
      <c r="S193" s="5">
        <v>0</v>
      </c>
      <c r="T193" s="5" t="s">
        <v>23</v>
      </c>
      <c r="U193" s="5" t="s">
        <v>2447</v>
      </c>
      <c r="V193" s="5" t="s">
        <v>865</v>
      </c>
      <c r="AB193"/>
      <c r="AC193"/>
      <c r="AD193"/>
    </row>
    <row r="194" spans="1:30" x14ac:dyDescent="0.25">
      <c r="A194" t="s">
        <v>3548</v>
      </c>
      <c r="B194" t="s">
        <v>3549</v>
      </c>
      <c r="C194" s="9" t="s">
        <v>3550</v>
      </c>
      <c r="D194" s="9" t="s">
        <v>3551</v>
      </c>
      <c r="E194" s="5" t="s">
        <v>3003</v>
      </c>
      <c r="F194" s="1" t="s">
        <v>3004</v>
      </c>
      <c r="G194" s="25">
        <v>44490</v>
      </c>
      <c r="H194" s="1" t="s">
        <v>3552</v>
      </c>
      <c r="I194" s="14" t="s">
        <v>249</v>
      </c>
      <c r="J194" s="1" t="s">
        <v>3006</v>
      </c>
      <c r="K194" s="14" t="s">
        <v>3007</v>
      </c>
      <c r="L194" s="1" t="s">
        <v>3008</v>
      </c>
      <c r="M194" s="1" t="s">
        <v>3009</v>
      </c>
      <c r="N194" s="1">
        <v>1081</v>
      </c>
      <c r="O194" s="1" t="s">
        <v>976</v>
      </c>
      <c r="P194" s="5">
        <v>1730</v>
      </c>
      <c r="Q194" s="5">
        <v>1670</v>
      </c>
      <c r="R194" s="5">
        <v>3400</v>
      </c>
      <c r="S194" s="5">
        <v>0</v>
      </c>
      <c r="T194" s="5" t="s">
        <v>24</v>
      </c>
      <c r="V194" s="5" t="s">
        <v>249</v>
      </c>
      <c r="AB194"/>
      <c r="AC194"/>
      <c r="AD194"/>
    </row>
    <row r="195" spans="1:30" x14ac:dyDescent="0.25">
      <c r="A195" t="s">
        <v>3553</v>
      </c>
      <c r="B195" t="s">
        <v>3554</v>
      </c>
      <c r="C195" s="9" t="s">
        <v>3555</v>
      </c>
      <c r="D195" s="9" t="s">
        <v>3556</v>
      </c>
      <c r="E195" s="5" t="s">
        <v>3013</v>
      </c>
      <c r="F195" s="1" t="s">
        <v>3067</v>
      </c>
      <c r="G195" s="25">
        <v>44539</v>
      </c>
      <c r="H195" s="1" t="s">
        <v>3557</v>
      </c>
      <c r="I195" s="14" t="s">
        <v>2930</v>
      </c>
      <c r="J195" s="1" t="s">
        <v>3006</v>
      </c>
      <c r="K195" s="14" t="s">
        <v>3007</v>
      </c>
      <c r="L195" s="1" t="s">
        <v>3008</v>
      </c>
      <c r="M195" s="1" t="s">
        <v>3009</v>
      </c>
      <c r="N195" s="1">
        <v>1407</v>
      </c>
      <c r="O195" s="1" t="s">
        <v>976</v>
      </c>
      <c r="P195" s="5">
        <v>650</v>
      </c>
      <c r="Q195" s="5">
        <v>0</v>
      </c>
      <c r="R195" s="5">
        <v>650</v>
      </c>
      <c r="S195" s="5">
        <v>0</v>
      </c>
      <c r="T195" s="5" t="s">
        <v>24</v>
      </c>
      <c r="U195" s="5" t="s">
        <v>2443</v>
      </c>
      <c r="V195" s="5" t="s">
        <v>920</v>
      </c>
      <c r="AB195"/>
      <c r="AC195"/>
      <c r="AD195"/>
    </row>
    <row r="196" spans="1:30" x14ac:dyDescent="0.25">
      <c r="A196" t="s">
        <v>3553</v>
      </c>
      <c r="B196" t="s">
        <v>3554</v>
      </c>
      <c r="C196" s="9" t="s">
        <v>3555</v>
      </c>
      <c r="D196" s="9" t="s">
        <v>3556</v>
      </c>
      <c r="E196" s="5" t="s">
        <v>3013</v>
      </c>
      <c r="F196" s="1" t="s">
        <v>3067</v>
      </c>
      <c r="G196" s="25">
        <v>44539</v>
      </c>
      <c r="H196" s="1" t="s">
        <v>3558</v>
      </c>
      <c r="I196" s="14" t="s">
        <v>398</v>
      </c>
      <c r="J196" s="1" t="s">
        <v>3006</v>
      </c>
      <c r="K196" s="14" t="s">
        <v>3007</v>
      </c>
      <c r="L196" s="1" t="s">
        <v>3008</v>
      </c>
      <c r="M196" s="1" t="s">
        <v>3009</v>
      </c>
      <c r="N196" s="1">
        <v>1407</v>
      </c>
      <c r="O196" s="1" t="s">
        <v>976</v>
      </c>
      <c r="P196" s="5">
        <v>870</v>
      </c>
      <c r="Q196" s="5">
        <v>0</v>
      </c>
      <c r="R196" s="5">
        <v>870</v>
      </c>
      <c r="S196" s="5">
        <v>0</v>
      </c>
      <c r="T196" s="5">
        <v>42</v>
      </c>
      <c r="V196" s="5" t="s">
        <v>398</v>
      </c>
      <c r="AB196"/>
      <c r="AC196"/>
      <c r="AD196"/>
    </row>
    <row r="197" spans="1:30" x14ac:dyDescent="0.25">
      <c r="A197" t="s">
        <v>3559</v>
      </c>
      <c r="B197" t="s">
        <v>3560</v>
      </c>
      <c r="C197" s="9" t="s">
        <v>3561</v>
      </c>
      <c r="D197" s="9" t="s">
        <v>3562</v>
      </c>
      <c r="E197" s="5" t="s">
        <v>3003</v>
      </c>
      <c r="F197" s="1" t="s">
        <v>3004</v>
      </c>
      <c r="G197" s="25">
        <v>44173</v>
      </c>
      <c r="H197" s="1" t="s">
        <v>3563</v>
      </c>
      <c r="I197" s="14" t="s">
        <v>2841</v>
      </c>
      <c r="J197" s="1" t="s">
        <v>3006</v>
      </c>
      <c r="K197" s="14" t="s">
        <v>3007</v>
      </c>
      <c r="L197" s="1" t="s">
        <v>3008</v>
      </c>
      <c r="M197" s="1" t="s">
        <v>3016</v>
      </c>
      <c r="N197" s="1">
        <v>67</v>
      </c>
      <c r="O197" s="1" t="s">
        <v>976</v>
      </c>
      <c r="P197" s="5">
        <v>2.0099999999999998</v>
      </c>
      <c r="Q197" s="5">
        <v>92.99</v>
      </c>
      <c r="R197" s="5">
        <v>95</v>
      </c>
      <c r="S197" s="5">
        <v>0</v>
      </c>
      <c r="T197" s="5">
        <v>43</v>
      </c>
      <c r="U197" s="5" t="s">
        <v>2472</v>
      </c>
      <c r="V197" s="5" t="s">
        <v>826</v>
      </c>
      <c r="AB197"/>
      <c r="AC197"/>
      <c r="AD197"/>
    </row>
    <row r="198" spans="1:30" x14ac:dyDescent="0.25">
      <c r="A198" t="s">
        <v>3559</v>
      </c>
      <c r="B198" t="s">
        <v>3560</v>
      </c>
      <c r="C198" s="9" t="s">
        <v>3561</v>
      </c>
      <c r="D198" s="9" t="s">
        <v>3562</v>
      </c>
      <c r="E198" s="5" t="s">
        <v>3003</v>
      </c>
      <c r="F198" s="1" t="s">
        <v>3004</v>
      </c>
      <c r="G198" s="25">
        <v>44173</v>
      </c>
      <c r="H198" s="1" t="s">
        <v>3564</v>
      </c>
      <c r="I198" s="14" t="s">
        <v>295</v>
      </c>
      <c r="J198" s="1" t="s">
        <v>3006</v>
      </c>
      <c r="K198" s="14" t="s">
        <v>3007</v>
      </c>
      <c r="L198" s="1" t="s">
        <v>3008</v>
      </c>
      <c r="M198" s="1" t="s">
        <v>3016</v>
      </c>
      <c r="N198" s="1">
        <v>67</v>
      </c>
      <c r="O198" s="1" t="s">
        <v>976</v>
      </c>
      <c r="P198" s="5">
        <v>12.99</v>
      </c>
      <c r="Q198" s="5">
        <v>602.01</v>
      </c>
      <c r="R198" s="5">
        <v>615</v>
      </c>
      <c r="S198" s="5">
        <v>0</v>
      </c>
      <c r="T198" s="5" t="s">
        <v>24</v>
      </c>
      <c r="V198" s="5" t="s">
        <v>295</v>
      </c>
      <c r="AB198"/>
      <c r="AC198"/>
      <c r="AD198"/>
    </row>
    <row r="199" spans="1:30" x14ac:dyDescent="0.25">
      <c r="A199" t="s">
        <v>3565</v>
      </c>
      <c r="B199" t="s">
        <v>3566</v>
      </c>
      <c r="C199" s="9" t="s">
        <v>3567</v>
      </c>
      <c r="D199" s="9">
        <v>99209951</v>
      </c>
      <c r="E199" s="5" t="s">
        <v>3003</v>
      </c>
      <c r="F199" s="1" t="s">
        <v>3004</v>
      </c>
      <c r="G199" s="25">
        <v>44399</v>
      </c>
      <c r="H199" s="1" t="s">
        <v>3027</v>
      </c>
      <c r="I199" s="14" t="s">
        <v>254</v>
      </c>
      <c r="J199" s="1" t="s">
        <v>3006</v>
      </c>
      <c r="K199" s="14" t="s">
        <v>3007</v>
      </c>
      <c r="L199" s="1" t="s">
        <v>3008</v>
      </c>
      <c r="M199" s="1" t="s">
        <v>3016</v>
      </c>
      <c r="N199" s="1">
        <v>673</v>
      </c>
      <c r="O199" s="1" t="s">
        <v>976</v>
      </c>
      <c r="P199" s="5">
        <v>560.5</v>
      </c>
      <c r="Q199" s="5">
        <v>29.5</v>
      </c>
      <c r="R199" s="5">
        <v>590</v>
      </c>
      <c r="S199" s="5">
        <v>0</v>
      </c>
      <c r="T199" s="5" t="s">
        <v>22</v>
      </c>
      <c r="V199" s="5" t="s">
        <v>254</v>
      </c>
      <c r="AB199"/>
      <c r="AC199"/>
      <c r="AD199"/>
    </row>
    <row r="200" spans="1:30" x14ac:dyDescent="0.25">
      <c r="A200" t="s">
        <v>3565</v>
      </c>
      <c r="B200" t="s">
        <v>3566</v>
      </c>
      <c r="C200" s="9" t="s">
        <v>3567</v>
      </c>
      <c r="D200" s="9">
        <v>99209951</v>
      </c>
      <c r="E200" s="5" t="s">
        <v>3003</v>
      </c>
      <c r="F200" s="1" t="s">
        <v>3004</v>
      </c>
      <c r="G200" s="25">
        <v>44399</v>
      </c>
      <c r="H200" s="1" t="s">
        <v>3568</v>
      </c>
      <c r="I200" s="14" t="s">
        <v>2829</v>
      </c>
      <c r="J200" s="1" t="s">
        <v>3006</v>
      </c>
      <c r="K200" s="14" t="s">
        <v>3007</v>
      </c>
      <c r="L200" s="1" t="s">
        <v>3008</v>
      </c>
      <c r="M200" s="1" t="s">
        <v>3016</v>
      </c>
      <c r="N200" s="1">
        <v>673</v>
      </c>
      <c r="O200" s="1" t="s">
        <v>976</v>
      </c>
      <c r="P200" s="5">
        <v>874</v>
      </c>
      <c r="Q200" s="5">
        <v>46</v>
      </c>
      <c r="R200" s="5">
        <v>920</v>
      </c>
      <c r="S200" s="5">
        <v>0</v>
      </c>
      <c r="T200" s="5" t="s">
        <v>23</v>
      </c>
      <c r="U200" s="5" t="s">
        <v>2447</v>
      </c>
      <c r="V200" s="5" t="s">
        <v>811</v>
      </c>
      <c r="AB200"/>
      <c r="AC200"/>
      <c r="AD200"/>
    </row>
    <row r="201" spans="1:30" x14ac:dyDescent="0.25">
      <c r="A201" t="s">
        <v>3565</v>
      </c>
      <c r="B201" t="s">
        <v>3566</v>
      </c>
      <c r="C201" s="9" t="s">
        <v>3567</v>
      </c>
      <c r="D201" s="9">
        <v>99209951</v>
      </c>
      <c r="E201" s="5" t="s">
        <v>3003</v>
      </c>
      <c r="F201" s="1" t="s">
        <v>3004</v>
      </c>
      <c r="G201" s="25">
        <v>44399</v>
      </c>
      <c r="H201" s="1" t="s">
        <v>3569</v>
      </c>
      <c r="I201" s="14" t="s">
        <v>2881</v>
      </c>
      <c r="J201" s="1" t="s">
        <v>3006</v>
      </c>
      <c r="K201" s="14" t="s">
        <v>3007</v>
      </c>
      <c r="L201" s="1" t="s">
        <v>3008</v>
      </c>
      <c r="M201" s="1" t="s">
        <v>3016</v>
      </c>
      <c r="N201" s="1">
        <v>673</v>
      </c>
      <c r="O201" s="1" t="s">
        <v>976</v>
      </c>
      <c r="P201" s="5">
        <v>239.4</v>
      </c>
      <c r="Q201" s="5">
        <v>12.6</v>
      </c>
      <c r="R201" s="5">
        <v>252</v>
      </c>
      <c r="S201" s="5">
        <v>0</v>
      </c>
      <c r="T201" s="5" t="s">
        <v>23</v>
      </c>
      <c r="U201" s="5" t="s">
        <v>2447</v>
      </c>
      <c r="V201" s="5" t="s">
        <v>889</v>
      </c>
      <c r="AB201"/>
      <c r="AC201"/>
      <c r="AD201"/>
    </row>
    <row r="202" spans="1:30" x14ac:dyDescent="0.25">
      <c r="A202" t="s">
        <v>3565</v>
      </c>
      <c r="B202" t="s">
        <v>3566</v>
      </c>
      <c r="C202" s="9" t="s">
        <v>3567</v>
      </c>
      <c r="D202" s="9">
        <v>99209951</v>
      </c>
      <c r="E202" s="5" t="s">
        <v>3003</v>
      </c>
      <c r="F202" s="1" t="s">
        <v>3004</v>
      </c>
      <c r="G202" s="25">
        <v>44399</v>
      </c>
      <c r="H202" s="1" t="s">
        <v>3570</v>
      </c>
      <c r="I202" s="14" t="s">
        <v>2881</v>
      </c>
      <c r="J202" s="1" t="s">
        <v>3006</v>
      </c>
      <c r="K202" s="14" t="s">
        <v>3007</v>
      </c>
      <c r="L202" s="1" t="s">
        <v>3008</v>
      </c>
      <c r="M202" s="1" t="s">
        <v>3016</v>
      </c>
      <c r="N202" s="1">
        <v>673</v>
      </c>
      <c r="O202" s="1" t="s">
        <v>976</v>
      </c>
      <c r="P202" s="5">
        <v>239.4</v>
      </c>
      <c r="Q202" s="5">
        <v>12.6</v>
      </c>
      <c r="R202" s="5">
        <v>252</v>
      </c>
      <c r="S202" s="5">
        <v>0</v>
      </c>
      <c r="T202" s="5" t="s">
        <v>22</v>
      </c>
      <c r="U202" s="5" t="s">
        <v>2447</v>
      </c>
      <c r="V202" s="5" t="s">
        <v>889</v>
      </c>
      <c r="AB202"/>
      <c r="AC202"/>
      <c r="AD202"/>
    </row>
    <row r="203" spans="1:30" x14ac:dyDescent="0.25">
      <c r="A203" t="s">
        <v>3565</v>
      </c>
      <c r="B203" t="s">
        <v>3566</v>
      </c>
      <c r="C203" s="9" t="s">
        <v>3567</v>
      </c>
      <c r="D203" s="9">
        <v>99209951</v>
      </c>
      <c r="E203" s="5" t="s">
        <v>3003</v>
      </c>
      <c r="F203" s="1" t="s">
        <v>3004</v>
      </c>
      <c r="G203" s="25">
        <v>44399</v>
      </c>
      <c r="H203" s="1" t="s">
        <v>3571</v>
      </c>
      <c r="I203" s="14" t="s">
        <v>2940</v>
      </c>
      <c r="J203" s="1" t="s">
        <v>3006</v>
      </c>
      <c r="K203" s="14" t="s">
        <v>3007</v>
      </c>
      <c r="L203" s="1" t="s">
        <v>3008</v>
      </c>
      <c r="M203" s="1" t="s">
        <v>3016</v>
      </c>
      <c r="N203" s="1">
        <v>673</v>
      </c>
      <c r="O203" s="1" t="s">
        <v>976</v>
      </c>
      <c r="P203" s="5">
        <v>427.5</v>
      </c>
      <c r="Q203" s="5">
        <v>22.5</v>
      </c>
      <c r="R203" s="5">
        <v>450</v>
      </c>
      <c r="S203" s="5">
        <v>0</v>
      </c>
      <c r="T203" s="5">
        <v>37</v>
      </c>
      <c r="U203" s="5" t="s">
        <v>2495</v>
      </c>
      <c r="V203" s="5" t="s">
        <v>924</v>
      </c>
      <c r="AB203"/>
      <c r="AC203"/>
      <c r="AD203"/>
    </row>
    <row r="204" spans="1:30" x14ac:dyDescent="0.25">
      <c r="A204" t="s">
        <v>3565</v>
      </c>
      <c r="B204" t="s">
        <v>3566</v>
      </c>
      <c r="C204" s="9" t="s">
        <v>3567</v>
      </c>
      <c r="D204" s="9">
        <v>99209951</v>
      </c>
      <c r="E204" s="5" t="s">
        <v>3003</v>
      </c>
      <c r="F204" s="1" t="s">
        <v>3004</v>
      </c>
      <c r="G204" s="25">
        <v>44399</v>
      </c>
      <c r="H204" s="1" t="s">
        <v>3572</v>
      </c>
      <c r="I204" s="14" t="s">
        <v>2996</v>
      </c>
      <c r="J204" s="1" t="s">
        <v>3006</v>
      </c>
      <c r="K204" s="14" t="s">
        <v>3007</v>
      </c>
      <c r="L204" s="1" t="s">
        <v>3008</v>
      </c>
      <c r="M204" s="1" t="s">
        <v>3016</v>
      </c>
      <c r="N204" s="1">
        <v>673</v>
      </c>
      <c r="O204" s="1" t="s">
        <v>976</v>
      </c>
      <c r="P204" s="5">
        <v>232.75</v>
      </c>
      <c r="Q204" s="5">
        <v>12.25</v>
      </c>
      <c r="R204" s="5">
        <v>245</v>
      </c>
      <c r="S204" s="5">
        <v>0</v>
      </c>
      <c r="T204" s="5" t="s">
        <v>24</v>
      </c>
      <c r="U204" s="5" t="s">
        <v>2447</v>
      </c>
      <c r="V204" s="5" t="s">
        <v>966</v>
      </c>
      <c r="AB204"/>
      <c r="AC204"/>
      <c r="AD204"/>
    </row>
    <row r="205" spans="1:30" x14ac:dyDescent="0.25">
      <c r="A205" t="s">
        <v>3565</v>
      </c>
      <c r="B205" t="s">
        <v>3566</v>
      </c>
      <c r="C205" s="9" t="s">
        <v>3567</v>
      </c>
      <c r="D205" s="9">
        <v>99209951</v>
      </c>
      <c r="E205" s="5" t="s">
        <v>3003</v>
      </c>
      <c r="F205" s="1" t="s">
        <v>3004</v>
      </c>
      <c r="G205" s="25">
        <v>44399</v>
      </c>
      <c r="H205" s="1" t="s">
        <v>3573</v>
      </c>
      <c r="I205" s="14" t="s">
        <v>2996</v>
      </c>
      <c r="J205" s="1" t="s">
        <v>3006</v>
      </c>
      <c r="K205" s="14" t="s">
        <v>3007</v>
      </c>
      <c r="L205" s="1" t="s">
        <v>3008</v>
      </c>
      <c r="M205" s="1" t="s">
        <v>3016</v>
      </c>
      <c r="N205" s="1">
        <v>673</v>
      </c>
      <c r="O205" s="1" t="s">
        <v>976</v>
      </c>
      <c r="P205" s="5">
        <v>232.75</v>
      </c>
      <c r="Q205" s="5">
        <v>12.25</v>
      </c>
      <c r="R205" s="5">
        <v>245</v>
      </c>
      <c r="S205" s="5">
        <v>0</v>
      </c>
      <c r="T205" s="5" t="s">
        <v>23</v>
      </c>
      <c r="U205" s="5" t="s">
        <v>2447</v>
      </c>
      <c r="V205" s="5" t="s">
        <v>966</v>
      </c>
      <c r="AB205"/>
      <c r="AC205"/>
      <c r="AD205"/>
    </row>
    <row r="206" spans="1:30" x14ac:dyDescent="0.25">
      <c r="A206" t="s">
        <v>3565</v>
      </c>
      <c r="B206" t="s">
        <v>3566</v>
      </c>
      <c r="C206" s="9" t="s">
        <v>3567</v>
      </c>
      <c r="D206" s="9">
        <v>99209951</v>
      </c>
      <c r="E206" s="5" t="s">
        <v>3003</v>
      </c>
      <c r="F206" s="1" t="s">
        <v>3004</v>
      </c>
      <c r="G206" s="25">
        <v>44399</v>
      </c>
      <c r="H206" s="1" t="s">
        <v>3574</v>
      </c>
      <c r="I206" s="14" t="s">
        <v>538</v>
      </c>
      <c r="J206" s="1" t="s">
        <v>3006</v>
      </c>
      <c r="K206" s="14" t="s">
        <v>3007</v>
      </c>
      <c r="L206" s="1" t="s">
        <v>3008</v>
      </c>
      <c r="M206" s="1" t="s">
        <v>3016</v>
      </c>
      <c r="N206" s="1">
        <v>673</v>
      </c>
      <c r="O206" s="1" t="s">
        <v>976</v>
      </c>
      <c r="P206" s="5">
        <v>232.75</v>
      </c>
      <c r="Q206" s="5">
        <v>12.25</v>
      </c>
      <c r="R206" s="5">
        <v>245</v>
      </c>
      <c r="S206" s="5">
        <v>0</v>
      </c>
      <c r="T206" s="5" t="s">
        <v>24</v>
      </c>
      <c r="V206" s="5" t="s">
        <v>538</v>
      </c>
      <c r="AB206"/>
      <c r="AC206"/>
      <c r="AD206"/>
    </row>
    <row r="207" spans="1:30" x14ac:dyDescent="0.25">
      <c r="A207" t="s">
        <v>3565</v>
      </c>
      <c r="B207" t="s">
        <v>3566</v>
      </c>
      <c r="C207" s="9" t="s">
        <v>3567</v>
      </c>
      <c r="D207" s="9">
        <v>99209951</v>
      </c>
      <c r="E207" s="5" t="s">
        <v>3003</v>
      </c>
      <c r="F207" s="1" t="s">
        <v>3004</v>
      </c>
      <c r="G207" s="25">
        <v>44399</v>
      </c>
      <c r="H207" s="1" t="s">
        <v>3351</v>
      </c>
      <c r="I207" s="14" t="s">
        <v>540</v>
      </c>
      <c r="J207" s="1" t="s">
        <v>3006</v>
      </c>
      <c r="K207" s="14" t="s">
        <v>3007</v>
      </c>
      <c r="L207" s="1" t="s">
        <v>3008</v>
      </c>
      <c r="M207" s="1" t="s">
        <v>3016</v>
      </c>
      <c r="N207" s="1">
        <v>673</v>
      </c>
      <c r="O207" s="1" t="s">
        <v>976</v>
      </c>
      <c r="P207" s="5">
        <v>232.75</v>
      </c>
      <c r="Q207" s="5">
        <v>12.25</v>
      </c>
      <c r="R207" s="5">
        <v>245</v>
      </c>
      <c r="S207" s="5">
        <v>0</v>
      </c>
      <c r="T207" s="5" t="s">
        <v>23</v>
      </c>
      <c r="V207" s="5" t="s">
        <v>540</v>
      </c>
      <c r="AB207"/>
      <c r="AC207"/>
      <c r="AD207"/>
    </row>
    <row r="208" spans="1:30" x14ac:dyDescent="0.25">
      <c r="A208" t="s">
        <v>3575</v>
      </c>
      <c r="B208" t="s">
        <v>3576</v>
      </c>
      <c r="C208" s="9" t="s">
        <v>3577</v>
      </c>
      <c r="D208" s="9" t="s">
        <v>3578</v>
      </c>
      <c r="E208" s="5" t="s">
        <v>3003</v>
      </c>
      <c r="F208" s="1" t="s">
        <v>3004</v>
      </c>
      <c r="G208" s="25">
        <v>44568</v>
      </c>
      <c r="H208" s="1" t="s">
        <v>3579</v>
      </c>
      <c r="I208" s="14" t="s">
        <v>2930</v>
      </c>
      <c r="J208" s="1" t="s">
        <v>3006</v>
      </c>
      <c r="K208" s="14" t="s">
        <v>3007</v>
      </c>
      <c r="L208" s="1" t="s">
        <v>3008</v>
      </c>
      <c r="M208" s="1" t="s">
        <v>3016</v>
      </c>
      <c r="N208" s="1">
        <v>1607</v>
      </c>
      <c r="O208" s="1" t="s">
        <v>976</v>
      </c>
      <c r="P208" s="5">
        <v>650</v>
      </c>
      <c r="Q208" s="5">
        <v>0</v>
      </c>
      <c r="R208" s="5">
        <v>650</v>
      </c>
      <c r="S208" s="5">
        <v>0</v>
      </c>
      <c r="T208" s="5" t="s">
        <v>22</v>
      </c>
      <c r="U208" s="5" t="s">
        <v>2482</v>
      </c>
      <c r="V208" s="5" t="s">
        <v>922</v>
      </c>
      <c r="AB208"/>
      <c r="AC208"/>
      <c r="AD208"/>
    </row>
    <row r="209" spans="1:30" x14ac:dyDescent="0.25">
      <c r="A209" t="s">
        <v>3580</v>
      </c>
      <c r="B209" t="s">
        <v>3581</v>
      </c>
      <c r="C209" s="9" t="s">
        <v>3582</v>
      </c>
      <c r="D209" s="9">
        <v>961344840</v>
      </c>
      <c r="E209" s="5" t="s">
        <v>3003</v>
      </c>
      <c r="F209" s="1" t="s">
        <v>3004</v>
      </c>
      <c r="G209" s="25">
        <v>44520</v>
      </c>
      <c r="H209" s="1" t="s">
        <v>3299</v>
      </c>
      <c r="I209" s="14" t="s">
        <v>594</v>
      </c>
      <c r="J209" s="1" t="s">
        <v>3006</v>
      </c>
      <c r="K209" s="14" t="s">
        <v>3007</v>
      </c>
      <c r="L209" s="1" t="s">
        <v>3008</v>
      </c>
      <c r="M209" s="1" t="s">
        <v>3016</v>
      </c>
      <c r="N209" s="1">
        <v>1240</v>
      </c>
      <c r="O209" s="1" t="s">
        <v>976</v>
      </c>
      <c r="P209" s="5">
        <v>35.93</v>
      </c>
      <c r="Q209" s="5">
        <v>0</v>
      </c>
      <c r="R209" s="5">
        <v>25</v>
      </c>
      <c r="S209" s="5">
        <v>10.93</v>
      </c>
      <c r="T209" s="5" t="s">
        <v>22</v>
      </c>
      <c r="V209" s="5" t="s">
        <v>594</v>
      </c>
      <c r="AB209"/>
      <c r="AC209"/>
      <c r="AD209"/>
    </row>
    <row r="210" spans="1:30" x14ac:dyDescent="0.25">
      <c r="A210" t="s">
        <v>3583</v>
      </c>
      <c r="B210" t="s">
        <v>3584</v>
      </c>
      <c r="C210" s="9" t="s">
        <v>3585</v>
      </c>
      <c r="D210" s="9">
        <v>959931402</v>
      </c>
      <c r="E210" s="5" t="s">
        <v>3003</v>
      </c>
      <c r="F210" s="1" t="s">
        <v>3004</v>
      </c>
      <c r="G210" s="25">
        <v>44404</v>
      </c>
      <c r="H210" s="1" t="s">
        <v>3027</v>
      </c>
      <c r="I210" s="14" t="s">
        <v>254</v>
      </c>
      <c r="J210" s="1" t="s">
        <v>3006</v>
      </c>
      <c r="K210" s="14" t="s">
        <v>3007</v>
      </c>
      <c r="L210" s="1" t="s">
        <v>3008</v>
      </c>
      <c r="M210" s="1" t="s">
        <v>3009</v>
      </c>
      <c r="N210" s="1">
        <v>699</v>
      </c>
      <c r="O210" s="1" t="s">
        <v>976</v>
      </c>
      <c r="P210" s="5">
        <v>1215.56</v>
      </c>
      <c r="Q210" s="5">
        <v>133</v>
      </c>
      <c r="R210" s="5">
        <v>1330</v>
      </c>
      <c r="S210" s="5">
        <v>18.559999999999999</v>
      </c>
      <c r="T210" s="5" t="s">
        <v>22</v>
      </c>
      <c r="V210" s="5" t="s">
        <v>254</v>
      </c>
      <c r="AB210"/>
      <c r="AC210"/>
      <c r="AD210"/>
    </row>
    <row r="211" spans="1:30" x14ac:dyDescent="0.25">
      <c r="A211" t="s">
        <v>3586</v>
      </c>
      <c r="B211" t="s">
        <v>3587</v>
      </c>
      <c r="C211" s="9" t="s">
        <v>3588</v>
      </c>
      <c r="D211" s="9">
        <v>995721265</v>
      </c>
      <c r="E211" s="5" t="s">
        <v>3003</v>
      </c>
      <c r="F211" s="1" t="s">
        <v>3004</v>
      </c>
      <c r="G211" s="25">
        <v>44536</v>
      </c>
      <c r="H211" s="1" t="s">
        <v>3589</v>
      </c>
      <c r="I211" s="14" t="s">
        <v>561</v>
      </c>
      <c r="J211" s="1" t="s">
        <v>3006</v>
      </c>
      <c r="K211" s="14" t="s">
        <v>3007</v>
      </c>
      <c r="L211" s="1" t="s">
        <v>3008</v>
      </c>
      <c r="M211" s="1" t="s">
        <v>3016</v>
      </c>
      <c r="N211" s="1">
        <v>1350</v>
      </c>
      <c r="O211" s="1" t="s">
        <v>976</v>
      </c>
      <c r="P211" s="5">
        <v>781.33</v>
      </c>
      <c r="Q211" s="5">
        <v>0</v>
      </c>
      <c r="R211" s="5">
        <v>770</v>
      </c>
      <c r="S211" s="5">
        <v>11.33</v>
      </c>
      <c r="T211" s="5" t="s">
        <v>23</v>
      </c>
      <c r="V211" s="5" t="s">
        <v>561</v>
      </c>
      <c r="AB211"/>
      <c r="AC211"/>
      <c r="AD211"/>
    </row>
    <row r="212" spans="1:30" x14ac:dyDescent="0.25">
      <c r="A212" t="s">
        <v>3586</v>
      </c>
      <c r="B212" t="s">
        <v>3587</v>
      </c>
      <c r="C212" s="9" t="s">
        <v>3588</v>
      </c>
      <c r="D212" s="9">
        <v>995721265</v>
      </c>
      <c r="E212" s="5" t="s">
        <v>3003</v>
      </c>
      <c r="F212" s="1" t="s">
        <v>3004</v>
      </c>
      <c r="G212" s="25">
        <v>44536</v>
      </c>
      <c r="H212" s="1" t="s">
        <v>3590</v>
      </c>
      <c r="I212" s="14" t="s">
        <v>2880</v>
      </c>
      <c r="J212" s="1" t="s">
        <v>3006</v>
      </c>
      <c r="K212" s="14" t="s">
        <v>3007</v>
      </c>
      <c r="L212" s="1" t="s">
        <v>3008</v>
      </c>
      <c r="M212" s="1" t="s">
        <v>3016</v>
      </c>
      <c r="N212" s="1">
        <v>1350</v>
      </c>
      <c r="O212" s="1" t="s">
        <v>976</v>
      </c>
      <c r="P212" s="5">
        <v>593.6</v>
      </c>
      <c r="Q212" s="5">
        <v>0</v>
      </c>
      <c r="R212" s="5">
        <v>585</v>
      </c>
      <c r="S212" s="5">
        <v>8.6</v>
      </c>
      <c r="T212" s="5" t="s">
        <v>23</v>
      </c>
      <c r="U212" s="5" t="s">
        <v>2482</v>
      </c>
      <c r="V212" s="5" t="s">
        <v>888</v>
      </c>
      <c r="AB212"/>
      <c r="AC212"/>
      <c r="AD212"/>
    </row>
    <row r="213" spans="1:30" x14ac:dyDescent="0.25">
      <c r="A213" t="s">
        <v>3591</v>
      </c>
      <c r="B213" t="s">
        <v>3592</v>
      </c>
      <c r="C213" s="9" t="s">
        <v>3593</v>
      </c>
      <c r="D213" s="9" t="s">
        <v>976</v>
      </c>
      <c r="E213" s="5" t="s">
        <v>3003</v>
      </c>
      <c r="F213" s="1" t="s">
        <v>3004</v>
      </c>
      <c r="G213" s="25">
        <v>44448</v>
      </c>
      <c r="H213" s="1" t="s">
        <v>3594</v>
      </c>
      <c r="I213" s="14" t="s">
        <v>2782</v>
      </c>
      <c r="J213" s="1" t="s">
        <v>3006</v>
      </c>
      <c r="K213" s="14" t="s">
        <v>3007</v>
      </c>
      <c r="L213" s="1" t="s">
        <v>3008</v>
      </c>
      <c r="M213" s="1" t="s">
        <v>3009</v>
      </c>
      <c r="N213" s="1">
        <v>887</v>
      </c>
      <c r="O213" s="1" t="s">
        <v>976</v>
      </c>
      <c r="P213" s="5">
        <v>460</v>
      </c>
      <c r="Q213" s="5">
        <v>0</v>
      </c>
      <c r="R213" s="5">
        <v>460</v>
      </c>
      <c r="S213" s="5">
        <v>0</v>
      </c>
      <c r="T213" s="5" t="s">
        <v>23</v>
      </c>
      <c r="U213" s="5" t="s">
        <v>2443</v>
      </c>
      <c r="V213" s="5" t="s">
        <v>750</v>
      </c>
      <c r="AB213"/>
      <c r="AC213"/>
      <c r="AD213"/>
    </row>
    <row r="214" spans="1:30" x14ac:dyDescent="0.25">
      <c r="A214" t="s">
        <v>3595</v>
      </c>
      <c r="B214" t="s">
        <v>3596</v>
      </c>
      <c r="C214" s="9" t="s">
        <v>3597</v>
      </c>
      <c r="D214" s="9">
        <v>973342813</v>
      </c>
      <c r="E214" s="5" t="s">
        <v>3003</v>
      </c>
      <c r="F214" s="1" t="s">
        <v>3004</v>
      </c>
      <c r="G214" s="25">
        <v>44483</v>
      </c>
      <c r="H214" s="1" t="s">
        <v>3598</v>
      </c>
      <c r="I214" s="14" t="s">
        <v>413</v>
      </c>
      <c r="J214" s="1" t="s">
        <v>3006</v>
      </c>
      <c r="K214" s="14" t="s">
        <v>3007</v>
      </c>
      <c r="L214" s="1" t="s">
        <v>3008</v>
      </c>
      <c r="M214" s="1" t="s">
        <v>3009</v>
      </c>
      <c r="N214" s="1">
        <v>1045</v>
      </c>
      <c r="O214" s="1" t="s">
        <v>976</v>
      </c>
      <c r="P214" s="5">
        <v>783</v>
      </c>
      <c r="Q214" s="5">
        <v>87</v>
      </c>
      <c r="R214" s="5">
        <v>870</v>
      </c>
      <c r="S214" s="5">
        <v>0</v>
      </c>
      <c r="T214" s="5">
        <v>37</v>
      </c>
      <c r="V214" s="5" t="s">
        <v>413</v>
      </c>
      <c r="AB214"/>
      <c r="AC214"/>
      <c r="AD214"/>
    </row>
    <row r="215" spans="1:30" x14ac:dyDescent="0.25">
      <c r="A215" t="s">
        <v>3599</v>
      </c>
      <c r="B215" t="s">
        <v>3600</v>
      </c>
      <c r="C215" s="9" t="s">
        <v>3601</v>
      </c>
      <c r="D215" s="9">
        <v>981797398</v>
      </c>
      <c r="E215" s="5" t="s">
        <v>3107</v>
      </c>
      <c r="F215" s="1" t="s">
        <v>3108</v>
      </c>
      <c r="G215" s="25">
        <v>44478</v>
      </c>
      <c r="H215" s="1" t="s">
        <v>3602</v>
      </c>
      <c r="I215" s="14" t="s">
        <v>2823</v>
      </c>
      <c r="J215" s="1" t="s">
        <v>3006</v>
      </c>
      <c r="K215" s="14" t="s">
        <v>3007</v>
      </c>
      <c r="L215" s="1" t="s">
        <v>3008</v>
      </c>
      <c r="M215" s="1" t="s">
        <v>3009</v>
      </c>
      <c r="N215" s="1">
        <v>1017</v>
      </c>
      <c r="O215" s="1" t="s">
        <v>976</v>
      </c>
      <c r="P215" s="5">
        <v>251.74</v>
      </c>
      <c r="Q215" s="5">
        <v>0</v>
      </c>
      <c r="R215" s="5">
        <v>230</v>
      </c>
      <c r="S215" s="5">
        <v>21.74</v>
      </c>
      <c r="T215" s="5" t="s">
        <v>23</v>
      </c>
      <c r="U215" s="5" t="s">
        <v>2459</v>
      </c>
      <c r="V215" s="5" t="s">
        <v>804</v>
      </c>
      <c r="AB215"/>
      <c r="AC215"/>
      <c r="AD215"/>
    </row>
    <row r="216" spans="1:30" x14ac:dyDescent="0.25">
      <c r="A216" t="s">
        <v>3599</v>
      </c>
      <c r="B216" t="s">
        <v>3600</v>
      </c>
      <c r="C216" s="9" t="s">
        <v>3601</v>
      </c>
      <c r="D216" s="9">
        <v>981797398</v>
      </c>
      <c r="E216" s="5" t="s">
        <v>3107</v>
      </c>
      <c r="F216" s="1" t="s">
        <v>3108</v>
      </c>
      <c r="G216" s="25">
        <v>44478</v>
      </c>
      <c r="H216" s="1" t="s">
        <v>3220</v>
      </c>
      <c r="I216" s="14" t="s">
        <v>259</v>
      </c>
      <c r="J216" s="1" t="s">
        <v>3006</v>
      </c>
      <c r="K216" s="14" t="s">
        <v>3007</v>
      </c>
      <c r="L216" s="1" t="s">
        <v>3008</v>
      </c>
      <c r="M216" s="1" t="s">
        <v>3009</v>
      </c>
      <c r="N216" s="1">
        <v>1017</v>
      </c>
      <c r="O216" s="1" t="s">
        <v>976</v>
      </c>
      <c r="P216" s="5">
        <v>251.74</v>
      </c>
      <c r="Q216" s="5">
        <v>0</v>
      </c>
      <c r="R216" s="5">
        <v>230</v>
      </c>
      <c r="S216" s="5">
        <v>21.74</v>
      </c>
      <c r="T216" s="5" t="s">
        <v>23</v>
      </c>
      <c r="V216" s="5" t="s">
        <v>259</v>
      </c>
      <c r="AB216"/>
      <c r="AC216"/>
      <c r="AD216"/>
    </row>
    <row r="217" spans="1:30" x14ac:dyDescent="0.25">
      <c r="A217" t="s">
        <v>3599</v>
      </c>
      <c r="B217" t="s">
        <v>3600</v>
      </c>
      <c r="C217" s="9" t="s">
        <v>3601</v>
      </c>
      <c r="D217" s="9">
        <v>981797398</v>
      </c>
      <c r="E217" s="5" t="s">
        <v>3107</v>
      </c>
      <c r="F217" s="1" t="s">
        <v>3108</v>
      </c>
      <c r="G217" s="25">
        <v>44478</v>
      </c>
      <c r="H217" s="1" t="s">
        <v>3335</v>
      </c>
      <c r="I217" s="14" t="s">
        <v>499</v>
      </c>
      <c r="J217" s="1" t="s">
        <v>3006</v>
      </c>
      <c r="K217" s="14" t="s">
        <v>3007</v>
      </c>
      <c r="L217" s="1" t="s">
        <v>3008</v>
      </c>
      <c r="M217" s="1" t="s">
        <v>3009</v>
      </c>
      <c r="N217" s="1">
        <v>1017</v>
      </c>
      <c r="O217" s="1" t="s">
        <v>976</v>
      </c>
      <c r="P217" s="5">
        <v>344.78</v>
      </c>
      <c r="Q217" s="5">
        <v>0</v>
      </c>
      <c r="R217" s="5">
        <v>315</v>
      </c>
      <c r="S217" s="5">
        <v>29.78</v>
      </c>
      <c r="T217" s="5" t="s">
        <v>23</v>
      </c>
      <c r="V217" s="5" t="s">
        <v>499</v>
      </c>
      <c r="AB217"/>
      <c r="AC217"/>
      <c r="AD217"/>
    </row>
    <row r="218" spans="1:30" x14ac:dyDescent="0.25">
      <c r="A218" t="s">
        <v>3603</v>
      </c>
      <c r="B218" t="s">
        <v>3604</v>
      </c>
      <c r="C218" s="9" t="s">
        <v>3605</v>
      </c>
      <c r="D218" s="9">
        <v>991397558</v>
      </c>
      <c r="E218" s="5" t="s">
        <v>3148</v>
      </c>
      <c r="F218" s="1" t="s">
        <v>3606</v>
      </c>
      <c r="G218" s="25">
        <v>44565</v>
      </c>
      <c r="H218" s="1" t="s">
        <v>3109</v>
      </c>
      <c r="I218" s="14" t="s">
        <v>2790</v>
      </c>
      <c r="J218" s="1" t="s">
        <v>3006</v>
      </c>
      <c r="K218" s="14" t="s">
        <v>3007</v>
      </c>
      <c r="L218" s="1" t="s">
        <v>3008</v>
      </c>
      <c r="M218" s="1" t="s">
        <v>3009</v>
      </c>
      <c r="N218" s="1">
        <v>1579</v>
      </c>
      <c r="O218" s="1" t="s">
        <v>976</v>
      </c>
      <c r="P218" s="5">
        <v>1605.91</v>
      </c>
      <c r="Q218" s="5">
        <v>175</v>
      </c>
      <c r="R218" s="5">
        <v>1750</v>
      </c>
      <c r="S218" s="5">
        <v>30.91</v>
      </c>
      <c r="T218" s="5" t="s">
        <v>5574</v>
      </c>
      <c r="U218" s="5" t="s">
        <v>2447</v>
      </c>
      <c r="V218" s="5" t="s">
        <v>244</v>
      </c>
      <c r="AB218"/>
      <c r="AC218"/>
      <c r="AD218"/>
    </row>
    <row r="219" spans="1:30" x14ac:dyDescent="0.25">
      <c r="A219" t="s">
        <v>3607</v>
      </c>
      <c r="B219" t="s">
        <v>3608</v>
      </c>
      <c r="C219" s="9" t="s">
        <v>3609</v>
      </c>
      <c r="D219" s="9">
        <v>975328994</v>
      </c>
      <c r="E219" s="5" t="s">
        <v>3003</v>
      </c>
      <c r="F219" s="1" t="s">
        <v>3004</v>
      </c>
      <c r="G219" s="25">
        <v>44383</v>
      </c>
      <c r="H219" s="1" t="s">
        <v>3610</v>
      </c>
      <c r="I219" s="14" t="s">
        <v>2841</v>
      </c>
      <c r="J219" s="1" t="s">
        <v>3006</v>
      </c>
      <c r="K219" s="14" t="s">
        <v>3007</v>
      </c>
      <c r="L219" s="1" t="s">
        <v>3008</v>
      </c>
      <c r="M219" s="1" t="s">
        <v>3016</v>
      </c>
      <c r="N219" s="1">
        <v>592</v>
      </c>
      <c r="O219" s="1" t="s">
        <v>976</v>
      </c>
      <c r="P219" s="5">
        <v>70.84</v>
      </c>
      <c r="Q219" s="5">
        <v>0</v>
      </c>
      <c r="R219" s="5">
        <v>59.9</v>
      </c>
      <c r="S219" s="5">
        <v>10.94</v>
      </c>
      <c r="T219" s="5">
        <v>41</v>
      </c>
      <c r="U219" s="5" t="s">
        <v>2482</v>
      </c>
      <c r="V219" s="5" t="s">
        <v>827</v>
      </c>
      <c r="AB219"/>
      <c r="AC219"/>
      <c r="AD219"/>
    </row>
    <row r="220" spans="1:30" x14ac:dyDescent="0.25">
      <c r="A220" t="s">
        <v>3611</v>
      </c>
      <c r="B220" t="s">
        <v>3612</v>
      </c>
      <c r="C220" s="9" t="s">
        <v>3613</v>
      </c>
      <c r="D220" s="9">
        <v>96977290</v>
      </c>
      <c r="E220" s="5" t="s">
        <v>3107</v>
      </c>
      <c r="F220" s="1" t="s">
        <v>3108</v>
      </c>
      <c r="G220" s="25">
        <v>44120</v>
      </c>
      <c r="H220" s="1" t="s">
        <v>3343</v>
      </c>
      <c r="I220" s="14" t="s">
        <v>253</v>
      </c>
      <c r="J220" s="1" t="s">
        <v>3006</v>
      </c>
      <c r="K220" s="14" t="s">
        <v>3007</v>
      </c>
      <c r="L220" s="1" t="s">
        <v>3614</v>
      </c>
      <c r="M220" s="1" t="s">
        <v>3016</v>
      </c>
      <c r="N220" s="1">
        <v>33</v>
      </c>
      <c r="O220" s="1" t="s">
        <v>976</v>
      </c>
      <c r="P220" s="5">
        <v>1354</v>
      </c>
      <c r="Q220" s="5">
        <v>0</v>
      </c>
      <c r="R220" s="5">
        <v>1354</v>
      </c>
      <c r="S220" s="5">
        <v>0</v>
      </c>
      <c r="T220" s="5" t="s">
        <v>24</v>
      </c>
      <c r="V220" s="5" t="s">
        <v>253</v>
      </c>
      <c r="AB220"/>
      <c r="AC220"/>
      <c r="AD220"/>
    </row>
    <row r="221" spans="1:30" x14ac:dyDescent="0.25">
      <c r="A221" t="s">
        <v>3615</v>
      </c>
      <c r="B221" t="s">
        <v>3616</v>
      </c>
      <c r="C221" s="9" t="s">
        <v>3617</v>
      </c>
      <c r="D221" s="9">
        <v>984743344</v>
      </c>
      <c r="E221" s="5" t="s">
        <v>3462</v>
      </c>
      <c r="F221" s="1" t="s">
        <v>3463</v>
      </c>
      <c r="G221" s="25">
        <v>44493</v>
      </c>
      <c r="H221" s="1" t="s">
        <v>3027</v>
      </c>
      <c r="I221" s="14" t="s">
        <v>254</v>
      </c>
      <c r="J221" s="1" t="s">
        <v>3006</v>
      </c>
      <c r="K221" s="14" t="s">
        <v>3007</v>
      </c>
      <c r="L221" s="1" t="s">
        <v>3008</v>
      </c>
      <c r="M221" s="1" t="s">
        <v>3009</v>
      </c>
      <c r="N221" s="1">
        <v>1097</v>
      </c>
      <c r="O221" s="1" t="s">
        <v>976</v>
      </c>
      <c r="P221" s="5">
        <v>1264.47</v>
      </c>
      <c r="Q221" s="5">
        <v>133</v>
      </c>
      <c r="R221" s="5">
        <v>1330</v>
      </c>
      <c r="S221" s="5">
        <v>67.47</v>
      </c>
      <c r="T221" s="5" t="s">
        <v>22</v>
      </c>
      <c r="V221" s="5" t="s">
        <v>254</v>
      </c>
      <c r="AB221"/>
      <c r="AC221"/>
      <c r="AD221"/>
    </row>
    <row r="222" spans="1:30" x14ac:dyDescent="0.25">
      <c r="A222" t="s">
        <v>3615</v>
      </c>
      <c r="B222" t="s">
        <v>3616</v>
      </c>
      <c r="C222" s="9" t="s">
        <v>3617</v>
      </c>
      <c r="D222" s="9">
        <v>984743344</v>
      </c>
      <c r="E222" s="5" t="s">
        <v>3462</v>
      </c>
      <c r="F222" s="1" t="s">
        <v>3463</v>
      </c>
      <c r="G222" s="25">
        <v>44493</v>
      </c>
      <c r="H222" s="1" t="s">
        <v>3220</v>
      </c>
      <c r="I222" s="14" t="s">
        <v>259</v>
      </c>
      <c r="J222" s="1" t="s">
        <v>3006</v>
      </c>
      <c r="K222" s="14" t="s">
        <v>3007</v>
      </c>
      <c r="L222" s="1" t="s">
        <v>3008</v>
      </c>
      <c r="M222" s="1" t="s">
        <v>3009</v>
      </c>
      <c r="N222" s="1">
        <v>1097</v>
      </c>
      <c r="O222" s="1" t="s">
        <v>976</v>
      </c>
      <c r="P222" s="5">
        <v>218.67</v>
      </c>
      <c r="Q222" s="5">
        <v>23</v>
      </c>
      <c r="R222" s="5">
        <v>230</v>
      </c>
      <c r="S222" s="5">
        <v>11.67</v>
      </c>
      <c r="T222" s="5" t="s">
        <v>23</v>
      </c>
      <c r="V222" s="5" t="s">
        <v>259</v>
      </c>
      <c r="AB222"/>
      <c r="AC222"/>
      <c r="AD222"/>
    </row>
    <row r="223" spans="1:30" x14ac:dyDescent="0.25">
      <c r="A223" t="s">
        <v>3615</v>
      </c>
      <c r="B223" t="s">
        <v>3616</v>
      </c>
      <c r="C223" s="9" t="s">
        <v>3617</v>
      </c>
      <c r="D223" s="9">
        <v>984743344</v>
      </c>
      <c r="E223" s="5" t="s">
        <v>3462</v>
      </c>
      <c r="F223" s="1" t="s">
        <v>3463</v>
      </c>
      <c r="G223" s="25">
        <v>44493</v>
      </c>
      <c r="H223" s="1" t="s">
        <v>3618</v>
      </c>
      <c r="I223" s="14" t="s">
        <v>416</v>
      </c>
      <c r="J223" s="1" t="s">
        <v>3006</v>
      </c>
      <c r="K223" s="14" t="s">
        <v>3007</v>
      </c>
      <c r="L223" s="1" t="s">
        <v>3008</v>
      </c>
      <c r="M223" s="1" t="s">
        <v>3009</v>
      </c>
      <c r="N223" s="1">
        <v>1097</v>
      </c>
      <c r="O223" s="1" t="s">
        <v>976</v>
      </c>
      <c r="P223" s="5">
        <v>827.13</v>
      </c>
      <c r="Q223" s="5">
        <v>87</v>
      </c>
      <c r="R223" s="5">
        <v>870</v>
      </c>
      <c r="S223" s="5">
        <v>44.13</v>
      </c>
      <c r="T223" s="5">
        <v>40</v>
      </c>
      <c r="V223" s="5" t="s">
        <v>416</v>
      </c>
      <c r="AB223"/>
      <c r="AC223"/>
      <c r="AD223"/>
    </row>
    <row r="224" spans="1:30" x14ac:dyDescent="0.25">
      <c r="A224" t="s">
        <v>3619</v>
      </c>
      <c r="B224" t="s">
        <v>3620</v>
      </c>
      <c r="C224" s="9" t="s">
        <v>3621</v>
      </c>
      <c r="D224" s="9">
        <v>982636601</v>
      </c>
      <c r="E224" s="5" t="s">
        <v>3003</v>
      </c>
      <c r="F224" s="1" t="s">
        <v>3004</v>
      </c>
      <c r="G224" s="25">
        <v>44441</v>
      </c>
      <c r="H224" s="1" t="s">
        <v>3622</v>
      </c>
      <c r="I224" s="14" t="s">
        <v>2849</v>
      </c>
      <c r="J224" s="1" t="s">
        <v>3006</v>
      </c>
      <c r="K224" s="14" t="s">
        <v>3007</v>
      </c>
      <c r="L224" s="1" t="s">
        <v>3008</v>
      </c>
      <c r="M224" s="1" t="s">
        <v>3016</v>
      </c>
      <c r="N224" s="1">
        <v>855</v>
      </c>
      <c r="O224" s="1" t="s">
        <v>976</v>
      </c>
      <c r="P224" s="5">
        <v>35</v>
      </c>
      <c r="Q224" s="5">
        <v>390</v>
      </c>
      <c r="R224" s="5">
        <v>425</v>
      </c>
      <c r="S224" s="5">
        <v>0</v>
      </c>
      <c r="T224" s="5" t="s">
        <v>24</v>
      </c>
      <c r="U224" s="5" t="s">
        <v>2463</v>
      </c>
      <c r="V224" s="5" t="s">
        <v>857</v>
      </c>
      <c r="AB224"/>
      <c r="AC224"/>
      <c r="AD224"/>
    </row>
    <row r="225" spans="1:30" x14ac:dyDescent="0.25">
      <c r="A225" t="s">
        <v>3623</v>
      </c>
      <c r="B225" t="s">
        <v>3624</v>
      </c>
      <c r="C225" s="9" t="s">
        <v>3625</v>
      </c>
      <c r="D225" s="9" t="s">
        <v>3626</v>
      </c>
      <c r="E225" s="5" t="s">
        <v>3003</v>
      </c>
      <c r="F225" s="1" t="s">
        <v>3004</v>
      </c>
      <c r="G225" s="25">
        <v>44565</v>
      </c>
      <c r="H225" s="1" t="s">
        <v>3627</v>
      </c>
      <c r="I225" s="14" t="s">
        <v>2840</v>
      </c>
      <c r="J225" s="1" t="s">
        <v>3006</v>
      </c>
      <c r="K225" s="14" t="s">
        <v>3007</v>
      </c>
      <c r="L225" s="1" t="s">
        <v>3008</v>
      </c>
      <c r="M225" s="1" t="s">
        <v>3009</v>
      </c>
      <c r="N225" s="1">
        <v>1581</v>
      </c>
      <c r="O225" s="1" t="s">
        <v>976</v>
      </c>
      <c r="P225" s="5">
        <v>89</v>
      </c>
      <c r="Q225" s="5">
        <v>0</v>
      </c>
      <c r="R225" s="5">
        <v>89</v>
      </c>
      <c r="S225" s="5">
        <v>0</v>
      </c>
      <c r="T225" s="5">
        <v>41</v>
      </c>
      <c r="U225" s="5" t="s">
        <v>2472</v>
      </c>
      <c r="V225" s="5" t="s">
        <v>825</v>
      </c>
      <c r="AB225"/>
      <c r="AC225"/>
      <c r="AD225"/>
    </row>
    <row r="226" spans="1:30" x14ac:dyDescent="0.25">
      <c r="A226" t="s">
        <v>3623</v>
      </c>
      <c r="B226" t="s">
        <v>3624</v>
      </c>
      <c r="C226" s="9" t="s">
        <v>3625</v>
      </c>
      <c r="D226" s="9" t="s">
        <v>3626</v>
      </c>
      <c r="E226" s="5" t="s">
        <v>3003</v>
      </c>
      <c r="F226" s="1" t="s">
        <v>3004</v>
      </c>
      <c r="G226" s="25">
        <v>44565</v>
      </c>
      <c r="H226" s="1" t="s">
        <v>3628</v>
      </c>
      <c r="I226" s="14" t="s">
        <v>1415</v>
      </c>
      <c r="J226" s="1" t="s">
        <v>3006</v>
      </c>
      <c r="K226" s="14" t="s">
        <v>3007</v>
      </c>
      <c r="L226" s="1" t="s">
        <v>3008</v>
      </c>
      <c r="M226" s="1" t="s">
        <v>3009</v>
      </c>
      <c r="N226" s="1">
        <v>1581</v>
      </c>
      <c r="O226" s="1" t="s">
        <v>976</v>
      </c>
      <c r="P226" s="5">
        <v>390</v>
      </c>
      <c r="Q226" s="5">
        <v>0</v>
      </c>
      <c r="R226" s="5">
        <v>390</v>
      </c>
      <c r="S226" s="5">
        <v>0</v>
      </c>
      <c r="T226" s="5" t="s">
        <v>23</v>
      </c>
      <c r="U226" s="5" t="s">
        <v>2495</v>
      </c>
      <c r="V226" s="5" t="s">
        <v>843</v>
      </c>
      <c r="AB226"/>
      <c r="AC226"/>
      <c r="AD226"/>
    </row>
    <row r="227" spans="1:30" x14ac:dyDescent="0.25">
      <c r="A227" t="s">
        <v>3623</v>
      </c>
      <c r="B227" t="s">
        <v>3624</v>
      </c>
      <c r="C227" s="9" t="s">
        <v>3625</v>
      </c>
      <c r="D227" s="9" t="s">
        <v>3626</v>
      </c>
      <c r="E227" s="5" t="s">
        <v>3003</v>
      </c>
      <c r="F227" s="1" t="s">
        <v>3004</v>
      </c>
      <c r="G227" s="25">
        <v>44565</v>
      </c>
      <c r="H227" s="1" t="s">
        <v>3629</v>
      </c>
      <c r="I227" s="14" t="s">
        <v>2870</v>
      </c>
      <c r="J227" s="1" t="s">
        <v>3006</v>
      </c>
      <c r="K227" s="14" t="s">
        <v>3007</v>
      </c>
      <c r="L227" s="1" t="s">
        <v>3008</v>
      </c>
      <c r="M227" s="1" t="s">
        <v>3009</v>
      </c>
      <c r="N227" s="1">
        <v>1581</v>
      </c>
      <c r="O227" s="1" t="s">
        <v>976</v>
      </c>
      <c r="P227" s="5">
        <v>390</v>
      </c>
      <c r="Q227" s="5">
        <v>0</v>
      </c>
      <c r="R227" s="5">
        <v>390</v>
      </c>
      <c r="S227" s="5">
        <v>0</v>
      </c>
      <c r="T227" s="5" t="s">
        <v>23</v>
      </c>
      <c r="U227" s="5" t="s">
        <v>2528</v>
      </c>
      <c r="V227" s="5" t="s">
        <v>874</v>
      </c>
      <c r="AB227"/>
      <c r="AC227"/>
      <c r="AD227"/>
    </row>
    <row r="228" spans="1:30" x14ac:dyDescent="0.25">
      <c r="A228" t="s">
        <v>3630</v>
      </c>
      <c r="B228" t="s">
        <v>3631</v>
      </c>
      <c r="C228" s="9" t="s">
        <v>3632</v>
      </c>
      <c r="D228" s="9">
        <v>992771291</v>
      </c>
      <c r="E228" s="5" t="s">
        <v>3003</v>
      </c>
      <c r="F228" s="1" t="s">
        <v>3004</v>
      </c>
      <c r="G228" s="25">
        <v>44128</v>
      </c>
      <c r="H228" s="1" t="s">
        <v>3633</v>
      </c>
      <c r="I228" s="14" t="s">
        <v>2771</v>
      </c>
      <c r="J228" s="1" t="s">
        <v>3006</v>
      </c>
      <c r="K228" s="14" t="s">
        <v>3007</v>
      </c>
      <c r="L228" s="1" t="s">
        <v>3008</v>
      </c>
      <c r="M228" s="1" t="s">
        <v>3016</v>
      </c>
      <c r="N228" s="1">
        <v>41</v>
      </c>
      <c r="O228" s="1" t="s">
        <v>976</v>
      </c>
      <c r="P228" s="5">
        <v>270</v>
      </c>
      <c r="Q228" s="5">
        <v>0</v>
      </c>
      <c r="R228" s="5">
        <v>270</v>
      </c>
      <c r="S228" s="5">
        <v>0</v>
      </c>
      <c r="T228" s="5" t="s">
        <v>23</v>
      </c>
      <c r="U228" s="5" t="s">
        <v>2443</v>
      </c>
      <c r="V228" s="5" t="s">
        <v>734</v>
      </c>
      <c r="AB228"/>
      <c r="AC228"/>
      <c r="AD228"/>
    </row>
    <row r="229" spans="1:30" x14ac:dyDescent="0.25">
      <c r="A229" t="s">
        <v>3630</v>
      </c>
      <c r="B229" t="s">
        <v>3631</v>
      </c>
      <c r="C229" s="9" t="s">
        <v>3632</v>
      </c>
      <c r="D229" s="9">
        <v>992771291</v>
      </c>
      <c r="E229" s="5" t="s">
        <v>3003</v>
      </c>
      <c r="F229" s="1" t="s">
        <v>3004</v>
      </c>
      <c r="G229" s="25">
        <v>44128</v>
      </c>
      <c r="H229" s="1" t="s">
        <v>3634</v>
      </c>
      <c r="I229" s="14" t="s">
        <v>2808</v>
      </c>
      <c r="J229" s="1" t="s">
        <v>3006</v>
      </c>
      <c r="K229" s="14" t="s">
        <v>3007</v>
      </c>
      <c r="L229" s="1" t="s">
        <v>3008</v>
      </c>
      <c r="M229" s="1" t="s">
        <v>3016</v>
      </c>
      <c r="N229" s="1">
        <v>41</v>
      </c>
      <c r="O229" s="1" t="s">
        <v>976</v>
      </c>
      <c r="P229" s="5">
        <v>680</v>
      </c>
      <c r="Q229" s="5">
        <v>0</v>
      </c>
      <c r="R229" s="5">
        <v>680</v>
      </c>
      <c r="S229" s="5">
        <v>0</v>
      </c>
      <c r="T229" s="5" t="s">
        <v>23</v>
      </c>
      <c r="U229" s="5" t="s">
        <v>2482</v>
      </c>
      <c r="V229" s="5" t="s">
        <v>779</v>
      </c>
      <c r="AB229"/>
      <c r="AC229"/>
      <c r="AD229"/>
    </row>
    <row r="230" spans="1:30" x14ac:dyDescent="0.25">
      <c r="A230" t="s">
        <v>3635</v>
      </c>
      <c r="B230" t="s">
        <v>3636</v>
      </c>
      <c r="C230" s="9" t="s">
        <v>3637</v>
      </c>
      <c r="D230" s="9">
        <v>988220027</v>
      </c>
      <c r="E230" s="5" t="s">
        <v>3473</v>
      </c>
      <c r="F230" s="1" t="s">
        <v>3638</v>
      </c>
      <c r="G230" s="25">
        <v>44447</v>
      </c>
      <c r="H230" s="1" t="s">
        <v>3639</v>
      </c>
      <c r="I230" s="14" t="s">
        <v>485</v>
      </c>
      <c r="J230" s="1" t="s">
        <v>3006</v>
      </c>
      <c r="K230" s="14" t="s">
        <v>3007</v>
      </c>
      <c r="L230" s="1" t="s">
        <v>3008</v>
      </c>
      <c r="M230" s="1" t="s">
        <v>3016</v>
      </c>
      <c r="N230" s="1">
        <v>871</v>
      </c>
      <c r="O230" s="1" t="s">
        <v>976</v>
      </c>
      <c r="P230" s="5">
        <v>327.18</v>
      </c>
      <c r="Q230" s="5">
        <v>0</v>
      </c>
      <c r="R230" s="5">
        <v>315</v>
      </c>
      <c r="S230" s="5">
        <v>12.18</v>
      </c>
      <c r="T230" s="5" t="s">
        <v>24</v>
      </c>
      <c r="V230" s="5" t="s">
        <v>485</v>
      </c>
      <c r="AB230"/>
      <c r="AC230"/>
      <c r="AD230"/>
    </row>
    <row r="231" spans="1:30" x14ac:dyDescent="0.25">
      <c r="A231" t="s">
        <v>3635</v>
      </c>
      <c r="B231" t="s">
        <v>3636</v>
      </c>
      <c r="C231" s="9" t="s">
        <v>3637</v>
      </c>
      <c r="D231" s="9">
        <v>988220027</v>
      </c>
      <c r="E231" s="5" t="s">
        <v>3473</v>
      </c>
      <c r="F231" s="1" t="s">
        <v>3638</v>
      </c>
      <c r="G231" s="25">
        <v>44447</v>
      </c>
      <c r="H231" s="1" t="s">
        <v>3238</v>
      </c>
      <c r="I231" s="14" t="s">
        <v>497</v>
      </c>
      <c r="J231" s="1" t="s">
        <v>3006</v>
      </c>
      <c r="K231" s="14" t="s">
        <v>3007</v>
      </c>
      <c r="L231" s="1" t="s">
        <v>3008</v>
      </c>
      <c r="M231" s="1" t="s">
        <v>3016</v>
      </c>
      <c r="N231" s="1">
        <v>871</v>
      </c>
      <c r="O231" s="1" t="s">
        <v>976</v>
      </c>
      <c r="P231" s="5">
        <v>327.18</v>
      </c>
      <c r="Q231" s="5">
        <v>0</v>
      </c>
      <c r="R231" s="5">
        <v>315</v>
      </c>
      <c r="S231" s="5">
        <v>12.18</v>
      </c>
      <c r="T231" s="5" t="s">
        <v>24</v>
      </c>
      <c r="V231" s="5" t="s">
        <v>497</v>
      </c>
      <c r="AB231"/>
      <c r="AC231"/>
      <c r="AD231"/>
    </row>
    <row r="232" spans="1:30" x14ac:dyDescent="0.25">
      <c r="A232" t="s">
        <v>3635</v>
      </c>
      <c r="B232" t="s">
        <v>3636</v>
      </c>
      <c r="C232" s="9" t="s">
        <v>3637</v>
      </c>
      <c r="D232" s="9">
        <v>988220027</v>
      </c>
      <c r="E232" s="5" t="s">
        <v>3473</v>
      </c>
      <c r="F232" s="1" t="s">
        <v>3638</v>
      </c>
      <c r="G232" s="25">
        <v>44447</v>
      </c>
      <c r="H232" s="1" t="s">
        <v>3640</v>
      </c>
      <c r="I232" s="14" t="s">
        <v>2930</v>
      </c>
      <c r="J232" s="1" t="s">
        <v>3006</v>
      </c>
      <c r="K232" s="14" t="s">
        <v>3007</v>
      </c>
      <c r="L232" s="1" t="s">
        <v>3008</v>
      </c>
      <c r="M232" s="1" t="s">
        <v>3016</v>
      </c>
      <c r="N232" s="1">
        <v>871</v>
      </c>
      <c r="O232" s="1" t="s">
        <v>976</v>
      </c>
      <c r="P232" s="5">
        <v>597.22</v>
      </c>
      <c r="Q232" s="5">
        <v>0</v>
      </c>
      <c r="R232" s="5">
        <v>575</v>
      </c>
      <c r="S232" s="5">
        <v>22.22</v>
      </c>
      <c r="T232" s="5" t="s">
        <v>24</v>
      </c>
      <c r="U232" s="5" t="s">
        <v>2447</v>
      </c>
      <c r="V232" s="5" t="s">
        <v>919</v>
      </c>
      <c r="AB232"/>
      <c r="AC232"/>
      <c r="AD232"/>
    </row>
    <row r="233" spans="1:30" x14ac:dyDescent="0.25">
      <c r="A233" t="s">
        <v>3641</v>
      </c>
      <c r="B233" t="s">
        <v>3642</v>
      </c>
      <c r="C233" s="9" t="s">
        <v>3643</v>
      </c>
      <c r="D233" s="9">
        <v>995217493</v>
      </c>
      <c r="E233" s="5" t="s">
        <v>3644</v>
      </c>
      <c r="F233" s="1" t="s">
        <v>3645</v>
      </c>
      <c r="G233" s="25">
        <v>44546</v>
      </c>
      <c r="H233" s="1" t="s">
        <v>3027</v>
      </c>
      <c r="I233" s="14" t="s">
        <v>254</v>
      </c>
      <c r="J233" s="1" t="s">
        <v>3006</v>
      </c>
      <c r="K233" s="14" t="s">
        <v>3007</v>
      </c>
      <c r="L233" s="1" t="s">
        <v>3008</v>
      </c>
      <c r="M233" s="1" t="s">
        <v>3009</v>
      </c>
      <c r="N233" s="1">
        <v>1470</v>
      </c>
      <c r="O233" s="1" t="s">
        <v>976</v>
      </c>
      <c r="P233" s="5">
        <v>1554.61</v>
      </c>
      <c r="Q233" s="5">
        <v>166.5</v>
      </c>
      <c r="R233" s="5">
        <v>1665</v>
      </c>
      <c r="S233" s="5">
        <v>56.11</v>
      </c>
      <c r="T233" s="5" t="s">
        <v>22</v>
      </c>
      <c r="V233" s="5" t="s">
        <v>254</v>
      </c>
      <c r="AB233"/>
      <c r="AC233"/>
      <c r="AD233"/>
    </row>
    <row r="234" spans="1:30" x14ac:dyDescent="0.25">
      <c r="A234" t="s">
        <v>3646</v>
      </c>
      <c r="B234" t="s">
        <v>3647</v>
      </c>
      <c r="C234" s="9" t="s">
        <v>3648</v>
      </c>
      <c r="D234" s="9">
        <v>981198586</v>
      </c>
      <c r="E234" s="5" t="s">
        <v>3649</v>
      </c>
      <c r="F234" s="1" t="s">
        <v>3650</v>
      </c>
      <c r="G234" s="25">
        <v>44594</v>
      </c>
      <c r="H234" s="1" t="s">
        <v>3651</v>
      </c>
      <c r="I234" s="14" t="s">
        <v>2874</v>
      </c>
      <c r="J234" s="1" t="s">
        <v>3006</v>
      </c>
      <c r="K234" s="14" t="s">
        <v>3007</v>
      </c>
      <c r="L234" s="1" t="s">
        <v>3008</v>
      </c>
      <c r="M234" s="1" t="s">
        <v>3009</v>
      </c>
      <c r="N234" s="1">
        <v>1750</v>
      </c>
      <c r="O234" s="1" t="s">
        <v>976</v>
      </c>
      <c r="P234" s="5">
        <v>1467.12</v>
      </c>
      <c r="Q234" s="5">
        <v>0</v>
      </c>
      <c r="R234" s="5">
        <v>1330</v>
      </c>
      <c r="S234" s="5">
        <v>137.12</v>
      </c>
      <c r="T234" s="5" t="s">
        <v>21</v>
      </c>
      <c r="U234" s="5" t="s">
        <v>2482</v>
      </c>
      <c r="V234" s="5" t="s">
        <v>879</v>
      </c>
      <c r="AB234"/>
      <c r="AC234"/>
      <c r="AD234"/>
    </row>
    <row r="235" spans="1:30" x14ac:dyDescent="0.25">
      <c r="A235" t="s">
        <v>3652</v>
      </c>
      <c r="B235" t="s">
        <v>3653</v>
      </c>
      <c r="C235" s="9" t="s">
        <v>3654</v>
      </c>
      <c r="D235" s="9">
        <v>999882300</v>
      </c>
      <c r="E235" s="5" t="s">
        <v>3003</v>
      </c>
      <c r="F235" s="1" t="s">
        <v>3004</v>
      </c>
      <c r="G235" s="25">
        <v>44215</v>
      </c>
      <c r="H235" s="1" t="s">
        <v>3343</v>
      </c>
      <c r="I235" s="14" t="s">
        <v>253</v>
      </c>
      <c r="J235" s="1" t="s">
        <v>3006</v>
      </c>
      <c r="K235" s="14" t="s">
        <v>3007</v>
      </c>
      <c r="L235" s="1" t="s">
        <v>3008</v>
      </c>
      <c r="M235" s="1" t="s">
        <v>3009</v>
      </c>
      <c r="N235" s="1">
        <v>162</v>
      </c>
      <c r="O235" s="1" t="s">
        <v>976</v>
      </c>
      <c r="P235" s="5">
        <v>1363.97</v>
      </c>
      <c r="Q235" s="5">
        <v>239.25</v>
      </c>
      <c r="R235" s="5">
        <v>1595</v>
      </c>
      <c r="S235" s="5">
        <v>8.2200000000000006</v>
      </c>
      <c r="T235" s="5" t="s">
        <v>24</v>
      </c>
      <c r="V235" s="5" t="s">
        <v>253</v>
      </c>
      <c r="AB235"/>
      <c r="AC235"/>
      <c r="AD235"/>
    </row>
    <row r="236" spans="1:30" x14ac:dyDescent="0.25">
      <c r="A236" t="s">
        <v>3652</v>
      </c>
      <c r="B236" t="s">
        <v>3653</v>
      </c>
      <c r="C236" s="9" t="s">
        <v>3654</v>
      </c>
      <c r="D236" s="9">
        <v>999882300</v>
      </c>
      <c r="E236" s="5" t="s">
        <v>3003</v>
      </c>
      <c r="F236" s="1" t="s">
        <v>3004</v>
      </c>
      <c r="G236" s="25">
        <v>44215</v>
      </c>
      <c r="H236" s="1" t="s">
        <v>3175</v>
      </c>
      <c r="I236" s="14" t="s">
        <v>583</v>
      </c>
      <c r="J236" s="1" t="s">
        <v>3006</v>
      </c>
      <c r="K236" s="14" t="s">
        <v>3007</v>
      </c>
      <c r="L236" s="1" t="s">
        <v>3008</v>
      </c>
      <c r="M236" s="1" t="s">
        <v>3009</v>
      </c>
      <c r="N236" s="1">
        <v>162</v>
      </c>
      <c r="O236" s="1" t="s">
        <v>976</v>
      </c>
      <c r="P236" s="5">
        <v>419.02</v>
      </c>
      <c r="Q236" s="5">
        <v>73.5</v>
      </c>
      <c r="R236" s="5">
        <v>490</v>
      </c>
      <c r="S236" s="5">
        <v>2.52</v>
      </c>
      <c r="T236" s="5" t="s">
        <v>23</v>
      </c>
      <c r="V236" s="5" t="s">
        <v>583</v>
      </c>
      <c r="AB236"/>
      <c r="AC236"/>
      <c r="AD236"/>
    </row>
    <row r="237" spans="1:30" x14ac:dyDescent="0.25">
      <c r="A237" t="s">
        <v>3652</v>
      </c>
      <c r="B237" t="s">
        <v>3653</v>
      </c>
      <c r="C237" s="9" t="s">
        <v>3654</v>
      </c>
      <c r="D237" s="9">
        <v>999882300</v>
      </c>
      <c r="E237" s="5" t="s">
        <v>3003</v>
      </c>
      <c r="F237" s="1" t="s">
        <v>3004</v>
      </c>
      <c r="G237" s="25">
        <v>44215</v>
      </c>
      <c r="H237" s="1" t="s">
        <v>3655</v>
      </c>
      <c r="I237" s="14" t="s">
        <v>2913</v>
      </c>
      <c r="J237" s="1" t="s">
        <v>3006</v>
      </c>
      <c r="K237" s="14" t="s">
        <v>3007</v>
      </c>
      <c r="L237" s="1" t="s">
        <v>3008</v>
      </c>
      <c r="M237" s="1" t="s">
        <v>3009</v>
      </c>
      <c r="N237" s="1">
        <v>162</v>
      </c>
      <c r="O237" s="1" t="s">
        <v>976</v>
      </c>
      <c r="P237" s="5">
        <v>902.19</v>
      </c>
      <c r="Q237" s="5">
        <v>158.25</v>
      </c>
      <c r="R237" s="5">
        <v>1055</v>
      </c>
      <c r="S237" s="5">
        <v>5.44</v>
      </c>
      <c r="T237" s="5" t="s">
        <v>23</v>
      </c>
      <c r="U237" s="5" t="s">
        <v>2463</v>
      </c>
      <c r="V237" s="5" t="s">
        <v>908</v>
      </c>
      <c r="AB237"/>
      <c r="AC237"/>
      <c r="AD237"/>
    </row>
    <row r="238" spans="1:30" x14ac:dyDescent="0.25">
      <c r="A238" t="s">
        <v>3656</v>
      </c>
      <c r="B238" t="s">
        <v>3657</v>
      </c>
      <c r="C238" s="9" t="s">
        <v>3658</v>
      </c>
      <c r="D238" s="9">
        <v>981486986</v>
      </c>
      <c r="E238" s="5" t="s">
        <v>3003</v>
      </c>
      <c r="F238" s="1" t="s">
        <v>3004</v>
      </c>
      <c r="G238" s="25">
        <v>44326</v>
      </c>
      <c r="H238" s="1" t="s">
        <v>3027</v>
      </c>
      <c r="I238" s="14" t="s">
        <v>254</v>
      </c>
      <c r="J238" s="1" t="s">
        <v>3006</v>
      </c>
      <c r="K238" s="14" t="s">
        <v>3007</v>
      </c>
      <c r="L238" s="1" t="s">
        <v>3008</v>
      </c>
      <c r="M238" s="1" t="s">
        <v>3016</v>
      </c>
      <c r="N238" s="1">
        <v>400</v>
      </c>
      <c r="O238" s="1" t="s">
        <v>976</v>
      </c>
      <c r="P238" s="5">
        <v>1215.53</v>
      </c>
      <c r="Q238" s="5">
        <v>0</v>
      </c>
      <c r="R238" s="5">
        <v>1200</v>
      </c>
      <c r="S238" s="5">
        <v>15.53</v>
      </c>
      <c r="T238" s="5" t="s">
        <v>22</v>
      </c>
      <c r="V238" s="5" t="s">
        <v>254</v>
      </c>
      <c r="AB238"/>
      <c r="AC238"/>
      <c r="AD238"/>
    </row>
    <row r="239" spans="1:30" x14ac:dyDescent="0.25">
      <c r="A239" t="s">
        <v>3656</v>
      </c>
      <c r="B239" t="s">
        <v>3657</v>
      </c>
      <c r="C239" s="9" t="s">
        <v>3658</v>
      </c>
      <c r="D239" s="9">
        <v>981486986</v>
      </c>
      <c r="E239" s="5" t="s">
        <v>3003</v>
      </c>
      <c r="F239" s="1" t="s">
        <v>3004</v>
      </c>
      <c r="G239" s="25">
        <v>44464</v>
      </c>
      <c r="H239" s="1" t="s">
        <v>3129</v>
      </c>
      <c r="I239" s="14" t="s">
        <v>2790</v>
      </c>
      <c r="J239" s="1" t="s">
        <v>3006</v>
      </c>
      <c r="K239" s="14" t="s">
        <v>3007</v>
      </c>
      <c r="L239" s="1" t="s">
        <v>3008</v>
      </c>
      <c r="M239" s="1" t="s">
        <v>3009</v>
      </c>
      <c r="N239" s="1">
        <v>974</v>
      </c>
      <c r="O239" s="1" t="s">
        <v>976</v>
      </c>
      <c r="P239" s="5">
        <v>1750</v>
      </c>
      <c r="Q239" s="5">
        <v>0</v>
      </c>
      <c r="R239" s="5">
        <v>1750</v>
      </c>
      <c r="S239" s="5">
        <v>0</v>
      </c>
      <c r="T239" s="5" t="s">
        <v>5574</v>
      </c>
      <c r="U239" s="5" t="s">
        <v>2482</v>
      </c>
      <c r="V239" s="5" t="s">
        <v>246</v>
      </c>
      <c r="AB239"/>
      <c r="AC239"/>
      <c r="AD239"/>
    </row>
    <row r="240" spans="1:30" x14ac:dyDescent="0.25">
      <c r="A240" t="s">
        <v>3659</v>
      </c>
      <c r="B240" t="s">
        <v>3660</v>
      </c>
      <c r="C240" s="9" t="s">
        <v>3661</v>
      </c>
      <c r="D240" s="9">
        <v>999872218</v>
      </c>
      <c r="E240" s="5" t="s">
        <v>3003</v>
      </c>
      <c r="F240" s="1" t="s">
        <v>3004</v>
      </c>
      <c r="G240" s="25">
        <v>44450</v>
      </c>
      <c r="H240" s="1" t="s">
        <v>3075</v>
      </c>
      <c r="I240" s="14" t="s">
        <v>2791</v>
      </c>
      <c r="J240" s="1" t="s">
        <v>3006</v>
      </c>
      <c r="K240" s="14" t="s">
        <v>3007</v>
      </c>
      <c r="L240" s="1" t="s">
        <v>3008</v>
      </c>
      <c r="M240" s="1" t="s">
        <v>3009</v>
      </c>
      <c r="N240" s="1">
        <v>900</v>
      </c>
      <c r="O240" s="1" t="s">
        <v>976</v>
      </c>
      <c r="P240" s="5">
        <v>1330</v>
      </c>
      <c r="Q240" s="5">
        <v>0</v>
      </c>
      <c r="R240" s="5">
        <v>1330</v>
      </c>
      <c r="S240" s="5">
        <v>0</v>
      </c>
      <c r="T240" s="5" t="s">
        <v>22</v>
      </c>
      <c r="U240" s="5" t="s">
        <v>2443</v>
      </c>
      <c r="V240" s="5" t="s">
        <v>763</v>
      </c>
      <c r="AB240"/>
      <c r="AC240"/>
      <c r="AD240"/>
    </row>
    <row r="241" spans="1:30" x14ac:dyDescent="0.25">
      <c r="A241" t="s">
        <v>3662</v>
      </c>
      <c r="B241" t="s">
        <v>3663</v>
      </c>
      <c r="C241" s="9" t="s">
        <v>3664</v>
      </c>
      <c r="D241" s="9" t="s">
        <v>3665</v>
      </c>
      <c r="E241" s="5" t="s">
        <v>3041</v>
      </c>
      <c r="F241" s="1" t="s">
        <v>3042</v>
      </c>
      <c r="G241" s="25">
        <v>44166</v>
      </c>
      <c r="H241" s="1" t="s">
        <v>3015</v>
      </c>
      <c r="I241" s="14" t="s">
        <v>252</v>
      </c>
      <c r="J241" s="1" t="s">
        <v>3006</v>
      </c>
      <c r="K241" s="14" t="s">
        <v>3007</v>
      </c>
      <c r="L241" s="1" t="s">
        <v>3008</v>
      </c>
      <c r="M241" s="1" t="s">
        <v>3016</v>
      </c>
      <c r="N241" s="1">
        <v>52</v>
      </c>
      <c r="O241" s="1" t="s">
        <v>976</v>
      </c>
      <c r="P241" s="5">
        <v>1122.74</v>
      </c>
      <c r="Q241" s="5">
        <v>0</v>
      </c>
      <c r="R241" s="5">
        <v>1100</v>
      </c>
      <c r="S241" s="5">
        <v>22.74</v>
      </c>
      <c r="T241" s="5" t="s">
        <v>22</v>
      </c>
      <c r="V241" s="5" t="s">
        <v>252</v>
      </c>
      <c r="AB241"/>
      <c r="AC241"/>
      <c r="AD241"/>
    </row>
    <row r="242" spans="1:30" x14ac:dyDescent="0.25">
      <c r="A242" t="s">
        <v>3662</v>
      </c>
      <c r="B242" t="s">
        <v>3663</v>
      </c>
      <c r="C242" s="9" t="s">
        <v>3664</v>
      </c>
      <c r="D242" s="9" t="s">
        <v>3665</v>
      </c>
      <c r="E242" s="5" t="s">
        <v>3041</v>
      </c>
      <c r="F242" s="1" t="s">
        <v>3042</v>
      </c>
      <c r="G242" s="25">
        <v>44173</v>
      </c>
      <c r="H242" s="1" t="s">
        <v>3564</v>
      </c>
      <c r="I242" s="14" t="s">
        <v>295</v>
      </c>
      <c r="J242" s="1" t="s">
        <v>3006</v>
      </c>
      <c r="K242" s="14" t="s">
        <v>3007</v>
      </c>
      <c r="L242" s="1" t="s">
        <v>3008</v>
      </c>
      <c r="M242" s="1" t="s">
        <v>3016</v>
      </c>
      <c r="N242" s="1">
        <v>74</v>
      </c>
      <c r="O242" s="1" t="s">
        <v>976</v>
      </c>
      <c r="P242" s="5">
        <v>637.74</v>
      </c>
      <c r="Q242" s="5">
        <v>0</v>
      </c>
      <c r="R242" s="5">
        <v>615</v>
      </c>
      <c r="S242" s="5">
        <v>22.74</v>
      </c>
      <c r="T242" s="5" t="s">
        <v>24</v>
      </c>
      <c r="V242" s="5" t="s">
        <v>295</v>
      </c>
      <c r="AB242"/>
      <c r="AC242"/>
      <c r="AD242"/>
    </row>
    <row r="243" spans="1:30" x14ac:dyDescent="0.25">
      <c r="A243" t="s">
        <v>3662</v>
      </c>
      <c r="B243" t="s">
        <v>3663</v>
      </c>
      <c r="C243" s="9" t="s">
        <v>3664</v>
      </c>
      <c r="D243" s="9" t="s">
        <v>3665</v>
      </c>
      <c r="E243" s="5" t="s">
        <v>3041</v>
      </c>
      <c r="F243" s="1" t="s">
        <v>3042</v>
      </c>
      <c r="G243" s="25">
        <v>44200</v>
      </c>
      <c r="H243" s="1" t="s">
        <v>3140</v>
      </c>
      <c r="I243" s="14" t="s">
        <v>314</v>
      </c>
      <c r="J243" s="1" t="s">
        <v>3006</v>
      </c>
      <c r="K243" s="14" t="s">
        <v>3007</v>
      </c>
      <c r="L243" s="1" t="s">
        <v>3008</v>
      </c>
      <c r="M243" s="1" t="s">
        <v>3016</v>
      </c>
      <c r="N243" s="1">
        <v>137</v>
      </c>
      <c r="O243" s="1" t="s">
        <v>976</v>
      </c>
      <c r="P243" s="5">
        <v>492.19</v>
      </c>
      <c r="Q243" s="5">
        <v>0</v>
      </c>
      <c r="R243" s="5">
        <v>470</v>
      </c>
      <c r="S243" s="5">
        <v>22.19</v>
      </c>
      <c r="T243" s="5" t="s">
        <v>23</v>
      </c>
      <c r="V243" s="5" t="s">
        <v>314</v>
      </c>
      <c r="AB243"/>
      <c r="AC243"/>
      <c r="AD243"/>
    </row>
    <row r="244" spans="1:30" x14ac:dyDescent="0.25">
      <c r="A244" t="s">
        <v>3662</v>
      </c>
      <c r="B244" t="s">
        <v>3663</v>
      </c>
      <c r="C244" s="9" t="s">
        <v>3664</v>
      </c>
      <c r="D244" s="9" t="s">
        <v>3665</v>
      </c>
      <c r="E244" s="5" t="s">
        <v>3041</v>
      </c>
      <c r="F244" s="1" t="s">
        <v>3042</v>
      </c>
      <c r="G244" s="25">
        <v>44336</v>
      </c>
      <c r="H244" s="1" t="s">
        <v>3015</v>
      </c>
      <c r="I244" s="14" t="s">
        <v>252</v>
      </c>
      <c r="J244" s="1" t="s">
        <v>3006</v>
      </c>
      <c r="K244" s="14" t="s">
        <v>3007</v>
      </c>
      <c r="L244" s="1" t="s">
        <v>3008</v>
      </c>
      <c r="M244" s="1" t="s">
        <v>3016</v>
      </c>
      <c r="N244" s="1">
        <v>438</v>
      </c>
      <c r="O244" s="1" t="s">
        <v>976</v>
      </c>
      <c r="P244" s="5">
        <v>3641.22</v>
      </c>
      <c r="Q244" s="5">
        <v>0</v>
      </c>
      <c r="R244" s="5">
        <v>3600</v>
      </c>
      <c r="S244" s="5">
        <v>41.22</v>
      </c>
      <c r="T244" s="5" t="s">
        <v>22</v>
      </c>
      <c r="V244" s="5" t="s">
        <v>252</v>
      </c>
      <c r="AB244"/>
      <c r="AC244"/>
      <c r="AD244"/>
    </row>
    <row r="245" spans="1:30" x14ac:dyDescent="0.25">
      <c r="A245" t="s">
        <v>3662</v>
      </c>
      <c r="B245" t="s">
        <v>3663</v>
      </c>
      <c r="C245" s="9" t="s">
        <v>3664</v>
      </c>
      <c r="D245" s="9" t="s">
        <v>3665</v>
      </c>
      <c r="E245" s="5" t="s">
        <v>3041</v>
      </c>
      <c r="F245" s="1" t="s">
        <v>3042</v>
      </c>
      <c r="G245" s="25">
        <v>44336</v>
      </c>
      <c r="H245" s="1" t="s">
        <v>3410</v>
      </c>
      <c r="I245" s="14" t="s">
        <v>2792</v>
      </c>
      <c r="J245" s="1" t="s">
        <v>3006</v>
      </c>
      <c r="K245" s="14" t="s">
        <v>3007</v>
      </c>
      <c r="L245" s="1" t="s">
        <v>3008</v>
      </c>
      <c r="M245" s="1" t="s">
        <v>3016</v>
      </c>
      <c r="N245" s="1">
        <v>438</v>
      </c>
      <c r="O245" s="1" t="s">
        <v>976</v>
      </c>
      <c r="P245" s="5">
        <v>2427.48</v>
      </c>
      <c r="Q245" s="5">
        <v>0</v>
      </c>
      <c r="R245" s="5">
        <v>2400</v>
      </c>
      <c r="S245" s="5">
        <v>27.48</v>
      </c>
      <c r="T245" s="5" t="s">
        <v>22</v>
      </c>
      <c r="U245" s="5" t="s">
        <v>2727</v>
      </c>
      <c r="V245" s="5" t="s">
        <v>764</v>
      </c>
      <c r="AB245"/>
      <c r="AC245"/>
      <c r="AD245"/>
    </row>
    <row r="246" spans="1:30" x14ac:dyDescent="0.25">
      <c r="A246" t="s">
        <v>3662</v>
      </c>
      <c r="B246" t="s">
        <v>3663</v>
      </c>
      <c r="C246" s="9" t="s">
        <v>3664</v>
      </c>
      <c r="D246" s="9" t="s">
        <v>3665</v>
      </c>
      <c r="E246" s="5" t="s">
        <v>3041</v>
      </c>
      <c r="F246" s="1" t="s">
        <v>3042</v>
      </c>
      <c r="G246" s="25">
        <v>44448</v>
      </c>
      <c r="H246" s="1" t="s">
        <v>3075</v>
      </c>
      <c r="I246" s="14" t="s">
        <v>2791</v>
      </c>
      <c r="J246" s="1" t="s">
        <v>3006</v>
      </c>
      <c r="K246" s="14" t="s">
        <v>3007</v>
      </c>
      <c r="L246" s="1" t="s">
        <v>3008</v>
      </c>
      <c r="M246" s="1" t="s">
        <v>3016</v>
      </c>
      <c r="N246" s="1">
        <v>880</v>
      </c>
      <c r="O246" s="1" t="s">
        <v>976</v>
      </c>
      <c r="P246" s="5">
        <v>1370.59</v>
      </c>
      <c r="Q246" s="5">
        <v>0</v>
      </c>
      <c r="R246" s="5">
        <v>1330</v>
      </c>
      <c r="S246" s="5">
        <v>40.590000000000003</v>
      </c>
      <c r="T246" s="5" t="s">
        <v>22</v>
      </c>
      <c r="U246" s="5" t="s">
        <v>2443</v>
      </c>
      <c r="V246" s="5" t="s">
        <v>763</v>
      </c>
      <c r="AB246"/>
      <c r="AC246"/>
      <c r="AD246"/>
    </row>
    <row r="247" spans="1:30" x14ac:dyDescent="0.25">
      <c r="A247" t="s">
        <v>3666</v>
      </c>
      <c r="B247" t="s">
        <v>3667</v>
      </c>
      <c r="C247" s="9" t="s">
        <v>3668</v>
      </c>
      <c r="D247" s="9">
        <v>979535755</v>
      </c>
      <c r="E247" s="5" t="s">
        <v>3041</v>
      </c>
      <c r="F247" s="1" t="s">
        <v>3042</v>
      </c>
      <c r="G247" s="25">
        <v>44538</v>
      </c>
      <c r="H247" s="1" t="s">
        <v>3098</v>
      </c>
      <c r="I247" s="14" t="s">
        <v>248</v>
      </c>
      <c r="J247" s="1" t="s">
        <v>3006</v>
      </c>
      <c r="K247" s="14" t="s">
        <v>3007</v>
      </c>
      <c r="L247" s="1" t="s">
        <v>3008</v>
      </c>
      <c r="M247" s="1" t="s">
        <v>3009</v>
      </c>
      <c r="N247" s="1">
        <v>1378</v>
      </c>
      <c r="O247" s="1" t="s">
        <v>976</v>
      </c>
      <c r="P247" s="5">
        <v>1706.97</v>
      </c>
      <c r="Q247" s="5">
        <v>0</v>
      </c>
      <c r="R247" s="5">
        <v>1670</v>
      </c>
      <c r="S247" s="5">
        <v>36.97</v>
      </c>
      <c r="T247" s="5" t="s">
        <v>5574</v>
      </c>
      <c r="V247" s="5" t="s">
        <v>248</v>
      </c>
      <c r="AB247"/>
      <c r="AC247"/>
      <c r="AD247"/>
    </row>
    <row r="248" spans="1:30" x14ac:dyDescent="0.25">
      <c r="A248" t="s">
        <v>3669</v>
      </c>
      <c r="B248" t="s">
        <v>3670</v>
      </c>
      <c r="C248" s="9" t="s">
        <v>3671</v>
      </c>
      <c r="D248" s="9">
        <v>946655966</v>
      </c>
      <c r="E248" s="5" t="s">
        <v>3003</v>
      </c>
      <c r="F248" s="1" t="s">
        <v>3004</v>
      </c>
      <c r="G248" s="25">
        <v>44499</v>
      </c>
      <c r="H248" s="1" t="s">
        <v>3618</v>
      </c>
      <c r="I248" s="14" t="s">
        <v>416</v>
      </c>
      <c r="J248" s="1" t="s">
        <v>3006</v>
      </c>
      <c r="K248" s="14" t="s">
        <v>3007</v>
      </c>
      <c r="L248" s="1" t="s">
        <v>3008</v>
      </c>
      <c r="M248" s="1" t="s">
        <v>976</v>
      </c>
      <c r="N248" s="1">
        <v>1137</v>
      </c>
      <c r="O248" s="1" t="s">
        <v>976</v>
      </c>
      <c r="P248" s="5">
        <v>783</v>
      </c>
      <c r="Q248" s="5">
        <v>87</v>
      </c>
      <c r="R248" s="5">
        <v>870</v>
      </c>
      <c r="S248" s="5">
        <v>0</v>
      </c>
      <c r="T248" s="5">
        <v>40</v>
      </c>
      <c r="V248" s="5" t="s">
        <v>416</v>
      </c>
      <c r="AB248"/>
      <c r="AC248"/>
      <c r="AD248"/>
    </row>
    <row r="249" spans="1:30" x14ac:dyDescent="0.25">
      <c r="A249" t="s">
        <v>3669</v>
      </c>
      <c r="B249" t="s">
        <v>3670</v>
      </c>
      <c r="C249" s="9" t="s">
        <v>3671</v>
      </c>
      <c r="D249" s="9">
        <v>946655966</v>
      </c>
      <c r="E249" s="5" t="s">
        <v>3003</v>
      </c>
      <c r="F249" s="1" t="s">
        <v>3004</v>
      </c>
      <c r="G249" s="25">
        <v>44524</v>
      </c>
      <c r="H249" s="1" t="s">
        <v>3075</v>
      </c>
      <c r="I249" s="14" t="s">
        <v>2791</v>
      </c>
      <c r="J249" s="1" t="s">
        <v>3006</v>
      </c>
      <c r="K249" s="14" t="s">
        <v>3007</v>
      </c>
      <c r="L249" s="1" t="s">
        <v>3008</v>
      </c>
      <c r="M249" s="1" t="s">
        <v>3009</v>
      </c>
      <c r="N249" s="1">
        <v>1264</v>
      </c>
      <c r="O249" s="1" t="s">
        <v>976</v>
      </c>
      <c r="P249" s="5">
        <v>1264.06</v>
      </c>
      <c r="Q249" s="5">
        <v>138</v>
      </c>
      <c r="R249" s="5">
        <v>1380</v>
      </c>
      <c r="S249" s="5">
        <v>22.06</v>
      </c>
      <c r="T249" s="5" t="s">
        <v>22</v>
      </c>
      <c r="U249" s="5" t="s">
        <v>2443</v>
      </c>
      <c r="V249" s="5" t="s">
        <v>763</v>
      </c>
      <c r="AB249"/>
      <c r="AC249"/>
      <c r="AD249"/>
    </row>
    <row r="250" spans="1:30" x14ac:dyDescent="0.25">
      <c r="A250" t="s">
        <v>3672</v>
      </c>
      <c r="B250" t="s">
        <v>3673</v>
      </c>
      <c r="C250" s="9" t="s">
        <v>3674</v>
      </c>
      <c r="D250" s="9">
        <v>997122631</v>
      </c>
      <c r="E250" s="5" t="s">
        <v>3003</v>
      </c>
      <c r="F250" s="1" t="s">
        <v>3675</v>
      </c>
      <c r="G250" s="25">
        <v>44568</v>
      </c>
      <c r="H250" s="1" t="s">
        <v>3676</v>
      </c>
      <c r="I250" s="14" t="s">
        <v>2970</v>
      </c>
      <c r="J250" s="1" t="s">
        <v>3006</v>
      </c>
      <c r="K250" s="14" t="s">
        <v>3007</v>
      </c>
      <c r="L250" s="1" t="s">
        <v>3008</v>
      </c>
      <c r="M250" s="1" t="s">
        <v>3016</v>
      </c>
      <c r="N250" s="1">
        <v>1602</v>
      </c>
      <c r="O250" s="1" t="s">
        <v>976</v>
      </c>
      <c r="P250" s="5">
        <v>215.72</v>
      </c>
      <c r="Q250" s="5">
        <v>22</v>
      </c>
      <c r="R250" s="5">
        <v>220</v>
      </c>
      <c r="S250" s="5">
        <v>17.72</v>
      </c>
      <c r="T250" s="5" t="s">
        <v>25</v>
      </c>
      <c r="U250" s="5" t="s">
        <v>2482</v>
      </c>
      <c r="V250" s="5" t="s">
        <v>942</v>
      </c>
      <c r="AB250"/>
      <c r="AC250"/>
      <c r="AD250"/>
    </row>
    <row r="251" spans="1:30" x14ac:dyDescent="0.25">
      <c r="A251" t="s">
        <v>3677</v>
      </c>
      <c r="B251" t="s">
        <v>3678</v>
      </c>
      <c r="C251" s="9" t="s">
        <v>3679</v>
      </c>
      <c r="D251" s="9">
        <v>959764191</v>
      </c>
      <c r="E251" s="5" t="s">
        <v>3514</v>
      </c>
      <c r="F251" s="1" t="s">
        <v>3680</v>
      </c>
      <c r="G251" s="25">
        <v>44552</v>
      </c>
      <c r="H251" s="1" t="s">
        <v>3681</v>
      </c>
      <c r="I251" s="14" t="s">
        <v>517</v>
      </c>
      <c r="J251" s="1" t="s">
        <v>3006</v>
      </c>
      <c r="K251" s="14" t="s">
        <v>3007</v>
      </c>
      <c r="L251" s="1" t="s">
        <v>3008</v>
      </c>
      <c r="M251" s="1" t="s">
        <v>3016</v>
      </c>
      <c r="N251" s="1">
        <v>1532</v>
      </c>
      <c r="O251" s="1" t="s">
        <v>976</v>
      </c>
      <c r="P251" s="5">
        <v>166.5</v>
      </c>
      <c r="Q251" s="5">
        <v>18.5</v>
      </c>
      <c r="R251" s="5">
        <v>185</v>
      </c>
      <c r="S251" s="5">
        <v>0</v>
      </c>
      <c r="T251" s="5" t="s">
        <v>25</v>
      </c>
      <c r="V251" s="5" t="s">
        <v>517</v>
      </c>
      <c r="AB251"/>
      <c r="AC251"/>
      <c r="AD251"/>
    </row>
    <row r="252" spans="1:30" x14ac:dyDescent="0.25">
      <c r="A252" t="s">
        <v>3682</v>
      </c>
      <c r="B252" t="s">
        <v>3683</v>
      </c>
      <c r="C252" s="9" t="s">
        <v>3684</v>
      </c>
      <c r="D252" s="9">
        <v>986074453</v>
      </c>
      <c r="E252" s="5" t="s">
        <v>3003</v>
      </c>
      <c r="F252" s="1" t="s">
        <v>3004</v>
      </c>
      <c r="G252" s="25">
        <v>44572</v>
      </c>
      <c r="H252" s="1" t="s">
        <v>3299</v>
      </c>
      <c r="I252" s="14" t="s">
        <v>594</v>
      </c>
      <c r="J252" s="1" t="s">
        <v>3006</v>
      </c>
      <c r="K252" s="14" t="s">
        <v>3007</v>
      </c>
      <c r="L252" s="1" t="s">
        <v>3008</v>
      </c>
      <c r="M252" s="1" t="s">
        <v>3016</v>
      </c>
      <c r="N252" s="1">
        <v>1619</v>
      </c>
      <c r="O252" s="1" t="s">
        <v>976</v>
      </c>
      <c r="P252" s="5">
        <v>35.729999999999997</v>
      </c>
      <c r="Q252" s="5">
        <v>0</v>
      </c>
      <c r="R252" s="5">
        <v>25</v>
      </c>
      <c r="S252" s="5">
        <v>10.73</v>
      </c>
      <c r="T252" s="5" t="s">
        <v>22</v>
      </c>
      <c r="V252" s="5" t="s">
        <v>594</v>
      </c>
      <c r="AB252"/>
      <c r="AC252"/>
      <c r="AD252"/>
    </row>
    <row r="253" spans="1:30" x14ac:dyDescent="0.25">
      <c r="A253" t="s">
        <v>3685</v>
      </c>
      <c r="B253" t="s">
        <v>3686</v>
      </c>
      <c r="C253" s="9" t="s">
        <v>3687</v>
      </c>
      <c r="D253" s="9">
        <v>997536855</v>
      </c>
      <c r="E253" s="5" t="s">
        <v>3003</v>
      </c>
      <c r="F253" s="1" t="s">
        <v>3004</v>
      </c>
      <c r="G253" s="25">
        <v>44254</v>
      </c>
      <c r="H253" s="1" t="s">
        <v>3177</v>
      </c>
      <c r="I253" s="14" t="s">
        <v>224</v>
      </c>
      <c r="J253" s="1" t="s">
        <v>3006</v>
      </c>
      <c r="K253" s="14" t="s">
        <v>3007</v>
      </c>
      <c r="L253" s="1" t="s">
        <v>3008</v>
      </c>
      <c r="M253" s="1" t="s">
        <v>3009</v>
      </c>
      <c r="N253" s="1">
        <v>239</v>
      </c>
      <c r="O253" s="1" t="s">
        <v>976</v>
      </c>
      <c r="P253" s="5">
        <v>595.12</v>
      </c>
      <c r="Q253" s="5">
        <v>3.88</v>
      </c>
      <c r="R253" s="5">
        <v>599</v>
      </c>
      <c r="S253" s="5">
        <v>0</v>
      </c>
      <c r="T253" s="5" t="s">
        <v>24</v>
      </c>
      <c r="V253" s="5" t="s">
        <v>224</v>
      </c>
      <c r="AB253"/>
      <c r="AC253"/>
      <c r="AD253"/>
    </row>
    <row r="254" spans="1:30" x14ac:dyDescent="0.25">
      <c r="A254" t="s">
        <v>3685</v>
      </c>
      <c r="B254" t="s">
        <v>3686</v>
      </c>
      <c r="C254" s="9" t="s">
        <v>3687</v>
      </c>
      <c r="D254" s="9">
        <v>997536855</v>
      </c>
      <c r="E254" s="5" t="s">
        <v>3003</v>
      </c>
      <c r="F254" s="1" t="s">
        <v>3004</v>
      </c>
      <c r="G254" s="25">
        <v>44254</v>
      </c>
      <c r="H254" s="1" t="s">
        <v>3688</v>
      </c>
      <c r="I254" s="14" t="s">
        <v>2858</v>
      </c>
      <c r="J254" s="1" t="s">
        <v>3006</v>
      </c>
      <c r="K254" s="14" t="s">
        <v>3007</v>
      </c>
      <c r="L254" s="1" t="s">
        <v>3008</v>
      </c>
      <c r="M254" s="1" t="s">
        <v>3009</v>
      </c>
      <c r="N254" s="1">
        <v>239</v>
      </c>
      <c r="O254" s="1" t="s">
        <v>976</v>
      </c>
      <c r="P254" s="5">
        <v>784.88</v>
      </c>
      <c r="Q254" s="5">
        <v>5.12</v>
      </c>
      <c r="R254" s="5">
        <v>790</v>
      </c>
      <c r="S254" s="5">
        <v>0</v>
      </c>
      <c r="T254" s="5" t="s">
        <v>23</v>
      </c>
      <c r="U254" s="5" t="s">
        <v>2447</v>
      </c>
      <c r="V254" s="5" t="s">
        <v>853</v>
      </c>
      <c r="AB254"/>
      <c r="AC254"/>
      <c r="AD254"/>
    </row>
    <row r="255" spans="1:30" x14ac:dyDescent="0.25">
      <c r="A255" t="s">
        <v>3689</v>
      </c>
      <c r="B255" t="s">
        <v>3690</v>
      </c>
      <c r="C255" s="9" t="s">
        <v>3691</v>
      </c>
      <c r="D255" s="9" t="s">
        <v>3692</v>
      </c>
      <c r="E255" s="5" t="s">
        <v>3003</v>
      </c>
      <c r="F255" s="1" t="s">
        <v>3004</v>
      </c>
      <c r="G255" s="25">
        <v>44545</v>
      </c>
      <c r="H255" s="1" t="s">
        <v>3027</v>
      </c>
      <c r="I255" s="14" t="s">
        <v>254</v>
      </c>
      <c r="J255" s="1" t="s">
        <v>3006</v>
      </c>
      <c r="K255" s="14" t="s">
        <v>3007</v>
      </c>
      <c r="L255" s="1" t="s">
        <v>3008</v>
      </c>
      <c r="M255" s="1" t="s">
        <v>3009</v>
      </c>
      <c r="N255" s="1">
        <v>1466</v>
      </c>
      <c r="O255" s="1" t="s">
        <v>976</v>
      </c>
      <c r="P255" s="5">
        <v>1498.5</v>
      </c>
      <c r="Q255" s="5">
        <v>166.5</v>
      </c>
      <c r="R255" s="5">
        <v>1665</v>
      </c>
      <c r="S255" s="5">
        <v>0</v>
      </c>
      <c r="T255" s="5" t="s">
        <v>22</v>
      </c>
      <c r="V255" s="5" t="s">
        <v>254</v>
      </c>
      <c r="AB255"/>
      <c r="AC255"/>
      <c r="AD255"/>
    </row>
    <row r="256" spans="1:30" x14ac:dyDescent="0.25">
      <c r="A256" t="s">
        <v>3693</v>
      </c>
      <c r="B256" t="s">
        <v>3694</v>
      </c>
      <c r="C256" s="9" t="s">
        <v>3695</v>
      </c>
      <c r="D256" s="9" t="s">
        <v>3696</v>
      </c>
      <c r="E256" s="5" t="s">
        <v>3041</v>
      </c>
      <c r="F256" s="1" t="s">
        <v>3042</v>
      </c>
      <c r="G256" s="25">
        <v>44538</v>
      </c>
      <c r="H256" s="1" t="s">
        <v>3697</v>
      </c>
      <c r="I256" s="14" t="s">
        <v>565</v>
      </c>
      <c r="J256" s="1" t="s">
        <v>3006</v>
      </c>
      <c r="K256" s="14" t="s">
        <v>3007</v>
      </c>
      <c r="L256" s="1" t="s">
        <v>3008</v>
      </c>
      <c r="M256" s="1" t="s">
        <v>3009</v>
      </c>
      <c r="N256" s="1">
        <v>1390</v>
      </c>
      <c r="O256" s="1" t="s">
        <v>976</v>
      </c>
      <c r="P256" s="5">
        <v>580</v>
      </c>
      <c r="Q256" s="5">
        <v>0</v>
      </c>
      <c r="R256" s="5">
        <v>580</v>
      </c>
      <c r="S256" s="5">
        <v>0</v>
      </c>
      <c r="T256" s="5">
        <v>40</v>
      </c>
      <c r="V256" s="5" t="s">
        <v>565</v>
      </c>
      <c r="AB256"/>
      <c r="AC256"/>
      <c r="AD256"/>
    </row>
    <row r="257" spans="1:30" x14ac:dyDescent="0.25">
      <c r="A257" t="s">
        <v>3693</v>
      </c>
      <c r="B257" t="s">
        <v>3694</v>
      </c>
      <c r="C257" s="9" t="s">
        <v>3695</v>
      </c>
      <c r="D257" s="9" t="s">
        <v>3696</v>
      </c>
      <c r="E257" s="5" t="s">
        <v>3041</v>
      </c>
      <c r="F257" s="1" t="s">
        <v>3042</v>
      </c>
      <c r="G257" s="25">
        <v>44538</v>
      </c>
      <c r="H257" s="1" t="s">
        <v>3698</v>
      </c>
      <c r="I257" s="14" t="s">
        <v>258</v>
      </c>
      <c r="J257" s="1" t="s">
        <v>3006</v>
      </c>
      <c r="K257" s="14" t="s">
        <v>3007</v>
      </c>
      <c r="L257" s="1" t="s">
        <v>3008</v>
      </c>
      <c r="M257" s="1" t="s">
        <v>3009</v>
      </c>
      <c r="N257" s="1">
        <v>1390</v>
      </c>
      <c r="O257" s="1" t="s">
        <v>976</v>
      </c>
      <c r="P257" s="5">
        <v>230</v>
      </c>
      <c r="Q257" s="5">
        <v>0</v>
      </c>
      <c r="R257" s="5">
        <v>230</v>
      </c>
      <c r="S257" s="5">
        <v>0</v>
      </c>
      <c r="T257" s="5" t="s">
        <v>25</v>
      </c>
      <c r="V257" s="5" t="s">
        <v>258</v>
      </c>
      <c r="AB257"/>
      <c r="AC257"/>
      <c r="AD257"/>
    </row>
    <row r="258" spans="1:30" x14ac:dyDescent="0.25">
      <c r="A258" t="s">
        <v>3693</v>
      </c>
      <c r="B258" t="s">
        <v>3694</v>
      </c>
      <c r="C258" s="9" t="s">
        <v>3695</v>
      </c>
      <c r="D258" s="9" t="s">
        <v>3696</v>
      </c>
      <c r="E258" s="5" t="s">
        <v>3041</v>
      </c>
      <c r="F258" s="1" t="s">
        <v>3042</v>
      </c>
      <c r="G258" s="25">
        <v>44554</v>
      </c>
      <c r="H258" s="1" t="s">
        <v>3699</v>
      </c>
      <c r="I258" s="14" t="s">
        <v>2859</v>
      </c>
      <c r="J258" s="1" t="s">
        <v>3006</v>
      </c>
      <c r="K258" s="14" t="s">
        <v>3007</v>
      </c>
      <c r="L258" s="1" t="s">
        <v>3008</v>
      </c>
      <c r="M258" s="1" t="s">
        <v>3009</v>
      </c>
      <c r="N258" s="1">
        <v>1548</v>
      </c>
      <c r="O258" s="1" t="s">
        <v>976</v>
      </c>
      <c r="P258" s="5">
        <v>710</v>
      </c>
      <c r="Q258" s="5">
        <v>0</v>
      </c>
      <c r="R258" s="5">
        <v>710</v>
      </c>
      <c r="S258" s="5">
        <v>0</v>
      </c>
      <c r="T258" s="5" t="s">
        <v>24</v>
      </c>
      <c r="U258" s="5" t="s">
        <v>2472</v>
      </c>
      <c r="V258" s="5" t="s">
        <v>854</v>
      </c>
      <c r="AB258"/>
      <c r="AC258"/>
      <c r="AD258"/>
    </row>
    <row r="259" spans="1:30" x14ac:dyDescent="0.25">
      <c r="A259" t="s">
        <v>3693</v>
      </c>
      <c r="B259" t="s">
        <v>3694</v>
      </c>
      <c r="C259" s="9" t="s">
        <v>3695</v>
      </c>
      <c r="D259" s="9" t="s">
        <v>3696</v>
      </c>
      <c r="E259" s="5" t="s">
        <v>3041</v>
      </c>
      <c r="F259" s="1" t="s">
        <v>3042</v>
      </c>
      <c r="G259" s="25">
        <v>44554</v>
      </c>
      <c r="H259" s="1" t="s">
        <v>3700</v>
      </c>
      <c r="I259" s="14" t="s">
        <v>2861</v>
      </c>
      <c r="J259" s="1" t="s">
        <v>3006</v>
      </c>
      <c r="K259" s="14" t="s">
        <v>3007</v>
      </c>
      <c r="L259" s="1" t="s">
        <v>3008</v>
      </c>
      <c r="M259" s="1" t="s">
        <v>3009</v>
      </c>
      <c r="N259" s="1">
        <v>1540</v>
      </c>
      <c r="O259" s="1" t="s">
        <v>976</v>
      </c>
      <c r="P259" s="5">
        <v>970</v>
      </c>
      <c r="Q259" s="5">
        <v>0</v>
      </c>
      <c r="R259" s="5">
        <v>970</v>
      </c>
      <c r="S259" s="5">
        <v>0</v>
      </c>
      <c r="T259" s="5" t="s">
        <v>24</v>
      </c>
      <c r="U259" s="5" t="s">
        <v>2443</v>
      </c>
      <c r="V259" s="5" t="s">
        <v>860</v>
      </c>
      <c r="AB259"/>
      <c r="AC259"/>
      <c r="AD259"/>
    </row>
    <row r="260" spans="1:30" x14ac:dyDescent="0.25">
      <c r="A260" t="s">
        <v>3693</v>
      </c>
      <c r="B260" t="s">
        <v>3694</v>
      </c>
      <c r="C260" s="9" t="s">
        <v>3695</v>
      </c>
      <c r="D260" s="9" t="s">
        <v>3696</v>
      </c>
      <c r="E260" s="5" t="s">
        <v>3041</v>
      </c>
      <c r="F260" s="1" t="s">
        <v>3042</v>
      </c>
      <c r="G260" s="25">
        <v>44554</v>
      </c>
      <c r="H260" s="1" t="s">
        <v>3701</v>
      </c>
      <c r="I260" s="14" t="s">
        <v>436</v>
      </c>
      <c r="J260" s="1" t="s">
        <v>3006</v>
      </c>
      <c r="K260" s="14" t="s">
        <v>3007</v>
      </c>
      <c r="L260" s="1" t="s">
        <v>3008</v>
      </c>
      <c r="M260" s="1" t="s">
        <v>3009</v>
      </c>
      <c r="N260" s="1">
        <v>1548</v>
      </c>
      <c r="O260" s="1" t="s">
        <v>976</v>
      </c>
      <c r="P260" s="5">
        <v>595</v>
      </c>
      <c r="Q260" s="5">
        <v>0</v>
      </c>
      <c r="R260" s="5">
        <v>595</v>
      </c>
      <c r="S260" s="5">
        <v>0</v>
      </c>
      <c r="T260" s="5">
        <v>42</v>
      </c>
      <c r="V260" s="5" t="s">
        <v>436</v>
      </c>
      <c r="AB260"/>
      <c r="AC260"/>
      <c r="AD260"/>
    </row>
    <row r="261" spans="1:30" x14ac:dyDescent="0.25">
      <c r="A261" t="s">
        <v>3702</v>
      </c>
      <c r="B261" t="s">
        <v>3703</v>
      </c>
      <c r="C261" s="9" t="s">
        <v>3704</v>
      </c>
      <c r="D261" s="9">
        <v>975017788</v>
      </c>
      <c r="E261" s="5" t="s">
        <v>3003</v>
      </c>
      <c r="F261" s="1" t="s">
        <v>3004</v>
      </c>
      <c r="G261" s="25">
        <v>44397</v>
      </c>
      <c r="H261" s="1" t="s">
        <v>3027</v>
      </c>
      <c r="I261" s="14" t="s">
        <v>254</v>
      </c>
      <c r="J261" s="1" t="s">
        <v>3006</v>
      </c>
      <c r="K261" s="14" t="s">
        <v>3007</v>
      </c>
      <c r="L261" s="1" t="s">
        <v>3008</v>
      </c>
      <c r="M261" s="1" t="s">
        <v>3009</v>
      </c>
      <c r="N261" s="1">
        <v>667</v>
      </c>
      <c r="O261" s="1" t="s">
        <v>976</v>
      </c>
      <c r="P261" s="5">
        <v>1097.78</v>
      </c>
      <c r="Q261" s="5">
        <v>120</v>
      </c>
      <c r="R261" s="5">
        <v>1200</v>
      </c>
      <c r="S261" s="5">
        <v>17.78</v>
      </c>
      <c r="T261" s="5" t="s">
        <v>22</v>
      </c>
      <c r="V261" s="5" t="s">
        <v>254</v>
      </c>
      <c r="AB261"/>
      <c r="AC261"/>
      <c r="AD261"/>
    </row>
    <row r="262" spans="1:30" x14ac:dyDescent="0.25">
      <c r="A262" t="s">
        <v>3705</v>
      </c>
      <c r="B262" t="s">
        <v>3706</v>
      </c>
      <c r="C262" s="9" t="s">
        <v>3707</v>
      </c>
      <c r="D262" s="9">
        <v>11992739148</v>
      </c>
      <c r="E262" s="5" t="s">
        <v>3003</v>
      </c>
      <c r="F262" s="1" t="s">
        <v>3004</v>
      </c>
      <c r="G262" s="25">
        <v>44440</v>
      </c>
      <c r="H262" s="1" t="s">
        <v>3392</v>
      </c>
      <c r="I262" s="14" t="s">
        <v>297</v>
      </c>
      <c r="J262" s="1" t="s">
        <v>3006</v>
      </c>
      <c r="K262" s="14" t="s">
        <v>3007</v>
      </c>
      <c r="L262" s="1" t="s">
        <v>3008</v>
      </c>
      <c r="M262" s="1" t="s">
        <v>3009</v>
      </c>
      <c r="N262" s="1">
        <v>844</v>
      </c>
      <c r="O262" s="1" t="s">
        <v>976</v>
      </c>
      <c r="P262" s="5">
        <v>680</v>
      </c>
      <c r="Q262" s="5">
        <v>0</v>
      </c>
      <c r="R262" s="5">
        <v>680</v>
      </c>
      <c r="S262" s="5">
        <v>0</v>
      </c>
      <c r="T262" s="5" t="s">
        <v>23</v>
      </c>
      <c r="V262" s="5" t="s">
        <v>297</v>
      </c>
      <c r="AB262"/>
      <c r="AC262"/>
      <c r="AD262"/>
    </row>
    <row r="263" spans="1:30" x14ac:dyDescent="0.25">
      <c r="A263" t="s">
        <v>3705</v>
      </c>
      <c r="B263" t="s">
        <v>3706</v>
      </c>
      <c r="C263" s="9" t="s">
        <v>3707</v>
      </c>
      <c r="D263" s="9">
        <v>11992739148</v>
      </c>
      <c r="E263" s="5" t="s">
        <v>3003</v>
      </c>
      <c r="F263" s="1" t="s">
        <v>3004</v>
      </c>
      <c r="G263" s="25">
        <v>44440</v>
      </c>
      <c r="H263" s="1" t="s">
        <v>3379</v>
      </c>
      <c r="I263" s="14" t="s">
        <v>302</v>
      </c>
      <c r="J263" s="1" t="s">
        <v>3006</v>
      </c>
      <c r="K263" s="14" t="s">
        <v>3007</v>
      </c>
      <c r="L263" s="1" t="s">
        <v>3008</v>
      </c>
      <c r="M263" s="1" t="s">
        <v>3009</v>
      </c>
      <c r="N263" s="1">
        <v>844</v>
      </c>
      <c r="O263" s="1" t="s">
        <v>976</v>
      </c>
      <c r="P263" s="5">
        <v>790</v>
      </c>
      <c r="Q263" s="5">
        <v>0</v>
      </c>
      <c r="R263" s="5">
        <v>790</v>
      </c>
      <c r="S263" s="5">
        <v>0</v>
      </c>
      <c r="T263" s="5" t="s">
        <v>23</v>
      </c>
      <c r="V263" s="5" t="s">
        <v>302</v>
      </c>
      <c r="AB263"/>
      <c r="AC263"/>
      <c r="AD263"/>
    </row>
    <row r="264" spans="1:30" x14ac:dyDescent="0.25">
      <c r="A264" t="s">
        <v>3705</v>
      </c>
      <c r="B264" t="s">
        <v>3706</v>
      </c>
      <c r="C264" s="9" t="s">
        <v>3707</v>
      </c>
      <c r="D264" s="9">
        <v>11992739148</v>
      </c>
      <c r="E264" s="5" t="s">
        <v>3003</v>
      </c>
      <c r="F264" s="1" t="s">
        <v>3004</v>
      </c>
      <c r="G264" s="25">
        <v>44440</v>
      </c>
      <c r="H264" s="1" t="s">
        <v>3558</v>
      </c>
      <c r="I264" s="14" t="s">
        <v>398</v>
      </c>
      <c r="J264" s="1" t="s">
        <v>3006</v>
      </c>
      <c r="K264" s="14" t="s">
        <v>3007</v>
      </c>
      <c r="L264" s="1" t="s">
        <v>3008</v>
      </c>
      <c r="M264" s="1" t="s">
        <v>3009</v>
      </c>
      <c r="N264" s="1">
        <v>844</v>
      </c>
      <c r="O264" s="1" t="s">
        <v>976</v>
      </c>
      <c r="P264" s="5">
        <v>830</v>
      </c>
      <c r="Q264" s="5">
        <v>0</v>
      </c>
      <c r="R264" s="5">
        <v>830</v>
      </c>
      <c r="S264" s="5">
        <v>0</v>
      </c>
      <c r="T264" s="5">
        <v>42</v>
      </c>
      <c r="V264" s="5" t="s">
        <v>398</v>
      </c>
      <c r="AB264"/>
      <c r="AC264"/>
      <c r="AD264"/>
    </row>
    <row r="265" spans="1:30" x14ac:dyDescent="0.25">
      <c r="A265" t="s">
        <v>3705</v>
      </c>
      <c r="B265" t="s">
        <v>3706</v>
      </c>
      <c r="C265" s="9" t="s">
        <v>3707</v>
      </c>
      <c r="D265" s="9">
        <v>11992739148</v>
      </c>
      <c r="E265" s="5" t="s">
        <v>3003</v>
      </c>
      <c r="F265" s="1" t="s">
        <v>3004</v>
      </c>
      <c r="G265" s="25">
        <v>44571</v>
      </c>
      <c r="H265" s="1" t="s">
        <v>3708</v>
      </c>
      <c r="I265" s="14" t="s">
        <v>328</v>
      </c>
      <c r="J265" s="1" t="s">
        <v>3006</v>
      </c>
      <c r="K265" s="14" t="s">
        <v>3007</v>
      </c>
      <c r="L265" s="1" t="s">
        <v>3008</v>
      </c>
      <c r="M265" s="1" t="s">
        <v>3016</v>
      </c>
      <c r="N265" s="1">
        <v>1614</v>
      </c>
      <c r="O265" s="1" t="s">
        <v>976</v>
      </c>
      <c r="P265" s="5">
        <v>880</v>
      </c>
      <c r="Q265" s="5">
        <v>0</v>
      </c>
      <c r="R265" s="5">
        <v>880</v>
      </c>
      <c r="S265" s="5">
        <v>0</v>
      </c>
      <c r="T265" s="5" t="s">
        <v>22</v>
      </c>
      <c r="V265" s="5" t="s">
        <v>328</v>
      </c>
      <c r="AB265"/>
      <c r="AC265"/>
      <c r="AD265"/>
    </row>
    <row r="266" spans="1:30" x14ac:dyDescent="0.25">
      <c r="A266" t="s">
        <v>3709</v>
      </c>
      <c r="B266" t="s">
        <v>3710</v>
      </c>
      <c r="C266" s="9" t="s">
        <v>3711</v>
      </c>
      <c r="D266" s="9">
        <v>999753553</v>
      </c>
      <c r="E266" s="5" t="s">
        <v>3514</v>
      </c>
      <c r="F266" s="1" t="s">
        <v>3680</v>
      </c>
      <c r="G266" s="25">
        <v>44512</v>
      </c>
      <c r="H266" s="1" t="s">
        <v>3027</v>
      </c>
      <c r="I266" s="14" t="s">
        <v>254</v>
      </c>
      <c r="J266" s="1" t="s">
        <v>3006</v>
      </c>
      <c r="K266" s="14" t="s">
        <v>3007</v>
      </c>
      <c r="L266" s="1" t="s">
        <v>3008</v>
      </c>
      <c r="M266" s="1" t="s">
        <v>3009</v>
      </c>
      <c r="N266" s="1">
        <v>1195</v>
      </c>
      <c r="O266" s="1" t="s">
        <v>976</v>
      </c>
      <c r="P266" s="5">
        <v>1279.99</v>
      </c>
      <c r="Q266" s="5">
        <v>138</v>
      </c>
      <c r="R266" s="5">
        <v>1380</v>
      </c>
      <c r="S266" s="5">
        <v>37.99</v>
      </c>
      <c r="T266" s="5" t="s">
        <v>22</v>
      </c>
      <c r="V266" s="5" t="s">
        <v>254</v>
      </c>
      <c r="AB266"/>
      <c r="AC266"/>
      <c r="AD266"/>
    </row>
    <row r="267" spans="1:30" x14ac:dyDescent="0.25">
      <c r="A267" t="s">
        <v>3712</v>
      </c>
      <c r="B267" t="s">
        <v>3713</v>
      </c>
      <c r="C267" s="9" t="s">
        <v>3714</v>
      </c>
      <c r="D267" s="9">
        <v>999964001</v>
      </c>
      <c r="E267" s="5" t="s">
        <v>3041</v>
      </c>
      <c r="F267" s="1" t="s">
        <v>3042</v>
      </c>
      <c r="G267" s="25">
        <v>44184</v>
      </c>
      <c r="H267" s="1" t="s">
        <v>3715</v>
      </c>
      <c r="I267" s="14" t="s">
        <v>2963</v>
      </c>
      <c r="J267" s="1" t="s">
        <v>3006</v>
      </c>
      <c r="K267" s="14" t="s">
        <v>3007</v>
      </c>
      <c r="L267" s="1" t="s">
        <v>3008</v>
      </c>
      <c r="M267" s="1" t="s">
        <v>3016</v>
      </c>
      <c r="N267" s="1">
        <v>117</v>
      </c>
      <c r="O267" s="1" t="s">
        <v>976</v>
      </c>
      <c r="P267" s="5">
        <v>801.57</v>
      </c>
      <c r="Q267" s="5">
        <v>0</v>
      </c>
      <c r="R267" s="5">
        <v>770</v>
      </c>
      <c r="S267" s="5">
        <v>31.57</v>
      </c>
      <c r="T267" s="5">
        <v>39</v>
      </c>
      <c r="U267" s="5" t="s">
        <v>2443</v>
      </c>
      <c r="V267" s="5" t="s">
        <v>934</v>
      </c>
      <c r="AB267"/>
      <c r="AC267"/>
      <c r="AD267"/>
    </row>
    <row r="268" spans="1:30" x14ac:dyDescent="0.25">
      <c r="A268" t="s">
        <v>3716</v>
      </c>
      <c r="B268" t="s">
        <v>3717</v>
      </c>
      <c r="C268" s="9" t="s">
        <v>3718</v>
      </c>
      <c r="D268" s="9">
        <v>976310193</v>
      </c>
      <c r="E268" s="5" t="s">
        <v>3041</v>
      </c>
      <c r="F268" s="1" t="s">
        <v>3042</v>
      </c>
      <c r="G268" s="25">
        <v>44312</v>
      </c>
      <c r="H268" s="1" t="s">
        <v>3027</v>
      </c>
      <c r="I268" s="14" t="s">
        <v>254</v>
      </c>
      <c r="J268" s="1" t="s">
        <v>3006</v>
      </c>
      <c r="K268" s="14" t="s">
        <v>3007</v>
      </c>
      <c r="L268" s="1" t="s">
        <v>3008</v>
      </c>
      <c r="M268" s="1" t="s">
        <v>3009</v>
      </c>
      <c r="N268" s="1">
        <v>343</v>
      </c>
      <c r="O268" s="1" t="s">
        <v>976</v>
      </c>
      <c r="P268" s="5">
        <v>1122.74</v>
      </c>
      <c r="Q268" s="5">
        <v>0</v>
      </c>
      <c r="R268" s="5">
        <v>1100</v>
      </c>
      <c r="S268" s="5">
        <v>22.74</v>
      </c>
      <c r="T268" s="5" t="s">
        <v>22</v>
      </c>
      <c r="V268" s="5" t="s">
        <v>254</v>
      </c>
      <c r="AB268"/>
      <c r="AC268"/>
      <c r="AD268"/>
    </row>
    <row r="269" spans="1:30" x14ac:dyDescent="0.25">
      <c r="A269" t="s">
        <v>3716</v>
      </c>
      <c r="B269" t="s">
        <v>3717</v>
      </c>
      <c r="C269" s="9" t="s">
        <v>3718</v>
      </c>
      <c r="D269" s="9">
        <v>976310193</v>
      </c>
      <c r="E269" s="5" t="s">
        <v>3041</v>
      </c>
      <c r="F269" s="1" t="s">
        <v>3042</v>
      </c>
      <c r="G269" s="25">
        <v>44536</v>
      </c>
      <c r="H269" s="1" t="s">
        <v>3015</v>
      </c>
      <c r="I269" s="14" t="s">
        <v>252</v>
      </c>
      <c r="J269" s="1" t="s">
        <v>3006</v>
      </c>
      <c r="K269" s="14" t="s">
        <v>3007</v>
      </c>
      <c r="L269" s="1" t="s">
        <v>3008</v>
      </c>
      <c r="M269" s="1" t="s">
        <v>3016</v>
      </c>
      <c r="N269" s="1">
        <v>1348</v>
      </c>
      <c r="O269" s="1" t="s">
        <v>976</v>
      </c>
      <c r="P269" s="5">
        <v>1214.4000000000001</v>
      </c>
      <c r="Q269" s="5">
        <v>165.6</v>
      </c>
      <c r="R269" s="5">
        <v>1380</v>
      </c>
      <c r="S269" s="5">
        <v>0</v>
      </c>
      <c r="T269" s="5" t="s">
        <v>22</v>
      </c>
      <c r="V269" s="5" t="s">
        <v>252</v>
      </c>
      <c r="AB269"/>
      <c r="AC269"/>
      <c r="AD269"/>
    </row>
    <row r="270" spans="1:30" x14ac:dyDescent="0.25">
      <c r="A270" t="s">
        <v>3719</v>
      </c>
      <c r="B270" t="s">
        <v>3720</v>
      </c>
      <c r="C270" s="9" t="s">
        <v>3721</v>
      </c>
      <c r="D270" s="9">
        <v>969939202</v>
      </c>
      <c r="E270" s="5" t="s">
        <v>3003</v>
      </c>
      <c r="F270" s="1" t="s">
        <v>3004</v>
      </c>
      <c r="G270" s="25">
        <v>44382</v>
      </c>
      <c r="H270" s="1" t="s">
        <v>3015</v>
      </c>
      <c r="I270" s="14" t="s">
        <v>252</v>
      </c>
      <c r="J270" s="1" t="s">
        <v>3006</v>
      </c>
      <c r="K270" s="14" t="s">
        <v>3007</v>
      </c>
      <c r="L270" s="1" t="s">
        <v>3008</v>
      </c>
      <c r="M270" s="1" t="s">
        <v>3009</v>
      </c>
      <c r="N270" s="1">
        <v>584</v>
      </c>
      <c r="O270" s="1" t="s">
        <v>976</v>
      </c>
      <c r="P270" s="5">
        <v>1099.17</v>
      </c>
      <c r="Q270" s="5">
        <v>120</v>
      </c>
      <c r="R270" s="5">
        <v>1200</v>
      </c>
      <c r="S270" s="5">
        <v>19.170000000000002</v>
      </c>
      <c r="T270" s="5" t="s">
        <v>22</v>
      </c>
      <c r="V270" s="5" t="s">
        <v>252</v>
      </c>
      <c r="AB270"/>
      <c r="AC270"/>
      <c r="AD270"/>
    </row>
    <row r="271" spans="1:30" x14ac:dyDescent="0.25">
      <c r="A271" t="s">
        <v>3722</v>
      </c>
      <c r="B271" t="s">
        <v>3723</v>
      </c>
      <c r="C271" s="9" t="s">
        <v>3724</v>
      </c>
      <c r="D271" s="9">
        <v>998824803</v>
      </c>
      <c r="E271" s="5" t="s">
        <v>3644</v>
      </c>
      <c r="F271" s="1" t="s">
        <v>3645</v>
      </c>
      <c r="G271" s="25">
        <v>44448</v>
      </c>
      <c r="H271" s="1" t="s">
        <v>3725</v>
      </c>
      <c r="I271" s="14" t="s">
        <v>2816</v>
      </c>
      <c r="J271" s="1" t="s">
        <v>3006</v>
      </c>
      <c r="K271" s="14" t="s">
        <v>3007</v>
      </c>
      <c r="L271" s="1" t="s">
        <v>3008</v>
      </c>
      <c r="M271" s="1" t="s">
        <v>3016</v>
      </c>
      <c r="N271" s="1">
        <v>883</v>
      </c>
      <c r="O271" s="1" t="s">
        <v>976</v>
      </c>
      <c r="P271" s="5">
        <v>488.29</v>
      </c>
      <c r="Q271" s="5">
        <v>0</v>
      </c>
      <c r="R271" s="5">
        <v>460</v>
      </c>
      <c r="S271" s="5">
        <v>28.29</v>
      </c>
      <c r="T271" s="5" t="s">
        <v>23</v>
      </c>
      <c r="U271" s="5" t="s">
        <v>2443</v>
      </c>
      <c r="V271" s="5" t="s">
        <v>793</v>
      </c>
      <c r="AB271"/>
      <c r="AC271"/>
      <c r="AD271"/>
    </row>
    <row r="272" spans="1:30" x14ac:dyDescent="0.25">
      <c r="A272" t="s">
        <v>3726</v>
      </c>
      <c r="B272" t="s">
        <v>3727</v>
      </c>
      <c r="C272" s="9" t="s">
        <v>3728</v>
      </c>
      <c r="D272" s="9" t="s">
        <v>3729</v>
      </c>
      <c r="E272" s="5" t="s">
        <v>3003</v>
      </c>
      <c r="F272" s="1" t="s">
        <v>3004</v>
      </c>
      <c r="G272" s="25">
        <v>44411</v>
      </c>
      <c r="H272" s="1" t="s">
        <v>3015</v>
      </c>
      <c r="I272" s="14" t="s">
        <v>252</v>
      </c>
      <c r="J272" s="1" t="s">
        <v>3006</v>
      </c>
      <c r="K272" s="14" t="s">
        <v>3007</v>
      </c>
      <c r="L272" s="1" t="s">
        <v>3008</v>
      </c>
      <c r="M272" s="1" t="s">
        <v>3009</v>
      </c>
      <c r="N272" s="1">
        <v>734</v>
      </c>
      <c r="O272" s="1" t="s">
        <v>976</v>
      </c>
      <c r="P272" s="5">
        <v>1330</v>
      </c>
      <c r="Q272" s="5">
        <v>0</v>
      </c>
      <c r="R272" s="5">
        <v>1330</v>
      </c>
      <c r="S272" s="5">
        <v>0</v>
      </c>
      <c r="T272" s="5" t="s">
        <v>22</v>
      </c>
      <c r="V272" s="5" t="s">
        <v>252</v>
      </c>
      <c r="AB272"/>
      <c r="AC272"/>
      <c r="AD272"/>
    </row>
    <row r="273" spans="1:30" x14ac:dyDescent="0.25">
      <c r="A273" t="s">
        <v>3730</v>
      </c>
      <c r="B273" t="s">
        <v>3731</v>
      </c>
      <c r="C273" s="9" t="s">
        <v>3732</v>
      </c>
      <c r="D273" s="9">
        <v>996792209</v>
      </c>
      <c r="E273" s="5" t="s">
        <v>3733</v>
      </c>
      <c r="F273" s="1" t="s">
        <v>3734</v>
      </c>
      <c r="G273" s="25">
        <v>44546</v>
      </c>
      <c r="H273" s="1" t="s">
        <v>3075</v>
      </c>
      <c r="I273" s="14" t="s">
        <v>2791</v>
      </c>
      <c r="J273" s="1" t="s">
        <v>3006</v>
      </c>
      <c r="K273" s="14" t="s">
        <v>3007</v>
      </c>
      <c r="L273" s="1" t="s">
        <v>3008</v>
      </c>
      <c r="M273" s="1" t="s">
        <v>3009</v>
      </c>
      <c r="N273" s="1">
        <v>1472</v>
      </c>
      <c r="O273" s="1" t="s">
        <v>976</v>
      </c>
      <c r="P273" s="5">
        <v>1545.92</v>
      </c>
      <c r="Q273" s="5">
        <v>166.5</v>
      </c>
      <c r="R273" s="5">
        <v>1665</v>
      </c>
      <c r="S273" s="5">
        <v>47.42</v>
      </c>
      <c r="T273" s="5" t="s">
        <v>22</v>
      </c>
      <c r="U273" s="5" t="s">
        <v>2443</v>
      </c>
      <c r="V273" s="5" t="s">
        <v>763</v>
      </c>
      <c r="AB273"/>
      <c r="AC273"/>
      <c r="AD273"/>
    </row>
    <row r="274" spans="1:30" x14ac:dyDescent="0.25">
      <c r="A274" t="s">
        <v>3735</v>
      </c>
      <c r="B274" t="s">
        <v>3736</v>
      </c>
      <c r="C274" s="9" t="s">
        <v>3737</v>
      </c>
      <c r="D274" s="9">
        <v>51999416168</v>
      </c>
      <c r="E274" s="5" t="s">
        <v>3003</v>
      </c>
      <c r="F274" s="1" t="s">
        <v>3004</v>
      </c>
      <c r="G274" s="25">
        <v>44255</v>
      </c>
      <c r="H274" s="1" t="s">
        <v>3738</v>
      </c>
      <c r="I274" s="14" t="s">
        <v>227</v>
      </c>
      <c r="J274" s="1" t="s">
        <v>3006</v>
      </c>
      <c r="K274" s="14" t="s">
        <v>3007</v>
      </c>
      <c r="L274" s="1" t="s">
        <v>3008</v>
      </c>
      <c r="M274" s="1" t="s">
        <v>3009</v>
      </c>
      <c r="N274" s="1">
        <v>246</v>
      </c>
      <c r="O274" s="1" t="s">
        <v>976</v>
      </c>
      <c r="P274" s="5">
        <v>599</v>
      </c>
      <c r="Q274" s="5">
        <v>0</v>
      </c>
      <c r="R274" s="5">
        <v>599</v>
      </c>
      <c r="S274" s="5">
        <v>0</v>
      </c>
      <c r="T274" s="5" t="s">
        <v>22</v>
      </c>
      <c r="V274" s="5" t="s">
        <v>227</v>
      </c>
      <c r="AB274"/>
      <c r="AC274"/>
      <c r="AD274"/>
    </row>
    <row r="275" spans="1:30" x14ac:dyDescent="0.25">
      <c r="A275" t="s">
        <v>3735</v>
      </c>
      <c r="B275" t="s">
        <v>3736</v>
      </c>
      <c r="C275" s="9" t="s">
        <v>3737</v>
      </c>
      <c r="D275" s="9">
        <v>51999416168</v>
      </c>
      <c r="E275" s="5" t="s">
        <v>3003</v>
      </c>
      <c r="F275" s="1" t="s">
        <v>3004</v>
      </c>
      <c r="G275" s="25">
        <v>44255</v>
      </c>
      <c r="H275" s="1" t="s">
        <v>3196</v>
      </c>
      <c r="I275" s="14" t="s">
        <v>2867</v>
      </c>
      <c r="J275" s="1" t="s">
        <v>3006</v>
      </c>
      <c r="K275" s="14" t="s">
        <v>3007</v>
      </c>
      <c r="L275" s="1" t="s">
        <v>3008</v>
      </c>
      <c r="M275" s="1" t="s">
        <v>3009</v>
      </c>
      <c r="N275" s="1">
        <v>246</v>
      </c>
      <c r="O275" s="1" t="s">
        <v>976</v>
      </c>
      <c r="P275" s="5">
        <v>470</v>
      </c>
      <c r="Q275" s="5">
        <v>0</v>
      </c>
      <c r="R275" s="5">
        <v>470</v>
      </c>
      <c r="S275" s="5">
        <v>0</v>
      </c>
      <c r="T275" s="5" t="s">
        <v>22</v>
      </c>
      <c r="U275" s="5" t="s">
        <v>2482</v>
      </c>
      <c r="V275" s="5" t="s">
        <v>869</v>
      </c>
      <c r="AB275"/>
      <c r="AC275"/>
      <c r="AD275"/>
    </row>
    <row r="276" spans="1:30" x14ac:dyDescent="0.25">
      <c r="A276" t="s">
        <v>3735</v>
      </c>
      <c r="B276" t="s">
        <v>3736</v>
      </c>
      <c r="C276" s="9" t="s">
        <v>3737</v>
      </c>
      <c r="D276" s="9">
        <v>51999416168</v>
      </c>
      <c r="E276" s="5" t="s">
        <v>3003</v>
      </c>
      <c r="F276" s="1" t="s">
        <v>3004</v>
      </c>
      <c r="G276" s="25">
        <v>44255</v>
      </c>
      <c r="H276" s="1" t="s">
        <v>3739</v>
      </c>
      <c r="I276" s="14" t="s">
        <v>2851</v>
      </c>
      <c r="J276" s="1" t="s">
        <v>3006</v>
      </c>
      <c r="K276" s="14" t="s">
        <v>3007</v>
      </c>
      <c r="L276" s="1" t="s">
        <v>3008</v>
      </c>
      <c r="M276" s="1" t="s">
        <v>3009</v>
      </c>
      <c r="N276" s="1">
        <v>246</v>
      </c>
      <c r="O276" s="1" t="s">
        <v>976</v>
      </c>
      <c r="P276" s="5">
        <v>599</v>
      </c>
      <c r="Q276" s="5">
        <v>0</v>
      </c>
      <c r="R276" s="5">
        <v>599</v>
      </c>
      <c r="S276" s="5">
        <v>0</v>
      </c>
      <c r="T276" s="5" t="s">
        <v>22</v>
      </c>
      <c r="U276" s="5" t="s">
        <v>2443</v>
      </c>
      <c r="V276" s="5" t="s">
        <v>872</v>
      </c>
      <c r="AB276"/>
      <c r="AC276"/>
      <c r="AD276"/>
    </row>
    <row r="277" spans="1:30" x14ac:dyDescent="0.25">
      <c r="A277" t="s">
        <v>3735</v>
      </c>
      <c r="B277" t="s">
        <v>3736</v>
      </c>
      <c r="C277" s="9" t="s">
        <v>3737</v>
      </c>
      <c r="D277" s="9">
        <v>51999416168</v>
      </c>
      <c r="E277" s="5" t="s">
        <v>3003</v>
      </c>
      <c r="F277" s="1" t="s">
        <v>3004</v>
      </c>
      <c r="G277" s="25">
        <v>44312</v>
      </c>
      <c r="H277" s="1" t="s">
        <v>3027</v>
      </c>
      <c r="I277" s="14" t="s">
        <v>254</v>
      </c>
      <c r="J277" s="1" t="s">
        <v>3006</v>
      </c>
      <c r="K277" s="14" t="s">
        <v>3007</v>
      </c>
      <c r="L277" s="1" t="s">
        <v>3008</v>
      </c>
      <c r="M277" s="1" t="s">
        <v>3009</v>
      </c>
      <c r="N277" s="1">
        <v>346</v>
      </c>
      <c r="O277" s="1" t="s">
        <v>976</v>
      </c>
      <c r="P277" s="5">
        <v>1100</v>
      </c>
      <c r="Q277" s="5">
        <v>0</v>
      </c>
      <c r="R277" s="5">
        <v>1100</v>
      </c>
      <c r="S277" s="5">
        <v>0</v>
      </c>
      <c r="T277" s="5" t="s">
        <v>22</v>
      </c>
      <c r="V277" s="5" t="s">
        <v>254</v>
      </c>
      <c r="AB277"/>
      <c r="AC277"/>
      <c r="AD277"/>
    </row>
    <row r="278" spans="1:30" x14ac:dyDescent="0.25">
      <c r="A278" t="s">
        <v>3740</v>
      </c>
      <c r="B278" t="s">
        <v>3741</v>
      </c>
      <c r="C278" s="9" t="s">
        <v>3742</v>
      </c>
      <c r="D278" s="9" t="s">
        <v>976</v>
      </c>
      <c r="E278" s="5" t="s">
        <v>3003</v>
      </c>
      <c r="F278" s="1" t="s">
        <v>3004</v>
      </c>
      <c r="G278" s="25">
        <v>44331</v>
      </c>
      <c r="H278" s="1" t="s">
        <v>3175</v>
      </c>
      <c r="I278" s="14" t="s">
        <v>583</v>
      </c>
      <c r="J278" s="1" t="s">
        <v>3006</v>
      </c>
      <c r="K278" s="14" t="s">
        <v>3007</v>
      </c>
      <c r="L278" s="1" t="s">
        <v>3008</v>
      </c>
      <c r="M278" s="1" t="s">
        <v>3016</v>
      </c>
      <c r="N278" s="1">
        <v>422</v>
      </c>
      <c r="O278" s="1" t="s">
        <v>976</v>
      </c>
      <c r="P278" s="5">
        <v>490</v>
      </c>
      <c r="Q278" s="5">
        <v>0</v>
      </c>
      <c r="R278" s="5">
        <v>490</v>
      </c>
      <c r="S278" s="5">
        <v>0</v>
      </c>
      <c r="T278" s="5" t="s">
        <v>23</v>
      </c>
      <c r="V278" s="5" t="s">
        <v>583</v>
      </c>
      <c r="AB278"/>
      <c r="AC278"/>
      <c r="AD278"/>
    </row>
    <row r="279" spans="1:30" x14ac:dyDescent="0.25">
      <c r="A279" t="s">
        <v>3740</v>
      </c>
      <c r="B279" t="s">
        <v>3741</v>
      </c>
      <c r="C279" s="9" t="s">
        <v>3742</v>
      </c>
      <c r="D279" s="9" t="s">
        <v>976</v>
      </c>
      <c r="E279" s="5" t="s">
        <v>3003</v>
      </c>
      <c r="F279" s="1" t="s">
        <v>3004</v>
      </c>
      <c r="G279" s="25">
        <v>44331</v>
      </c>
      <c r="H279" s="1" t="s">
        <v>3743</v>
      </c>
      <c r="I279" s="14" t="s">
        <v>374</v>
      </c>
      <c r="J279" s="1" t="s">
        <v>3006</v>
      </c>
      <c r="K279" s="14" t="s">
        <v>3007</v>
      </c>
      <c r="L279" s="1" t="s">
        <v>3008</v>
      </c>
      <c r="M279" s="1" t="s">
        <v>3016</v>
      </c>
      <c r="N279" s="1">
        <v>422</v>
      </c>
      <c r="O279" s="1" t="s">
        <v>976</v>
      </c>
      <c r="P279" s="5">
        <v>180</v>
      </c>
      <c r="Q279" s="5">
        <v>5</v>
      </c>
      <c r="R279" s="5">
        <v>185</v>
      </c>
      <c r="S279" s="5">
        <v>0</v>
      </c>
      <c r="T279" s="5" t="s">
        <v>5574</v>
      </c>
      <c r="V279" s="5" t="s">
        <v>374</v>
      </c>
      <c r="AB279"/>
      <c r="AC279"/>
      <c r="AD279"/>
    </row>
    <row r="280" spans="1:30" x14ac:dyDescent="0.25">
      <c r="A280" t="s">
        <v>3744</v>
      </c>
      <c r="B280" t="s">
        <v>3745</v>
      </c>
      <c r="C280" s="9" t="s">
        <v>3746</v>
      </c>
      <c r="D280" s="9">
        <v>995046393</v>
      </c>
      <c r="E280" s="5" t="s">
        <v>3733</v>
      </c>
      <c r="F280" s="1" t="s">
        <v>3734</v>
      </c>
      <c r="G280" s="25">
        <v>44515</v>
      </c>
      <c r="H280" s="1" t="s">
        <v>3027</v>
      </c>
      <c r="I280" s="14" t="s">
        <v>254</v>
      </c>
      <c r="J280" s="1" t="s">
        <v>3006</v>
      </c>
      <c r="K280" s="14" t="s">
        <v>3007</v>
      </c>
      <c r="L280" s="1" t="s">
        <v>3008</v>
      </c>
      <c r="M280" s="1" t="s">
        <v>3009</v>
      </c>
      <c r="N280" s="1">
        <v>1211</v>
      </c>
      <c r="O280" s="1" t="s">
        <v>976</v>
      </c>
      <c r="P280" s="5">
        <v>1272.17</v>
      </c>
      <c r="Q280" s="5">
        <v>138</v>
      </c>
      <c r="R280" s="5">
        <v>1380</v>
      </c>
      <c r="S280" s="5">
        <v>30.17</v>
      </c>
      <c r="T280" s="5" t="s">
        <v>22</v>
      </c>
      <c r="V280" s="5" t="s">
        <v>254</v>
      </c>
      <c r="AB280"/>
      <c r="AC280"/>
      <c r="AD280"/>
    </row>
    <row r="281" spans="1:30" x14ac:dyDescent="0.25">
      <c r="A281" t="s">
        <v>3747</v>
      </c>
      <c r="B281" t="s">
        <v>3748</v>
      </c>
      <c r="C281" s="9" t="s">
        <v>3749</v>
      </c>
      <c r="D281" s="9">
        <v>999952873</v>
      </c>
      <c r="E281" s="5" t="s">
        <v>3041</v>
      </c>
      <c r="F281" s="1" t="s">
        <v>3042</v>
      </c>
      <c r="G281" s="25">
        <v>44544</v>
      </c>
      <c r="H281" s="1" t="s">
        <v>3027</v>
      </c>
      <c r="I281" s="14" t="s">
        <v>254</v>
      </c>
      <c r="J281" s="1" t="s">
        <v>3006</v>
      </c>
      <c r="K281" s="14" t="s">
        <v>3007</v>
      </c>
      <c r="L281" s="1" t="s">
        <v>3008</v>
      </c>
      <c r="M281" s="1" t="s">
        <v>3009</v>
      </c>
      <c r="N281" s="1">
        <v>1447</v>
      </c>
      <c r="O281" s="1" t="s">
        <v>976</v>
      </c>
      <c r="P281" s="5">
        <v>1530.38</v>
      </c>
      <c r="Q281" s="5">
        <v>166.5</v>
      </c>
      <c r="R281" s="5">
        <v>1665</v>
      </c>
      <c r="S281" s="5">
        <v>31.88</v>
      </c>
      <c r="T281" s="5" t="s">
        <v>22</v>
      </c>
      <c r="V281" s="5" t="s">
        <v>254</v>
      </c>
      <c r="AB281"/>
      <c r="AC281"/>
      <c r="AD281"/>
    </row>
    <row r="282" spans="1:30" x14ac:dyDescent="0.25">
      <c r="A282" t="s">
        <v>3750</v>
      </c>
      <c r="B282" t="s">
        <v>3751</v>
      </c>
      <c r="C282" s="9" t="s">
        <v>3752</v>
      </c>
      <c r="D282" s="9" t="s">
        <v>976</v>
      </c>
      <c r="E282" s="5" t="s">
        <v>3753</v>
      </c>
      <c r="F282" s="1" t="s">
        <v>3754</v>
      </c>
      <c r="G282" s="25">
        <v>44546</v>
      </c>
      <c r="H282" s="1" t="s">
        <v>3564</v>
      </c>
      <c r="I282" s="14" t="s">
        <v>295</v>
      </c>
      <c r="J282" s="1" t="s">
        <v>3006</v>
      </c>
      <c r="K282" s="14" t="s">
        <v>3007</v>
      </c>
      <c r="L282" s="1" t="s">
        <v>3008</v>
      </c>
      <c r="M282" s="1" t="s">
        <v>3009</v>
      </c>
      <c r="N282" s="1">
        <v>1471</v>
      </c>
      <c r="O282" s="1" t="s">
        <v>976</v>
      </c>
      <c r="P282" s="5">
        <v>578</v>
      </c>
      <c r="Q282" s="5">
        <v>102</v>
      </c>
      <c r="R282" s="5">
        <v>680</v>
      </c>
      <c r="S282" s="5">
        <v>0</v>
      </c>
      <c r="T282" s="5" t="s">
        <v>24</v>
      </c>
      <c r="V282" s="5" t="s">
        <v>295</v>
      </c>
      <c r="AB282"/>
      <c r="AC282"/>
      <c r="AD282"/>
    </row>
    <row r="283" spans="1:30" x14ac:dyDescent="0.25">
      <c r="A283" t="s">
        <v>3755</v>
      </c>
      <c r="B283" t="s">
        <v>3756</v>
      </c>
      <c r="C283" s="9" t="s">
        <v>3757</v>
      </c>
      <c r="D283" s="9">
        <v>98991260620</v>
      </c>
      <c r="E283" s="5" t="s">
        <v>3758</v>
      </c>
      <c r="F283" s="1" t="s">
        <v>3759</v>
      </c>
      <c r="G283" s="25">
        <v>44437</v>
      </c>
      <c r="H283" s="1" t="s">
        <v>3760</v>
      </c>
      <c r="I283" s="14" t="s">
        <v>2766</v>
      </c>
      <c r="J283" s="1" t="s">
        <v>3006</v>
      </c>
      <c r="K283" s="14" t="s">
        <v>3007</v>
      </c>
      <c r="L283" s="1" t="s">
        <v>3008</v>
      </c>
      <c r="M283" s="1" t="s">
        <v>3009</v>
      </c>
      <c r="N283" s="1">
        <v>831</v>
      </c>
      <c r="O283" s="1" t="s">
        <v>976</v>
      </c>
      <c r="P283" s="5">
        <v>810</v>
      </c>
      <c r="Q283" s="5">
        <v>0</v>
      </c>
      <c r="R283" s="5">
        <v>810</v>
      </c>
      <c r="S283" s="5">
        <v>0</v>
      </c>
      <c r="T283" s="5" t="s">
        <v>5575</v>
      </c>
      <c r="U283" s="5" t="s">
        <v>2443</v>
      </c>
      <c r="V283" s="5" t="s">
        <v>723</v>
      </c>
      <c r="AB283"/>
      <c r="AC283"/>
      <c r="AD283"/>
    </row>
    <row r="284" spans="1:30" x14ac:dyDescent="0.25">
      <c r="A284" t="s">
        <v>3755</v>
      </c>
      <c r="B284" t="s">
        <v>3756</v>
      </c>
      <c r="C284" s="9" t="s">
        <v>3757</v>
      </c>
      <c r="D284" s="9">
        <v>98991260620</v>
      </c>
      <c r="E284" s="5" t="s">
        <v>3758</v>
      </c>
      <c r="F284" s="1" t="s">
        <v>3759</v>
      </c>
      <c r="G284" s="25">
        <v>44437</v>
      </c>
      <c r="H284" s="1" t="s">
        <v>3761</v>
      </c>
      <c r="I284" s="14" t="s">
        <v>2769</v>
      </c>
      <c r="J284" s="1" t="s">
        <v>3006</v>
      </c>
      <c r="K284" s="14" t="s">
        <v>3007</v>
      </c>
      <c r="L284" s="1" t="s">
        <v>3008</v>
      </c>
      <c r="M284" s="1" t="s">
        <v>3009</v>
      </c>
      <c r="N284" s="1">
        <v>831</v>
      </c>
      <c r="O284" s="1" t="s">
        <v>976</v>
      </c>
      <c r="P284" s="5">
        <v>490</v>
      </c>
      <c r="Q284" s="5">
        <v>0</v>
      </c>
      <c r="R284" s="5">
        <v>490</v>
      </c>
      <c r="S284" s="5">
        <v>0</v>
      </c>
      <c r="T284" s="5" t="s">
        <v>24</v>
      </c>
      <c r="U284" s="5" t="s">
        <v>2472</v>
      </c>
      <c r="V284" s="5" t="s">
        <v>747</v>
      </c>
      <c r="AB284"/>
      <c r="AC284"/>
      <c r="AD284"/>
    </row>
    <row r="285" spans="1:30" x14ac:dyDescent="0.25">
      <c r="A285" t="s">
        <v>3755</v>
      </c>
      <c r="B285" t="s">
        <v>3756</v>
      </c>
      <c r="C285" s="9" t="s">
        <v>3757</v>
      </c>
      <c r="D285" s="9">
        <v>98991260620</v>
      </c>
      <c r="E285" s="5" t="s">
        <v>3758</v>
      </c>
      <c r="F285" s="1" t="s">
        <v>3759</v>
      </c>
      <c r="G285" s="25">
        <v>44437</v>
      </c>
      <c r="H285" s="1" t="s">
        <v>3762</v>
      </c>
      <c r="I285" s="14" t="s">
        <v>2863</v>
      </c>
      <c r="J285" s="1" t="s">
        <v>3006</v>
      </c>
      <c r="K285" s="14" t="s">
        <v>3007</v>
      </c>
      <c r="L285" s="1" t="s">
        <v>3008</v>
      </c>
      <c r="M285" s="1" t="s">
        <v>3009</v>
      </c>
      <c r="N285" s="1">
        <v>831</v>
      </c>
      <c r="O285" s="1" t="s">
        <v>976</v>
      </c>
      <c r="P285" s="5">
        <v>710</v>
      </c>
      <c r="Q285" s="5">
        <v>0</v>
      </c>
      <c r="R285" s="5">
        <v>710</v>
      </c>
      <c r="S285" s="5">
        <v>0</v>
      </c>
      <c r="T285" s="5" t="s">
        <v>2616</v>
      </c>
      <c r="U285" s="5" t="s">
        <v>2482</v>
      </c>
      <c r="V285" s="5" t="s">
        <v>863</v>
      </c>
      <c r="AB285"/>
      <c r="AC285"/>
      <c r="AD285"/>
    </row>
    <row r="286" spans="1:30" x14ac:dyDescent="0.25">
      <c r="A286" t="s">
        <v>3763</v>
      </c>
      <c r="B286" t="s">
        <v>3764</v>
      </c>
      <c r="C286" s="9" t="s">
        <v>3765</v>
      </c>
      <c r="D286" s="9">
        <v>989803678</v>
      </c>
      <c r="E286" s="5" t="s">
        <v>3003</v>
      </c>
      <c r="F286" s="1" t="s">
        <v>3004</v>
      </c>
      <c r="G286" s="25">
        <v>44537</v>
      </c>
      <c r="H286" s="1" t="s">
        <v>3015</v>
      </c>
      <c r="I286" s="14" t="s">
        <v>252</v>
      </c>
      <c r="J286" s="1" t="s">
        <v>3006</v>
      </c>
      <c r="K286" s="14" t="s">
        <v>3007</v>
      </c>
      <c r="L286" s="1" t="s">
        <v>3008</v>
      </c>
      <c r="M286" s="1" t="s">
        <v>3009</v>
      </c>
      <c r="N286" s="1">
        <v>1368</v>
      </c>
      <c r="O286" s="1" t="s">
        <v>976</v>
      </c>
      <c r="P286" s="5">
        <v>1380</v>
      </c>
      <c r="Q286" s="5">
        <v>0</v>
      </c>
      <c r="R286" s="5">
        <v>1380</v>
      </c>
      <c r="S286" s="5">
        <v>0</v>
      </c>
      <c r="T286" s="5" t="s">
        <v>22</v>
      </c>
      <c r="V286" s="5" t="s">
        <v>252</v>
      </c>
      <c r="AB286"/>
      <c r="AC286"/>
      <c r="AD286"/>
    </row>
    <row r="287" spans="1:30" x14ac:dyDescent="0.25">
      <c r="A287" t="s">
        <v>3766</v>
      </c>
      <c r="B287" t="s">
        <v>3767</v>
      </c>
      <c r="C287" s="9" t="s">
        <v>3768</v>
      </c>
      <c r="D287" s="9">
        <v>998164941</v>
      </c>
      <c r="E287" s="5" t="s">
        <v>3041</v>
      </c>
      <c r="F287" s="1" t="s">
        <v>3042</v>
      </c>
      <c r="G287" s="25">
        <v>44537</v>
      </c>
      <c r="H287" s="1" t="s">
        <v>3075</v>
      </c>
      <c r="I287" s="14" t="s">
        <v>2791</v>
      </c>
      <c r="J287" s="1" t="s">
        <v>3006</v>
      </c>
      <c r="K287" s="14" t="s">
        <v>3007</v>
      </c>
      <c r="L287" s="1" t="s">
        <v>3008</v>
      </c>
      <c r="M287" s="1" t="s">
        <v>3009</v>
      </c>
      <c r="N287" s="1">
        <v>1367</v>
      </c>
      <c r="O287" s="1" t="s">
        <v>976</v>
      </c>
      <c r="P287" s="5">
        <v>1397.32</v>
      </c>
      <c r="Q287" s="5">
        <v>0</v>
      </c>
      <c r="R287" s="5">
        <v>1380</v>
      </c>
      <c r="S287" s="5">
        <v>17.32</v>
      </c>
      <c r="T287" s="5" t="s">
        <v>22</v>
      </c>
      <c r="U287" s="5" t="s">
        <v>2443</v>
      </c>
      <c r="V287" s="5" t="s">
        <v>763</v>
      </c>
      <c r="AB287"/>
      <c r="AC287"/>
      <c r="AD287"/>
    </row>
    <row r="288" spans="1:30" x14ac:dyDescent="0.25">
      <c r="A288" t="s">
        <v>3766</v>
      </c>
      <c r="B288" t="s">
        <v>3767</v>
      </c>
      <c r="C288" s="9" t="s">
        <v>3768</v>
      </c>
      <c r="D288" s="9">
        <v>998164941</v>
      </c>
      <c r="E288" s="5" t="s">
        <v>3041</v>
      </c>
      <c r="F288" s="1" t="s">
        <v>3042</v>
      </c>
      <c r="G288" s="25">
        <v>44537</v>
      </c>
      <c r="H288" s="1" t="s">
        <v>3769</v>
      </c>
      <c r="I288" s="14" t="s">
        <v>1254</v>
      </c>
      <c r="J288" s="1" t="s">
        <v>3006</v>
      </c>
      <c r="K288" s="14" t="s">
        <v>3007</v>
      </c>
      <c r="L288" s="1" t="s">
        <v>3008</v>
      </c>
      <c r="M288" s="1" t="s">
        <v>3009</v>
      </c>
      <c r="N288" s="1">
        <v>1367</v>
      </c>
      <c r="O288" s="1" t="s">
        <v>976</v>
      </c>
      <c r="P288" s="5">
        <v>931.55</v>
      </c>
      <c r="Q288" s="5">
        <v>0</v>
      </c>
      <c r="R288" s="5">
        <v>920</v>
      </c>
      <c r="S288" s="5">
        <v>11.55</v>
      </c>
      <c r="T288" s="5" t="s">
        <v>22</v>
      </c>
      <c r="U288" s="5" t="s">
        <v>2443</v>
      </c>
      <c r="V288" s="5" t="s">
        <v>912</v>
      </c>
      <c r="AB288"/>
      <c r="AC288"/>
      <c r="AD288"/>
    </row>
    <row r="289" spans="1:30" x14ac:dyDescent="0.25">
      <c r="A289" t="s">
        <v>3770</v>
      </c>
      <c r="B289" t="s">
        <v>3771</v>
      </c>
      <c r="C289" s="9" t="s">
        <v>3772</v>
      </c>
      <c r="D289" s="9" t="s">
        <v>3773</v>
      </c>
      <c r="E289" s="5" t="s">
        <v>3003</v>
      </c>
      <c r="F289" s="1" t="s">
        <v>3004</v>
      </c>
      <c r="G289" s="25">
        <v>44376</v>
      </c>
      <c r="H289" s="1" t="s">
        <v>3109</v>
      </c>
      <c r="I289" s="14" t="s">
        <v>2790</v>
      </c>
      <c r="J289" s="1" t="s">
        <v>3006</v>
      </c>
      <c r="K289" s="14" t="s">
        <v>3007</v>
      </c>
      <c r="L289" s="1" t="s">
        <v>3008</v>
      </c>
      <c r="M289" s="1" t="s">
        <v>3016</v>
      </c>
      <c r="N289" s="1">
        <v>562</v>
      </c>
      <c r="O289" s="1" t="s">
        <v>976</v>
      </c>
      <c r="P289" s="5">
        <v>1750</v>
      </c>
      <c r="Q289" s="5">
        <v>0</v>
      </c>
      <c r="R289" s="5">
        <v>1750</v>
      </c>
      <c r="S289" s="5">
        <v>0</v>
      </c>
      <c r="T289" s="5" t="s">
        <v>5574</v>
      </c>
      <c r="U289" s="5" t="s">
        <v>2447</v>
      </c>
      <c r="V289" s="5" t="s">
        <v>244</v>
      </c>
      <c r="AB289"/>
      <c r="AC289"/>
      <c r="AD289"/>
    </row>
    <row r="290" spans="1:30" x14ac:dyDescent="0.25">
      <c r="A290" t="s">
        <v>3770</v>
      </c>
      <c r="B290" t="s">
        <v>3771</v>
      </c>
      <c r="C290" s="9" t="s">
        <v>3772</v>
      </c>
      <c r="D290" s="9" t="s">
        <v>3773</v>
      </c>
      <c r="E290" s="5" t="s">
        <v>3003</v>
      </c>
      <c r="F290" s="1" t="s">
        <v>3004</v>
      </c>
      <c r="G290" s="25">
        <v>44376</v>
      </c>
      <c r="H290" s="1" t="s">
        <v>3129</v>
      </c>
      <c r="I290" s="14" t="s">
        <v>2790</v>
      </c>
      <c r="J290" s="1" t="s">
        <v>3006</v>
      </c>
      <c r="K290" s="14" t="s">
        <v>3007</v>
      </c>
      <c r="L290" s="1" t="s">
        <v>3008</v>
      </c>
      <c r="M290" s="1" t="s">
        <v>3016</v>
      </c>
      <c r="N290" s="1">
        <v>562</v>
      </c>
      <c r="O290" s="1" t="s">
        <v>976</v>
      </c>
      <c r="P290" s="5">
        <v>1750</v>
      </c>
      <c r="Q290" s="5">
        <v>0</v>
      </c>
      <c r="R290" s="5">
        <v>1750</v>
      </c>
      <c r="S290" s="5">
        <v>0</v>
      </c>
      <c r="T290" s="5" t="s">
        <v>5574</v>
      </c>
      <c r="U290" s="5" t="s">
        <v>2482</v>
      </c>
      <c r="V290" s="5" t="s">
        <v>246</v>
      </c>
      <c r="AB290"/>
      <c r="AC290"/>
      <c r="AD290"/>
    </row>
    <row r="291" spans="1:30" x14ac:dyDescent="0.25">
      <c r="A291" t="s">
        <v>3770</v>
      </c>
      <c r="B291" t="s">
        <v>3771</v>
      </c>
      <c r="C291" s="9" t="s">
        <v>3772</v>
      </c>
      <c r="D291" s="9" t="s">
        <v>3773</v>
      </c>
      <c r="E291" s="5" t="s">
        <v>3003</v>
      </c>
      <c r="F291" s="1" t="s">
        <v>3004</v>
      </c>
      <c r="G291" s="25">
        <v>44376</v>
      </c>
      <c r="H291" s="1" t="s">
        <v>3410</v>
      </c>
      <c r="I291" s="14" t="s">
        <v>2792</v>
      </c>
      <c r="J291" s="1" t="s">
        <v>3006</v>
      </c>
      <c r="K291" s="14" t="s">
        <v>3007</v>
      </c>
      <c r="L291" s="1" t="s">
        <v>3008</v>
      </c>
      <c r="M291" s="1" t="s">
        <v>3016</v>
      </c>
      <c r="N291" s="1">
        <v>562</v>
      </c>
      <c r="O291" s="1" t="s">
        <v>976</v>
      </c>
      <c r="P291" s="5">
        <v>1200</v>
      </c>
      <c r="Q291" s="5">
        <v>0</v>
      </c>
      <c r="R291" s="5">
        <v>1200</v>
      </c>
      <c r="S291" s="5">
        <v>0</v>
      </c>
      <c r="T291" s="5" t="s">
        <v>22</v>
      </c>
      <c r="U291" s="5" t="s">
        <v>2727</v>
      </c>
      <c r="V291" s="5" t="s">
        <v>764</v>
      </c>
      <c r="AB291"/>
      <c r="AC291"/>
      <c r="AD291"/>
    </row>
    <row r="292" spans="1:30" x14ac:dyDescent="0.25">
      <c r="A292" t="s">
        <v>3770</v>
      </c>
      <c r="B292" t="s">
        <v>3771</v>
      </c>
      <c r="C292" s="9" t="s">
        <v>3772</v>
      </c>
      <c r="D292" s="9" t="s">
        <v>3773</v>
      </c>
      <c r="E292" s="5" t="s">
        <v>3003</v>
      </c>
      <c r="F292" s="1" t="s">
        <v>3004</v>
      </c>
      <c r="G292" s="25">
        <v>44376</v>
      </c>
      <c r="H292" s="1" t="s">
        <v>3298</v>
      </c>
      <c r="I292" s="14" t="s">
        <v>557</v>
      </c>
      <c r="J292" s="1" t="s">
        <v>3006</v>
      </c>
      <c r="K292" s="14" t="s">
        <v>3007</v>
      </c>
      <c r="L292" s="1" t="s">
        <v>3008</v>
      </c>
      <c r="M292" s="1" t="s">
        <v>3016</v>
      </c>
      <c r="N292" s="1">
        <v>562</v>
      </c>
      <c r="O292" s="1" t="s">
        <v>976</v>
      </c>
      <c r="P292" s="5">
        <v>900</v>
      </c>
      <c r="Q292" s="5">
        <v>0</v>
      </c>
      <c r="R292" s="5">
        <v>900</v>
      </c>
      <c r="S292" s="5">
        <v>0</v>
      </c>
      <c r="T292" s="5" t="s">
        <v>24</v>
      </c>
      <c r="V292" s="5" t="s">
        <v>557</v>
      </c>
      <c r="AB292"/>
      <c r="AC292"/>
      <c r="AD292"/>
    </row>
    <row r="293" spans="1:30" x14ac:dyDescent="0.25">
      <c r="A293" t="s">
        <v>3774</v>
      </c>
      <c r="B293" t="s">
        <v>3775</v>
      </c>
      <c r="C293" s="9" t="s">
        <v>3776</v>
      </c>
      <c r="D293" s="9">
        <v>984003164</v>
      </c>
      <c r="E293" s="5" t="s">
        <v>3003</v>
      </c>
      <c r="F293" s="1" t="s">
        <v>3004</v>
      </c>
      <c r="G293" s="25">
        <v>44411</v>
      </c>
      <c r="H293" s="1" t="s">
        <v>3075</v>
      </c>
      <c r="I293" s="14" t="s">
        <v>2791</v>
      </c>
      <c r="J293" s="1" t="s">
        <v>3006</v>
      </c>
      <c r="K293" s="14" t="s">
        <v>3007</v>
      </c>
      <c r="L293" s="1" t="s">
        <v>3008</v>
      </c>
      <c r="M293" s="1" t="s">
        <v>3009</v>
      </c>
      <c r="N293" s="1">
        <v>732</v>
      </c>
      <c r="O293" s="1" t="s">
        <v>976</v>
      </c>
      <c r="P293" s="5">
        <v>1215.56</v>
      </c>
      <c r="Q293" s="5">
        <v>133</v>
      </c>
      <c r="R293" s="5">
        <v>1330</v>
      </c>
      <c r="S293" s="5">
        <v>18.559999999999999</v>
      </c>
      <c r="T293" s="5" t="s">
        <v>22</v>
      </c>
      <c r="U293" s="5" t="s">
        <v>2443</v>
      </c>
      <c r="V293" s="5" t="s">
        <v>763</v>
      </c>
      <c r="AB293"/>
      <c r="AC293"/>
      <c r="AD293"/>
    </row>
    <row r="294" spans="1:30" x14ac:dyDescent="0.25">
      <c r="A294" t="s">
        <v>3777</v>
      </c>
      <c r="B294" t="s">
        <v>3778</v>
      </c>
      <c r="C294" s="9" t="s">
        <v>3779</v>
      </c>
      <c r="D294" s="9" t="s">
        <v>3780</v>
      </c>
      <c r="E294" s="5" t="s">
        <v>3733</v>
      </c>
      <c r="F294" s="1" t="s">
        <v>3734</v>
      </c>
      <c r="G294" s="25">
        <v>44320</v>
      </c>
      <c r="H294" s="1" t="s">
        <v>3075</v>
      </c>
      <c r="I294" s="14" t="s">
        <v>2791</v>
      </c>
      <c r="J294" s="1" t="s">
        <v>3006</v>
      </c>
      <c r="K294" s="14" t="s">
        <v>3007</v>
      </c>
      <c r="L294" s="1" t="s">
        <v>3008</v>
      </c>
      <c r="M294" s="1" t="s">
        <v>3009</v>
      </c>
      <c r="N294" s="1">
        <v>381</v>
      </c>
      <c r="O294" s="1" t="s">
        <v>976</v>
      </c>
      <c r="P294" s="5">
        <v>1194.8699999999999</v>
      </c>
      <c r="Q294" s="5">
        <v>5.13</v>
      </c>
      <c r="R294" s="5">
        <v>1200</v>
      </c>
      <c r="S294" s="5">
        <v>0</v>
      </c>
      <c r="T294" s="5" t="s">
        <v>22</v>
      </c>
      <c r="U294" s="5" t="s">
        <v>2443</v>
      </c>
      <c r="V294" s="5" t="s">
        <v>763</v>
      </c>
      <c r="AB294"/>
      <c r="AC294"/>
      <c r="AD294"/>
    </row>
    <row r="295" spans="1:30" x14ac:dyDescent="0.25">
      <c r="A295" t="s">
        <v>3777</v>
      </c>
      <c r="B295" t="s">
        <v>3778</v>
      </c>
      <c r="C295" s="9" t="s">
        <v>3779</v>
      </c>
      <c r="D295" s="9" t="s">
        <v>3780</v>
      </c>
      <c r="E295" s="5" t="s">
        <v>3733</v>
      </c>
      <c r="F295" s="1" t="s">
        <v>3734</v>
      </c>
      <c r="G295" s="25">
        <v>44320</v>
      </c>
      <c r="H295" s="1" t="s">
        <v>3781</v>
      </c>
      <c r="I295" s="14" t="s">
        <v>2808</v>
      </c>
      <c r="J295" s="1" t="s">
        <v>3006</v>
      </c>
      <c r="K295" s="14" t="s">
        <v>3007</v>
      </c>
      <c r="L295" s="1" t="s">
        <v>3008</v>
      </c>
      <c r="M295" s="1" t="s">
        <v>3009</v>
      </c>
      <c r="N295" s="1">
        <v>381</v>
      </c>
      <c r="O295" s="1" t="s">
        <v>976</v>
      </c>
      <c r="P295" s="5">
        <v>746.79</v>
      </c>
      <c r="Q295" s="5">
        <v>3.21</v>
      </c>
      <c r="R295" s="5">
        <v>750</v>
      </c>
      <c r="S295" s="5">
        <v>0</v>
      </c>
      <c r="T295" s="5" t="s">
        <v>22</v>
      </c>
      <c r="U295" s="5" t="s">
        <v>2443</v>
      </c>
      <c r="V295" s="5" t="s">
        <v>782</v>
      </c>
      <c r="AB295"/>
      <c r="AC295"/>
      <c r="AD295"/>
    </row>
    <row r="296" spans="1:30" x14ac:dyDescent="0.25">
      <c r="A296" t="s">
        <v>3777</v>
      </c>
      <c r="B296" t="s">
        <v>3778</v>
      </c>
      <c r="C296" s="9" t="s">
        <v>3779</v>
      </c>
      <c r="D296" s="9" t="s">
        <v>3780</v>
      </c>
      <c r="E296" s="5" t="s">
        <v>3733</v>
      </c>
      <c r="F296" s="1" t="s">
        <v>3734</v>
      </c>
      <c r="G296" s="25">
        <v>44320</v>
      </c>
      <c r="H296" s="1" t="s">
        <v>3782</v>
      </c>
      <c r="I296" s="14" t="s">
        <v>2913</v>
      </c>
      <c r="J296" s="1" t="s">
        <v>3006</v>
      </c>
      <c r="K296" s="14" t="s">
        <v>3007</v>
      </c>
      <c r="L296" s="1" t="s">
        <v>3008</v>
      </c>
      <c r="M296" s="1" t="s">
        <v>3009</v>
      </c>
      <c r="N296" s="1">
        <v>381</v>
      </c>
      <c r="O296" s="1" t="s">
        <v>976</v>
      </c>
      <c r="P296" s="5">
        <v>1050.49</v>
      </c>
      <c r="Q296" s="5">
        <v>4.51</v>
      </c>
      <c r="R296" s="5">
        <v>1055</v>
      </c>
      <c r="S296" s="5">
        <v>0</v>
      </c>
      <c r="T296" s="5" t="s">
        <v>23</v>
      </c>
      <c r="U296" s="5" t="s">
        <v>2482</v>
      </c>
      <c r="V296" s="5" t="s">
        <v>909</v>
      </c>
      <c r="AB296"/>
      <c r="AC296"/>
      <c r="AD296"/>
    </row>
    <row r="297" spans="1:30" x14ac:dyDescent="0.25">
      <c r="A297" t="s">
        <v>3777</v>
      </c>
      <c r="B297" t="s">
        <v>3778</v>
      </c>
      <c r="C297" s="9" t="s">
        <v>3779</v>
      </c>
      <c r="D297" s="9" t="s">
        <v>3780</v>
      </c>
      <c r="E297" s="5" t="s">
        <v>3733</v>
      </c>
      <c r="F297" s="1" t="s">
        <v>3734</v>
      </c>
      <c r="G297" s="25">
        <v>44320</v>
      </c>
      <c r="H297" s="1" t="s">
        <v>3783</v>
      </c>
      <c r="I297" s="14" t="s">
        <v>1254</v>
      </c>
      <c r="J297" s="1" t="s">
        <v>3006</v>
      </c>
      <c r="K297" s="14" t="s">
        <v>3007</v>
      </c>
      <c r="L297" s="1" t="s">
        <v>3008</v>
      </c>
      <c r="M297" s="1" t="s">
        <v>3009</v>
      </c>
      <c r="N297" s="1">
        <v>381</v>
      </c>
      <c r="O297" s="1" t="s">
        <v>976</v>
      </c>
      <c r="P297" s="5">
        <v>766.71</v>
      </c>
      <c r="Q297" s="5">
        <v>3.29</v>
      </c>
      <c r="R297" s="5">
        <v>770</v>
      </c>
      <c r="S297" s="5">
        <v>0</v>
      </c>
      <c r="T297" s="5" t="s">
        <v>23</v>
      </c>
      <c r="U297" s="5" t="s">
        <v>2443</v>
      </c>
      <c r="V297" s="5" t="s">
        <v>912</v>
      </c>
      <c r="AB297"/>
      <c r="AC297"/>
      <c r="AD297"/>
    </row>
    <row r="298" spans="1:30" x14ac:dyDescent="0.25">
      <c r="A298" t="s">
        <v>3777</v>
      </c>
      <c r="B298" t="s">
        <v>3778</v>
      </c>
      <c r="C298" s="9" t="s">
        <v>3779</v>
      </c>
      <c r="D298" s="9" t="s">
        <v>3780</v>
      </c>
      <c r="E298" s="5" t="s">
        <v>3733</v>
      </c>
      <c r="F298" s="1" t="s">
        <v>3734</v>
      </c>
      <c r="G298" s="25">
        <v>44320</v>
      </c>
      <c r="H298" s="1" t="s">
        <v>3784</v>
      </c>
      <c r="I298" s="14" t="s">
        <v>597</v>
      </c>
      <c r="J298" s="1" t="s">
        <v>3006</v>
      </c>
      <c r="K298" s="14" t="s">
        <v>3007</v>
      </c>
      <c r="L298" s="1" t="s">
        <v>3008</v>
      </c>
      <c r="M298" s="1" t="s">
        <v>3009</v>
      </c>
      <c r="N298" s="1">
        <v>381</v>
      </c>
      <c r="O298" s="1" t="s">
        <v>976</v>
      </c>
      <c r="P298" s="5">
        <v>766.71</v>
      </c>
      <c r="Q298" s="5">
        <v>3.29</v>
      </c>
      <c r="R298" s="5">
        <v>770</v>
      </c>
      <c r="S298" s="5">
        <v>0</v>
      </c>
      <c r="T298" s="5" t="s">
        <v>23</v>
      </c>
      <c r="V298" s="5" t="s">
        <v>597</v>
      </c>
      <c r="AB298"/>
      <c r="AC298"/>
      <c r="AD298"/>
    </row>
    <row r="299" spans="1:30" x14ac:dyDescent="0.25">
      <c r="A299" t="s">
        <v>3777</v>
      </c>
      <c r="B299" t="s">
        <v>3778</v>
      </c>
      <c r="C299" s="9" t="s">
        <v>3779</v>
      </c>
      <c r="D299" s="9" t="s">
        <v>3780</v>
      </c>
      <c r="E299" s="5" t="s">
        <v>3733</v>
      </c>
      <c r="F299" s="1" t="s">
        <v>3734</v>
      </c>
      <c r="G299" s="25">
        <v>44320</v>
      </c>
      <c r="H299" s="1" t="s">
        <v>3558</v>
      </c>
      <c r="I299" s="14" t="s">
        <v>398</v>
      </c>
      <c r="J299" s="1" t="s">
        <v>3006</v>
      </c>
      <c r="K299" s="14" t="s">
        <v>3007</v>
      </c>
      <c r="L299" s="1" t="s">
        <v>3008</v>
      </c>
      <c r="M299" s="1" t="s">
        <v>3009</v>
      </c>
      <c r="N299" s="1">
        <v>381</v>
      </c>
      <c r="O299" s="1" t="s">
        <v>976</v>
      </c>
      <c r="P299" s="5">
        <v>826.43</v>
      </c>
      <c r="Q299" s="5">
        <v>3.57</v>
      </c>
      <c r="R299" s="5">
        <v>830</v>
      </c>
      <c r="S299" s="5">
        <v>0</v>
      </c>
      <c r="T299" s="5">
        <v>42</v>
      </c>
      <c r="V299" s="5" t="s">
        <v>398</v>
      </c>
      <c r="AB299"/>
      <c r="AC299"/>
      <c r="AD299"/>
    </row>
    <row r="300" spans="1:30" x14ac:dyDescent="0.25">
      <c r="A300" t="s">
        <v>3785</v>
      </c>
      <c r="B300" t="s">
        <v>3786</v>
      </c>
      <c r="C300" s="9" t="s">
        <v>3787</v>
      </c>
      <c r="D300" s="9">
        <v>999462731</v>
      </c>
      <c r="E300" s="5" t="s">
        <v>3003</v>
      </c>
      <c r="F300" s="1" t="s">
        <v>3004</v>
      </c>
      <c r="G300" s="25">
        <v>44578</v>
      </c>
      <c r="H300" s="1" t="s">
        <v>3015</v>
      </c>
      <c r="I300" s="14" t="s">
        <v>252</v>
      </c>
      <c r="J300" s="1" t="s">
        <v>3006</v>
      </c>
      <c r="K300" s="14" t="s">
        <v>3007</v>
      </c>
      <c r="L300" s="1" t="s">
        <v>3008</v>
      </c>
      <c r="M300" s="1" t="s">
        <v>3009</v>
      </c>
      <c r="N300" s="1">
        <v>1665</v>
      </c>
      <c r="O300" s="1" t="s">
        <v>976</v>
      </c>
      <c r="P300" s="5">
        <v>1498.5</v>
      </c>
      <c r="Q300" s="5">
        <v>166.5</v>
      </c>
      <c r="R300" s="5">
        <v>1665</v>
      </c>
      <c r="S300" s="5">
        <v>0</v>
      </c>
      <c r="T300" s="5" t="s">
        <v>22</v>
      </c>
      <c r="V300" s="5" t="s">
        <v>252</v>
      </c>
      <c r="AB300"/>
      <c r="AC300"/>
      <c r="AD300"/>
    </row>
    <row r="301" spans="1:30" x14ac:dyDescent="0.25">
      <c r="A301" t="s">
        <v>3788</v>
      </c>
      <c r="B301" t="s">
        <v>3789</v>
      </c>
      <c r="C301" s="9" t="s">
        <v>3790</v>
      </c>
      <c r="D301" s="9" t="s">
        <v>3791</v>
      </c>
      <c r="E301" s="5" t="s">
        <v>3733</v>
      </c>
      <c r="F301" s="1" t="s">
        <v>3792</v>
      </c>
      <c r="G301" s="25">
        <v>44543</v>
      </c>
      <c r="H301" s="1" t="s">
        <v>3793</v>
      </c>
      <c r="I301" s="14" t="s">
        <v>2848</v>
      </c>
      <c r="J301" s="1" t="s">
        <v>3006</v>
      </c>
      <c r="K301" s="14" t="s">
        <v>3007</v>
      </c>
      <c r="L301" s="1" t="s">
        <v>3008</v>
      </c>
      <c r="M301" s="1" t="s">
        <v>976</v>
      </c>
      <c r="N301" s="1">
        <v>1445</v>
      </c>
      <c r="O301" s="1" t="s">
        <v>976</v>
      </c>
      <c r="P301" s="5">
        <v>710</v>
      </c>
      <c r="Q301" s="5">
        <v>0</v>
      </c>
      <c r="R301" s="5">
        <v>710</v>
      </c>
      <c r="S301" s="5">
        <v>0</v>
      </c>
      <c r="T301" s="5" t="s">
        <v>23</v>
      </c>
      <c r="U301" s="5" t="s">
        <v>2437</v>
      </c>
      <c r="V301" s="5" t="s">
        <v>835</v>
      </c>
      <c r="AB301"/>
      <c r="AC301"/>
      <c r="AD301"/>
    </row>
    <row r="302" spans="1:30" x14ac:dyDescent="0.25">
      <c r="A302" t="s">
        <v>3794</v>
      </c>
      <c r="B302" t="s">
        <v>3795</v>
      </c>
      <c r="C302" s="9" t="s">
        <v>3796</v>
      </c>
      <c r="D302" s="9">
        <v>983662829</v>
      </c>
      <c r="E302" s="5" t="s">
        <v>3003</v>
      </c>
      <c r="F302" s="1" t="s">
        <v>3004</v>
      </c>
      <c r="G302" s="25">
        <v>44233</v>
      </c>
      <c r="H302" s="1" t="s">
        <v>3797</v>
      </c>
      <c r="I302" s="14" t="s">
        <v>2870</v>
      </c>
      <c r="J302" s="1" t="s">
        <v>3006</v>
      </c>
      <c r="K302" s="14" t="s">
        <v>3007</v>
      </c>
      <c r="L302" s="1" t="s">
        <v>3008</v>
      </c>
      <c r="M302" s="1" t="s">
        <v>3016</v>
      </c>
      <c r="N302" s="1">
        <v>205</v>
      </c>
      <c r="O302" s="1" t="s">
        <v>976</v>
      </c>
      <c r="P302" s="5">
        <v>145</v>
      </c>
      <c r="Q302" s="5">
        <v>245</v>
      </c>
      <c r="R302" s="5">
        <v>390</v>
      </c>
      <c r="S302" s="5">
        <v>0</v>
      </c>
      <c r="T302" s="5" t="s">
        <v>22</v>
      </c>
      <c r="U302" s="5" t="s">
        <v>2528</v>
      </c>
      <c r="V302" s="5" t="s">
        <v>874</v>
      </c>
      <c r="AB302"/>
      <c r="AC302"/>
      <c r="AD302"/>
    </row>
    <row r="303" spans="1:30" x14ac:dyDescent="0.25">
      <c r="A303" t="s">
        <v>3798</v>
      </c>
      <c r="B303" t="s">
        <v>3799</v>
      </c>
      <c r="C303" s="9" t="s">
        <v>3800</v>
      </c>
      <c r="D303" s="9">
        <v>996054030</v>
      </c>
      <c r="E303" s="5" t="s">
        <v>3003</v>
      </c>
      <c r="F303" s="1" t="s">
        <v>3801</v>
      </c>
      <c r="G303" s="25">
        <v>44378</v>
      </c>
      <c r="H303" s="1" t="s">
        <v>3410</v>
      </c>
      <c r="I303" s="14" t="s">
        <v>2792</v>
      </c>
      <c r="J303" s="1" t="s">
        <v>3006</v>
      </c>
      <c r="K303" s="14" t="s">
        <v>3007</v>
      </c>
      <c r="L303" s="1" t="s">
        <v>3008</v>
      </c>
      <c r="M303" s="1" t="s">
        <v>3016</v>
      </c>
      <c r="N303" s="1">
        <v>567</v>
      </c>
      <c r="O303" s="1" t="s">
        <v>976</v>
      </c>
      <c r="P303" s="5">
        <v>1241.67</v>
      </c>
      <c r="Q303" s="5">
        <v>0</v>
      </c>
      <c r="R303" s="5">
        <v>1200</v>
      </c>
      <c r="S303" s="5">
        <v>41.67</v>
      </c>
      <c r="T303" s="5" t="s">
        <v>22</v>
      </c>
      <c r="U303" s="5" t="s">
        <v>2727</v>
      </c>
      <c r="V303" s="5" t="s">
        <v>764</v>
      </c>
      <c r="AB303"/>
      <c r="AC303"/>
      <c r="AD303"/>
    </row>
    <row r="304" spans="1:30" x14ac:dyDescent="0.25">
      <c r="A304" t="s">
        <v>3802</v>
      </c>
      <c r="B304" t="s">
        <v>3803</v>
      </c>
      <c r="C304" s="9" t="s">
        <v>3804</v>
      </c>
      <c r="D304" s="9">
        <v>991738110</v>
      </c>
      <c r="E304" s="5" t="s">
        <v>3003</v>
      </c>
      <c r="F304" s="1" t="s">
        <v>3004</v>
      </c>
      <c r="G304" s="25">
        <v>44434</v>
      </c>
      <c r="H304" s="1" t="s">
        <v>3805</v>
      </c>
      <c r="I304" s="14" t="s">
        <v>487</v>
      </c>
      <c r="J304" s="1" t="s">
        <v>3006</v>
      </c>
      <c r="K304" s="14" t="s">
        <v>3007</v>
      </c>
      <c r="L304" s="1" t="s">
        <v>3008</v>
      </c>
      <c r="M304" s="1" t="s">
        <v>3009</v>
      </c>
      <c r="N304" s="1">
        <v>820</v>
      </c>
      <c r="O304" s="1" t="s">
        <v>976</v>
      </c>
      <c r="P304" s="5">
        <v>273.32</v>
      </c>
      <c r="Q304" s="5">
        <v>29</v>
      </c>
      <c r="R304" s="5">
        <v>290</v>
      </c>
      <c r="S304" s="5">
        <v>12.32</v>
      </c>
      <c r="T304" s="5" t="s">
        <v>23</v>
      </c>
      <c r="V304" s="5" t="s">
        <v>487</v>
      </c>
      <c r="AB304"/>
      <c r="AC304"/>
      <c r="AD304"/>
    </row>
    <row r="305" spans="1:30" x14ac:dyDescent="0.25">
      <c r="A305" t="s">
        <v>3806</v>
      </c>
      <c r="B305" t="s">
        <v>3807</v>
      </c>
      <c r="C305" s="9" t="s">
        <v>3306</v>
      </c>
      <c r="D305" s="9">
        <v>991474224</v>
      </c>
      <c r="E305" s="5" t="s">
        <v>3733</v>
      </c>
      <c r="F305" s="1" t="s">
        <v>3808</v>
      </c>
      <c r="G305" s="25">
        <v>44260</v>
      </c>
      <c r="H305" s="1" t="s">
        <v>3510</v>
      </c>
      <c r="I305" s="14" t="s">
        <v>2805</v>
      </c>
      <c r="J305" s="1" t="s">
        <v>3006</v>
      </c>
      <c r="K305" s="14" t="s">
        <v>3007</v>
      </c>
      <c r="L305" s="1" t="s">
        <v>3008</v>
      </c>
      <c r="M305" s="1" t="s">
        <v>3016</v>
      </c>
      <c r="N305" s="1">
        <v>269</v>
      </c>
      <c r="O305" s="1" t="s">
        <v>976</v>
      </c>
      <c r="P305" s="5">
        <v>470</v>
      </c>
      <c r="Q305" s="5">
        <v>0</v>
      </c>
      <c r="R305" s="5">
        <v>470</v>
      </c>
      <c r="S305" s="5">
        <v>0</v>
      </c>
      <c r="T305" s="5">
        <v>40</v>
      </c>
      <c r="U305" s="5" t="s">
        <v>2443</v>
      </c>
      <c r="V305" s="5" t="s">
        <v>776</v>
      </c>
      <c r="AB305"/>
      <c r="AC305"/>
      <c r="AD305"/>
    </row>
    <row r="306" spans="1:30" x14ac:dyDescent="0.25">
      <c r="A306" t="s">
        <v>3806</v>
      </c>
      <c r="B306" t="s">
        <v>3807</v>
      </c>
      <c r="C306" s="9" t="s">
        <v>3306</v>
      </c>
      <c r="D306" s="9">
        <v>991474224</v>
      </c>
      <c r="E306" s="5" t="s">
        <v>3733</v>
      </c>
      <c r="F306" s="1" t="s">
        <v>3808</v>
      </c>
      <c r="G306" s="25">
        <v>44260</v>
      </c>
      <c r="H306" s="1" t="s">
        <v>3681</v>
      </c>
      <c r="I306" s="14" t="s">
        <v>517</v>
      </c>
      <c r="J306" s="1" t="s">
        <v>3006</v>
      </c>
      <c r="K306" s="14" t="s">
        <v>3007</v>
      </c>
      <c r="L306" s="1" t="s">
        <v>3008</v>
      </c>
      <c r="M306" s="1" t="s">
        <v>3016</v>
      </c>
      <c r="N306" s="1">
        <v>269</v>
      </c>
      <c r="O306" s="1" t="s">
        <v>976</v>
      </c>
      <c r="P306" s="5">
        <v>180</v>
      </c>
      <c r="Q306" s="5">
        <v>5</v>
      </c>
      <c r="R306" s="5">
        <v>185</v>
      </c>
      <c r="S306" s="5">
        <v>0</v>
      </c>
      <c r="T306" s="5" t="s">
        <v>25</v>
      </c>
      <c r="V306" s="5" t="s">
        <v>517</v>
      </c>
      <c r="AB306"/>
      <c r="AC306"/>
      <c r="AD306"/>
    </row>
    <row r="307" spans="1:30" x14ac:dyDescent="0.25">
      <c r="A307" t="s">
        <v>3806</v>
      </c>
      <c r="B307" t="s">
        <v>3807</v>
      </c>
      <c r="C307" s="9" t="s">
        <v>3306</v>
      </c>
      <c r="D307" s="9">
        <v>991474224</v>
      </c>
      <c r="E307" s="5" t="s">
        <v>3733</v>
      </c>
      <c r="F307" s="1" t="s">
        <v>3808</v>
      </c>
      <c r="G307" s="25">
        <v>44260</v>
      </c>
      <c r="H307" s="1" t="s">
        <v>3234</v>
      </c>
      <c r="I307" s="14" t="s">
        <v>520</v>
      </c>
      <c r="J307" s="1" t="s">
        <v>3006</v>
      </c>
      <c r="K307" s="14" t="s">
        <v>3007</v>
      </c>
      <c r="L307" s="1" t="s">
        <v>3008</v>
      </c>
      <c r="M307" s="1" t="s">
        <v>3016</v>
      </c>
      <c r="N307" s="1">
        <v>269</v>
      </c>
      <c r="O307" s="1" t="s">
        <v>976</v>
      </c>
      <c r="P307" s="5">
        <v>180</v>
      </c>
      <c r="Q307" s="5">
        <v>5</v>
      </c>
      <c r="R307" s="5">
        <v>185</v>
      </c>
      <c r="S307" s="5">
        <v>0</v>
      </c>
      <c r="T307" s="5" t="s">
        <v>24</v>
      </c>
      <c r="V307" s="5" t="s">
        <v>520</v>
      </c>
      <c r="AB307"/>
      <c r="AC307"/>
      <c r="AD307"/>
    </row>
    <row r="308" spans="1:30" x14ac:dyDescent="0.25">
      <c r="A308" t="s">
        <v>3809</v>
      </c>
      <c r="B308" t="s">
        <v>3810</v>
      </c>
      <c r="C308" s="9" t="s">
        <v>3811</v>
      </c>
      <c r="D308" s="9" t="s">
        <v>3812</v>
      </c>
      <c r="E308" s="5" t="s">
        <v>3003</v>
      </c>
      <c r="F308" s="1" t="s">
        <v>3004</v>
      </c>
      <c r="G308" s="25">
        <v>44530</v>
      </c>
      <c r="H308" s="1" t="s">
        <v>3410</v>
      </c>
      <c r="I308" s="14" t="s">
        <v>2792</v>
      </c>
      <c r="J308" s="1" t="s">
        <v>3006</v>
      </c>
      <c r="K308" s="14" t="s">
        <v>3007</v>
      </c>
      <c r="L308" s="1" t="s">
        <v>3008</v>
      </c>
      <c r="M308" s="1" t="s">
        <v>3016</v>
      </c>
      <c r="N308" s="1">
        <v>1337</v>
      </c>
      <c r="O308" s="1" t="s">
        <v>976</v>
      </c>
      <c r="P308" s="5">
        <v>55.2</v>
      </c>
      <c r="Q308" s="5">
        <v>1324.8</v>
      </c>
      <c r="R308" s="5">
        <v>1380</v>
      </c>
      <c r="S308" s="5">
        <v>0</v>
      </c>
      <c r="T308" s="5" t="s">
        <v>22</v>
      </c>
      <c r="U308" s="5" t="s">
        <v>2727</v>
      </c>
      <c r="V308" s="5" t="s">
        <v>764</v>
      </c>
      <c r="AB308"/>
      <c r="AC308"/>
      <c r="AD308"/>
    </row>
    <row r="309" spans="1:30" x14ac:dyDescent="0.25">
      <c r="A309" t="s">
        <v>3809</v>
      </c>
      <c r="B309" t="s">
        <v>3810</v>
      </c>
      <c r="C309" s="9" t="s">
        <v>3811</v>
      </c>
      <c r="D309" s="9" t="s">
        <v>3812</v>
      </c>
      <c r="E309" s="5" t="s">
        <v>3003</v>
      </c>
      <c r="F309" s="1" t="s">
        <v>3004</v>
      </c>
      <c r="G309" s="25">
        <v>44530</v>
      </c>
      <c r="H309" s="1" t="s">
        <v>3813</v>
      </c>
      <c r="I309" s="14" t="s">
        <v>2966</v>
      </c>
      <c r="J309" s="1" t="s">
        <v>3006</v>
      </c>
      <c r="K309" s="14" t="s">
        <v>3007</v>
      </c>
      <c r="L309" s="1" t="s">
        <v>3008</v>
      </c>
      <c r="M309" s="1" t="s">
        <v>3016</v>
      </c>
      <c r="N309" s="1">
        <v>1337</v>
      </c>
      <c r="O309" s="1" t="s">
        <v>976</v>
      </c>
      <c r="P309" s="5">
        <v>38.4</v>
      </c>
      <c r="Q309" s="5">
        <v>921.6</v>
      </c>
      <c r="R309" s="5">
        <v>960</v>
      </c>
      <c r="S309" s="5">
        <v>0</v>
      </c>
      <c r="T309" s="5">
        <v>36</v>
      </c>
      <c r="U309" s="5" t="s">
        <v>2482</v>
      </c>
      <c r="V309" s="5" t="s">
        <v>939</v>
      </c>
      <c r="AB309"/>
      <c r="AC309"/>
      <c r="AD309"/>
    </row>
    <row r="310" spans="1:30" x14ac:dyDescent="0.25">
      <c r="A310" t="s">
        <v>3809</v>
      </c>
      <c r="B310" t="s">
        <v>3810</v>
      </c>
      <c r="C310" s="9" t="s">
        <v>3811</v>
      </c>
      <c r="D310" s="9" t="s">
        <v>3812</v>
      </c>
      <c r="E310" s="5" t="s">
        <v>3003</v>
      </c>
      <c r="F310" s="1" t="s">
        <v>3004</v>
      </c>
      <c r="G310" s="25">
        <v>44530</v>
      </c>
      <c r="H310" s="1" t="s">
        <v>3814</v>
      </c>
      <c r="I310" s="14" t="s">
        <v>2985</v>
      </c>
      <c r="J310" s="1" t="s">
        <v>3006</v>
      </c>
      <c r="K310" s="14" t="s">
        <v>3007</v>
      </c>
      <c r="L310" s="1" t="s">
        <v>3008</v>
      </c>
      <c r="M310" s="1" t="s">
        <v>3016</v>
      </c>
      <c r="N310" s="1">
        <v>1337</v>
      </c>
      <c r="O310" s="1" t="s">
        <v>976</v>
      </c>
      <c r="P310" s="5">
        <v>31.4</v>
      </c>
      <c r="Q310" s="5">
        <v>753.6</v>
      </c>
      <c r="R310" s="5">
        <v>785</v>
      </c>
      <c r="S310" s="5">
        <v>0</v>
      </c>
      <c r="T310" s="5" t="s">
        <v>21</v>
      </c>
      <c r="U310" s="5" t="s">
        <v>2482</v>
      </c>
      <c r="V310" s="5" t="s">
        <v>950</v>
      </c>
      <c r="AB310"/>
      <c r="AC310"/>
      <c r="AD310"/>
    </row>
    <row r="311" spans="1:30" x14ac:dyDescent="0.25">
      <c r="A311" t="s">
        <v>3815</v>
      </c>
      <c r="B311" t="s">
        <v>3816</v>
      </c>
      <c r="C311" s="9" t="s">
        <v>3817</v>
      </c>
      <c r="D311" s="9">
        <v>991116333</v>
      </c>
      <c r="E311" s="5" t="s">
        <v>3041</v>
      </c>
      <c r="F311" s="1" t="s">
        <v>3042</v>
      </c>
      <c r="G311" s="25">
        <v>44427</v>
      </c>
      <c r="H311" s="1" t="s">
        <v>3109</v>
      </c>
      <c r="I311" s="14" t="s">
        <v>2790</v>
      </c>
      <c r="J311" s="1" t="s">
        <v>3006</v>
      </c>
      <c r="K311" s="14" t="s">
        <v>3007</v>
      </c>
      <c r="L311" s="1" t="s">
        <v>3008</v>
      </c>
      <c r="M311" s="1" t="s">
        <v>3016</v>
      </c>
      <c r="N311" s="1">
        <v>796</v>
      </c>
      <c r="O311" s="1" t="s">
        <v>976</v>
      </c>
      <c r="P311" s="5">
        <v>1772.74</v>
      </c>
      <c r="Q311" s="5">
        <v>0</v>
      </c>
      <c r="R311" s="5">
        <v>1750</v>
      </c>
      <c r="S311" s="5">
        <v>22.74</v>
      </c>
      <c r="T311" s="5" t="s">
        <v>5574</v>
      </c>
      <c r="U311" s="5" t="s">
        <v>2447</v>
      </c>
      <c r="V311" s="5" t="s">
        <v>244</v>
      </c>
      <c r="AB311"/>
      <c r="AC311"/>
      <c r="AD311"/>
    </row>
    <row r="312" spans="1:30" x14ac:dyDescent="0.25">
      <c r="A312" t="s">
        <v>3818</v>
      </c>
      <c r="B312" t="s">
        <v>3819</v>
      </c>
      <c r="C312" s="9" t="s">
        <v>3820</v>
      </c>
      <c r="D312" s="9">
        <v>996964490</v>
      </c>
      <c r="E312" s="5" t="s">
        <v>3107</v>
      </c>
      <c r="F312" s="1" t="s">
        <v>3108</v>
      </c>
      <c r="G312" s="25">
        <v>44267</v>
      </c>
      <c r="H312" s="1" t="s">
        <v>3140</v>
      </c>
      <c r="I312" s="14" t="s">
        <v>314</v>
      </c>
      <c r="J312" s="1" t="s">
        <v>3006</v>
      </c>
      <c r="K312" s="14" t="s">
        <v>3007</v>
      </c>
      <c r="L312" s="1" t="s">
        <v>3008</v>
      </c>
      <c r="M312" s="1" t="s">
        <v>3016</v>
      </c>
      <c r="N312" s="1">
        <v>277</v>
      </c>
      <c r="O312" s="1" t="s">
        <v>976</v>
      </c>
      <c r="P312" s="5">
        <v>495.37</v>
      </c>
      <c r="Q312" s="5">
        <v>0</v>
      </c>
      <c r="R312" s="5">
        <v>470</v>
      </c>
      <c r="S312" s="5">
        <v>25.37</v>
      </c>
      <c r="T312" s="5" t="s">
        <v>23</v>
      </c>
      <c r="V312" s="5" t="s">
        <v>314</v>
      </c>
      <c r="AB312"/>
      <c r="AC312"/>
      <c r="AD312"/>
    </row>
    <row r="313" spans="1:30" x14ac:dyDescent="0.25">
      <c r="A313" t="s">
        <v>3821</v>
      </c>
      <c r="B313" t="s">
        <v>3822</v>
      </c>
      <c r="C313" s="9" t="s">
        <v>3823</v>
      </c>
      <c r="D313" s="9">
        <v>988846062</v>
      </c>
      <c r="E313" s="5" t="s">
        <v>3041</v>
      </c>
      <c r="F313" s="1" t="s">
        <v>3042</v>
      </c>
      <c r="G313" s="25">
        <v>44588</v>
      </c>
      <c r="H313" s="1" t="s">
        <v>3824</v>
      </c>
      <c r="I313" s="14" t="s">
        <v>2814</v>
      </c>
      <c r="J313" s="1" t="s">
        <v>3006</v>
      </c>
      <c r="K313" s="14" t="s">
        <v>3007</v>
      </c>
      <c r="L313" s="1" t="s">
        <v>3008</v>
      </c>
      <c r="M313" s="1" t="s">
        <v>3016</v>
      </c>
      <c r="N313" s="1">
        <v>1729</v>
      </c>
      <c r="O313" s="1" t="s">
        <v>976</v>
      </c>
      <c r="P313" s="5">
        <v>589.98</v>
      </c>
      <c r="Q313" s="5">
        <v>1.52</v>
      </c>
      <c r="R313" s="5">
        <v>575</v>
      </c>
      <c r="S313" s="5">
        <v>16.5</v>
      </c>
      <c r="T313" s="5" t="s">
        <v>23</v>
      </c>
      <c r="U313" s="5" t="s">
        <v>2472</v>
      </c>
      <c r="V313" s="5" t="s">
        <v>788</v>
      </c>
      <c r="AB313"/>
      <c r="AC313"/>
      <c r="AD313"/>
    </row>
    <row r="314" spans="1:30" x14ac:dyDescent="0.25">
      <c r="A314" t="s">
        <v>3821</v>
      </c>
      <c r="B314" t="s">
        <v>3822</v>
      </c>
      <c r="C314" s="9" t="s">
        <v>3823</v>
      </c>
      <c r="D314" s="9">
        <v>988846062</v>
      </c>
      <c r="E314" s="5" t="s">
        <v>3041</v>
      </c>
      <c r="F314" s="1" t="s">
        <v>3042</v>
      </c>
      <c r="G314" s="25">
        <v>44588</v>
      </c>
      <c r="H314" s="1" t="s">
        <v>3825</v>
      </c>
      <c r="I314" s="14" t="s">
        <v>2829</v>
      </c>
      <c r="J314" s="1" t="s">
        <v>3006</v>
      </c>
      <c r="K314" s="14" t="s">
        <v>3007</v>
      </c>
      <c r="L314" s="1" t="s">
        <v>3008</v>
      </c>
      <c r="M314" s="1" t="s">
        <v>3016</v>
      </c>
      <c r="N314" s="1">
        <v>1729</v>
      </c>
      <c r="O314" s="1" t="s">
        <v>976</v>
      </c>
      <c r="P314" s="5">
        <v>2359.92</v>
      </c>
      <c r="Q314" s="5">
        <v>6.06</v>
      </c>
      <c r="R314" s="5">
        <v>2300</v>
      </c>
      <c r="S314" s="5">
        <v>65.98</v>
      </c>
      <c r="T314" s="5" t="s">
        <v>23</v>
      </c>
      <c r="U314" s="5" t="s">
        <v>2472</v>
      </c>
      <c r="V314" s="5" t="s">
        <v>814</v>
      </c>
      <c r="AB314"/>
      <c r="AC314"/>
      <c r="AD314"/>
    </row>
    <row r="315" spans="1:30" x14ac:dyDescent="0.25">
      <c r="A315" t="s">
        <v>3821</v>
      </c>
      <c r="B315" t="s">
        <v>3822</v>
      </c>
      <c r="C315" s="9" t="s">
        <v>3823</v>
      </c>
      <c r="D315" s="9">
        <v>988846062</v>
      </c>
      <c r="E315" s="5" t="s">
        <v>3041</v>
      </c>
      <c r="F315" s="1" t="s">
        <v>3042</v>
      </c>
      <c r="G315" s="25">
        <v>44588</v>
      </c>
      <c r="H315" s="1" t="s">
        <v>3826</v>
      </c>
      <c r="I315" s="14" t="s">
        <v>368</v>
      </c>
      <c r="J315" s="1" t="s">
        <v>3006</v>
      </c>
      <c r="K315" s="14" t="s">
        <v>3007</v>
      </c>
      <c r="L315" s="1" t="s">
        <v>3008</v>
      </c>
      <c r="M315" s="1" t="s">
        <v>3016</v>
      </c>
      <c r="N315" s="1">
        <v>1729</v>
      </c>
      <c r="O315" s="1" t="s">
        <v>976</v>
      </c>
      <c r="P315" s="5">
        <v>805.45</v>
      </c>
      <c r="Q315" s="5">
        <v>2.0699999999999998</v>
      </c>
      <c r="R315" s="5">
        <v>785</v>
      </c>
      <c r="S315" s="5">
        <v>22.52</v>
      </c>
      <c r="T315" s="5" t="s">
        <v>23</v>
      </c>
      <c r="V315" s="5" t="s">
        <v>368</v>
      </c>
      <c r="AB315"/>
      <c r="AC315"/>
      <c r="AD315"/>
    </row>
    <row r="316" spans="1:30" x14ac:dyDescent="0.25">
      <c r="A316" t="s">
        <v>3821</v>
      </c>
      <c r="B316" t="s">
        <v>3822</v>
      </c>
      <c r="C316" s="9" t="s">
        <v>3823</v>
      </c>
      <c r="D316" s="9">
        <v>988846062</v>
      </c>
      <c r="E316" s="5" t="s">
        <v>3041</v>
      </c>
      <c r="F316" s="1" t="s">
        <v>3042</v>
      </c>
      <c r="G316" s="25">
        <v>44588</v>
      </c>
      <c r="H316" s="1" t="s">
        <v>3827</v>
      </c>
      <c r="I316" s="14" t="s">
        <v>2922</v>
      </c>
      <c r="J316" s="1" t="s">
        <v>3006</v>
      </c>
      <c r="K316" s="14" t="s">
        <v>3007</v>
      </c>
      <c r="L316" s="1" t="s">
        <v>3008</v>
      </c>
      <c r="M316" s="1" t="s">
        <v>3016</v>
      </c>
      <c r="N316" s="1">
        <v>1729</v>
      </c>
      <c r="O316" s="1" t="s">
        <v>976</v>
      </c>
      <c r="P316" s="5">
        <v>502.77</v>
      </c>
      <c r="Q316" s="5">
        <v>1.29</v>
      </c>
      <c r="R316" s="5">
        <v>490</v>
      </c>
      <c r="S316" s="5">
        <v>14.06</v>
      </c>
      <c r="T316" s="5" t="s">
        <v>23</v>
      </c>
      <c r="U316" s="5" t="s">
        <v>2482</v>
      </c>
      <c r="V316" s="5" t="s">
        <v>916</v>
      </c>
      <c r="AB316"/>
      <c r="AC316"/>
      <c r="AD316"/>
    </row>
    <row r="317" spans="1:30" x14ac:dyDescent="0.25">
      <c r="A317" t="s">
        <v>3821</v>
      </c>
      <c r="B317" t="s">
        <v>3822</v>
      </c>
      <c r="C317" s="9" t="s">
        <v>3823</v>
      </c>
      <c r="D317" s="9">
        <v>988846062</v>
      </c>
      <c r="E317" s="5" t="s">
        <v>3041</v>
      </c>
      <c r="F317" s="1" t="s">
        <v>3042</v>
      </c>
      <c r="G317" s="25">
        <v>44588</v>
      </c>
      <c r="H317" s="1" t="s">
        <v>3221</v>
      </c>
      <c r="I317" s="14" t="s">
        <v>2930</v>
      </c>
      <c r="J317" s="1" t="s">
        <v>3006</v>
      </c>
      <c r="K317" s="14" t="s">
        <v>3007</v>
      </c>
      <c r="L317" s="1" t="s">
        <v>3008</v>
      </c>
      <c r="M317" s="1" t="s">
        <v>3016</v>
      </c>
      <c r="N317" s="1">
        <v>1729</v>
      </c>
      <c r="O317" s="1" t="s">
        <v>976</v>
      </c>
      <c r="P317" s="5">
        <v>666.94</v>
      </c>
      <c r="Q317" s="5">
        <v>1.71</v>
      </c>
      <c r="R317" s="5">
        <v>650</v>
      </c>
      <c r="S317" s="5">
        <v>18.649999999999999</v>
      </c>
      <c r="T317" s="5" t="s">
        <v>23</v>
      </c>
      <c r="U317" s="5" t="s">
        <v>2447</v>
      </c>
      <c r="V317" s="5" t="s">
        <v>919</v>
      </c>
      <c r="AB317"/>
      <c r="AC317"/>
      <c r="AD317"/>
    </row>
    <row r="318" spans="1:30" x14ac:dyDescent="0.25">
      <c r="A318" t="s">
        <v>3821</v>
      </c>
      <c r="B318" t="s">
        <v>3822</v>
      </c>
      <c r="C318" s="9" t="s">
        <v>3823</v>
      </c>
      <c r="D318" s="9">
        <v>988846062</v>
      </c>
      <c r="E318" s="5" t="s">
        <v>3041</v>
      </c>
      <c r="F318" s="1" t="s">
        <v>3042</v>
      </c>
      <c r="G318" s="25">
        <v>44588</v>
      </c>
      <c r="H318" s="1" t="s">
        <v>3828</v>
      </c>
      <c r="I318" s="14" t="s">
        <v>548</v>
      </c>
      <c r="J318" s="1" t="s">
        <v>3006</v>
      </c>
      <c r="K318" s="14" t="s">
        <v>3007</v>
      </c>
      <c r="L318" s="1" t="s">
        <v>3008</v>
      </c>
      <c r="M318" s="1" t="s">
        <v>3016</v>
      </c>
      <c r="N318" s="1">
        <v>1729</v>
      </c>
      <c r="O318" s="1" t="s">
        <v>976</v>
      </c>
      <c r="P318" s="5">
        <v>913.18</v>
      </c>
      <c r="Q318" s="5">
        <v>2.35</v>
      </c>
      <c r="R318" s="5">
        <v>890</v>
      </c>
      <c r="S318" s="5">
        <v>25.53</v>
      </c>
      <c r="T318" s="5" t="s">
        <v>23</v>
      </c>
      <c r="V318" s="5" t="s">
        <v>548</v>
      </c>
      <c r="AB318"/>
      <c r="AC318"/>
      <c r="AD318"/>
    </row>
    <row r="319" spans="1:30" x14ac:dyDescent="0.25">
      <c r="A319" t="s">
        <v>3829</v>
      </c>
      <c r="B319" t="s">
        <v>3830</v>
      </c>
      <c r="C319" s="9" t="s">
        <v>3831</v>
      </c>
      <c r="D319" s="9" t="s">
        <v>3832</v>
      </c>
      <c r="E319" s="5" t="s">
        <v>3003</v>
      </c>
      <c r="F319" s="1" t="s">
        <v>3004</v>
      </c>
      <c r="G319" s="25">
        <v>44596</v>
      </c>
      <c r="H319" s="1" t="s">
        <v>3277</v>
      </c>
      <c r="I319" s="14" t="s">
        <v>2774</v>
      </c>
      <c r="J319" s="1" t="s">
        <v>3006</v>
      </c>
      <c r="K319" s="14" t="s">
        <v>3007</v>
      </c>
      <c r="L319" s="1" t="s">
        <v>3008</v>
      </c>
      <c r="M319" s="1" t="s">
        <v>3009</v>
      </c>
      <c r="N319" s="1">
        <v>1761</v>
      </c>
      <c r="O319" s="1" t="s">
        <v>976</v>
      </c>
      <c r="P319" s="5">
        <v>295.8</v>
      </c>
      <c r="Q319" s="5">
        <v>52.2</v>
      </c>
      <c r="R319" s="5">
        <v>348</v>
      </c>
      <c r="S319" s="5">
        <v>0</v>
      </c>
      <c r="T319" s="5" t="s">
        <v>23</v>
      </c>
      <c r="U319" s="5" t="s">
        <v>2447</v>
      </c>
      <c r="V319" s="5" t="s">
        <v>739</v>
      </c>
      <c r="AB319"/>
      <c r="AC319"/>
      <c r="AD319"/>
    </row>
    <row r="320" spans="1:30" x14ac:dyDescent="0.25">
      <c r="A320" t="s">
        <v>3833</v>
      </c>
      <c r="B320" t="s">
        <v>3834</v>
      </c>
      <c r="C320" s="9" t="s">
        <v>3835</v>
      </c>
      <c r="D320" s="9">
        <v>974087540</v>
      </c>
      <c r="E320" s="5" t="s">
        <v>3003</v>
      </c>
      <c r="F320" s="1" t="s">
        <v>3836</v>
      </c>
      <c r="G320" s="25">
        <v>44406</v>
      </c>
      <c r="H320" s="1" t="s">
        <v>3027</v>
      </c>
      <c r="I320" s="14" t="s">
        <v>254</v>
      </c>
      <c r="J320" s="1" t="s">
        <v>3006</v>
      </c>
      <c r="K320" s="14" t="s">
        <v>3007</v>
      </c>
      <c r="L320" s="1" t="s">
        <v>3008</v>
      </c>
      <c r="M320" s="1" t="s">
        <v>3009</v>
      </c>
      <c r="N320" s="1">
        <v>706</v>
      </c>
      <c r="O320" s="1" t="s">
        <v>976</v>
      </c>
      <c r="P320" s="5">
        <v>1350.76</v>
      </c>
      <c r="Q320" s="5">
        <v>0</v>
      </c>
      <c r="R320" s="5">
        <v>1330</v>
      </c>
      <c r="S320" s="5">
        <v>20.76</v>
      </c>
      <c r="T320" s="5" t="s">
        <v>22</v>
      </c>
      <c r="V320" s="5" t="s">
        <v>254</v>
      </c>
      <c r="AB320"/>
      <c r="AC320"/>
      <c r="AD320"/>
    </row>
    <row r="321" spans="1:30" x14ac:dyDescent="0.25">
      <c r="A321" t="s">
        <v>3837</v>
      </c>
      <c r="B321" t="s">
        <v>3838</v>
      </c>
      <c r="C321" s="9" t="s">
        <v>3839</v>
      </c>
      <c r="D321" s="9">
        <v>21991926521</v>
      </c>
      <c r="E321" s="5" t="s">
        <v>3003</v>
      </c>
      <c r="F321" s="1" t="s">
        <v>3004</v>
      </c>
      <c r="G321" s="25">
        <v>44331</v>
      </c>
      <c r="H321" s="1" t="s">
        <v>3140</v>
      </c>
      <c r="I321" s="14" t="s">
        <v>314</v>
      </c>
      <c r="J321" s="1" t="s">
        <v>3006</v>
      </c>
      <c r="K321" s="14" t="s">
        <v>3007</v>
      </c>
      <c r="L321" s="1" t="s">
        <v>3008</v>
      </c>
      <c r="M321" s="1" t="s">
        <v>3016</v>
      </c>
      <c r="N321" s="1">
        <v>421</v>
      </c>
      <c r="O321" s="1" t="s">
        <v>976</v>
      </c>
      <c r="P321" s="5">
        <v>470</v>
      </c>
      <c r="Q321" s="5">
        <v>0</v>
      </c>
      <c r="R321" s="5">
        <v>470</v>
      </c>
      <c r="S321" s="5">
        <v>0</v>
      </c>
      <c r="T321" s="5" t="s">
        <v>23</v>
      </c>
      <c r="V321" s="5" t="s">
        <v>314</v>
      </c>
      <c r="AB321"/>
      <c r="AC321"/>
      <c r="AD321"/>
    </row>
    <row r="322" spans="1:30" x14ac:dyDescent="0.25">
      <c r="A322" t="s">
        <v>3840</v>
      </c>
      <c r="B322" t="s">
        <v>3841</v>
      </c>
      <c r="C322" s="9" t="s">
        <v>3842</v>
      </c>
      <c r="D322" s="9">
        <v>969034659</v>
      </c>
      <c r="E322" s="5" t="s">
        <v>3003</v>
      </c>
      <c r="F322" s="1" t="s">
        <v>3004</v>
      </c>
      <c r="G322" s="25">
        <v>44322</v>
      </c>
      <c r="H322" s="1" t="s">
        <v>3843</v>
      </c>
      <c r="I322" s="14" t="s">
        <v>588</v>
      </c>
      <c r="J322" s="1" t="s">
        <v>3006</v>
      </c>
      <c r="K322" s="14" t="s">
        <v>3007</v>
      </c>
      <c r="L322" s="1" t="s">
        <v>3008</v>
      </c>
      <c r="M322" s="1" t="s">
        <v>3009</v>
      </c>
      <c r="N322" s="1">
        <v>391</v>
      </c>
      <c r="O322" s="1" t="s">
        <v>976</v>
      </c>
      <c r="P322" s="5">
        <v>367.35</v>
      </c>
      <c r="Q322" s="5">
        <v>532.65</v>
      </c>
      <c r="R322" s="5">
        <v>900</v>
      </c>
      <c r="S322" s="5">
        <v>0</v>
      </c>
      <c r="T322" s="5" t="s">
        <v>23</v>
      </c>
      <c r="V322" s="5" t="s">
        <v>588</v>
      </c>
      <c r="AB322"/>
      <c r="AC322"/>
      <c r="AD322"/>
    </row>
    <row r="323" spans="1:30" x14ac:dyDescent="0.25">
      <c r="A323" t="s">
        <v>3840</v>
      </c>
      <c r="B323" t="s">
        <v>3841</v>
      </c>
      <c r="C323" s="9" t="s">
        <v>3842</v>
      </c>
      <c r="D323" s="9">
        <v>969034659</v>
      </c>
      <c r="E323" s="5" t="s">
        <v>3003</v>
      </c>
      <c r="F323" s="1" t="s">
        <v>3004</v>
      </c>
      <c r="G323" s="25">
        <v>44322</v>
      </c>
      <c r="H323" s="1" t="s">
        <v>3545</v>
      </c>
      <c r="I323" s="14" t="s">
        <v>1415</v>
      </c>
      <c r="J323" s="1" t="s">
        <v>3006</v>
      </c>
      <c r="K323" s="14" t="s">
        <v>3007</v>
      </c>
      <c r="L323" s="1" t="s">
        <v>3008</v>
      </c>
      <c r="M323" s="1" t="s">
        <v>3009</v>
      </c>
      <c r="N323" s="1">
        <v>391</v>
      </c>
      <c r="O323" s="1" t="s">
        <v>976</v>
      </c>
      <c r="P323" s="5">
        <v>232.65</v>
      </c>
      <c r="Q323" s="5">
        <v>337.35</v>
      </c>
      <c r="R323" s="5">
        <v>570</v>
      </c>
      <c r="S323" s="5">
        <v>0</v>
      </c>
      <c r="T323" s="5" t="s">
        <v>23</v>
      </c>
      <c r="U323" s="5" t="s">
        <v>2472</v>
      </c>
      <c r="V323" s="5" t="s">
        <v>841</v>
      </c>
      <c r="AB323"/>
      <c r="AC323"/>
      <c r="AD323"/>
    </row>
    <row r="324" spans="1:30" x14ac:dyDescent="0.25">
      <c r="A324" t="s">
        <v>3840</v>
      </c>
      <c r="B324" t="s">
        <v>3841</v>
      </c>
      <c r="C324" s="9" t="s">
        <v>3842</v>
      </c>
      <c r="D324" s="9">
        <v>969034659</v>
      </c>
      <c r="E324" s="5" t="s">
        <v>3003</v>
      </c>
      <c r="F324" s="1" t="s">
        <v>3004</v>
      </c>
      <c r="G324" s="25">
        <v>44553</v>
      </c>
      <c r="H324" s="1" t="s">
        <v>3844</v>
      </c>
      <c r="I324" s="14" t="s">
        <v>2774</v>
      </c>
      <c r="J324" s="1" t="s">
        <v>3006</v>
      </c>
      <c r="K324" s="14" t="s">
        <v>3007</v>
      </c>
      <c r="L324" s="1" t="s">
        <v>3008</v>
      </c>
      <c r="M324" s="1" t="s">
        <v>3009</v>
      </c>
      <c r="N324" s="1">
        <v>1538</v>
      </c>
      <c r="O324" s="1" t="s">
        <v>976</v>
      </c>
      <c r="P324" s="5">
        <v>327.08999999999997</v>
      </c>
      <c r="Q324" s="5">
        <v>34.799999999999997</v>
      </c>
      <c r="R324" s="5">
        <v>348</v>
      </c>
      <c r="S324" s="5">
        <v>13.89</v>
      </c>
      <c r="T324" s="5" t="s">
        <v>24</v>
      </c>
      <c r="U324" s="5" t="s">
        <v>2447</v>
      </c>
      <c r="V324" s="5" t="s">
        <v>739</v>
      </c>
      <c r="AB324"/>
      <c r="AC324"/>
      <c r="AD324"/>
    </row>
    <row r="325" spans="1:30" x14ac:dyDescent="0.25">
      <c r="A325" t="s">
        <v>3845</v>
      </c>
      <c r="B325" t="s">
        <v>3846</v>
      </c>
      <c r="C325" s="9" t="s">
        <v>3847</v>
      </c>
      <c r="D325" s="9">
        <v>999775030</v>
      </c>
      <c r="E325" s="5" t="s">
        <v>3003</v>
      </c>
      <c r="F325" s="1" t="s">
        <v>3004</v>
      </c>
      <c r="G325" s="25">
        <v>44517</v>
      </c>
      <c r="H325" s="1" t="s">
        <v>3195</v>
      </c>
      <c r="I325" s="14" t="s">
        <v>2814</v>
      </c>
      <c r="J325" s="1" t="s">
        <v>3006</v>
      </c>
      <c r="K325" s="14" t="s">
        <v>3007</v>
      </c>
      <c r="L325" s="1" t="s">
        <v>3008</v>
      </c>
      <c r="M325" s="1" t="s">
        <v>3009</v>
      </c>
      <c r="N325" s="1">
        <v>1216</v>
      </c>
      <c r="O325" s="1" t="s">
        <v>976</v>
      </c>
      <c r="P325" s="5">
        <v>534.24</v>
      </c>
      <c r="Q325" s="5">
        <v>58.5</v>
      </c>
      <c r="R325" s="5">
        <v>585</v>
      </c>
      <c r="S325" s="5">
        <v>7.74</v>
      </c>
      <c r="T325" s="5" t="s">
        <v>23</v>
      </c>
      <c r="U325" s="5" t="s">
        <v>2482</v>
      </c>
      <c r="V325" s="5" t="s">
        <v>789</v>
      </c>
      <c r="AB325"/>
      <c r="AC325"/>
      <c r="AD325"/>
    </row>
    <row r="326" spans="1:30" x14ac:dyDescent="0.25">
      <c r="A326" t="s">
        <v>3845</v>
      </c>
      <c r="B326" t="s">
        <v>3846</v>
      </c>
      <c r="C326" s="9" t="s">
        <v>3847</v>
      </c>
      <c r="D326" s="9">
        <v>999775030</v>
      </c>
      <c r="E326" s="5" t="s">
        <v>3003</v>
      </c>
      <c r="F326" s="1" t="s">
        <v>3004</v>
      </c>
      <c r="G326" s="25">
        <v>44517</v>
      </c>
      <c r="H326" s="1" t="s">
        <v>3805</v>
      </c>
      <c r="I326" s="14" t="s">
        <v>487</v>
      </c>
      <c r="J326" s="1" t="s">
        <v>3006</v>
      </c>
      <c r="K326" s="14" t="s">
        <v>3007</v>
      </c>
      <c r="L326" s="1" t="s">
        <v>3008</v>
      </c>
      <c r="M326" s="1" t="s">
        <v>3009</v>
      </c>
      <c r="N326" s="1">
        <v>1216</v>
      </c>
      <c r="O326" s="1" t="s">
        <v>976</v>
      </c>
      <c r="P326" s="5">
        <v>287.67</v>
      </c>
      <c r="Q326" s="5">
        <v>31.5</v>
      </c>
      <c r="R326" s="5">
        <v>315</v>
      </c>
      <c r="S326" s="5">
        <v>4.17</v>
      </c>
      <c r="T326" s="5" t="s">
        <v>23</v>
      </c>
      <c r="V326" s="5" t="s">
        <v>487</v>
      </c>
      <c r="AB326"/>
      <c r="AC326"/>
      <c r="AD326"/>
    </row>
    <row r="327" spans="1:30" x14ac:dyDescent="0.25">
      <c r="A327" t="s">
        <v>3845</v>
      </c>
      <c r="B327" t="s">
        <v>3846</v>
      </c>
      <c r="C327" s="9" t="s">
        <v>3847</v>
      </c>
      <c r="D327" s="9">
        <v>999775030</v>
      </c>
      <c r="E327" s="5" t="s">
        <v>3003</v>
      </c>
      <c r="F327" s="1" t="s">
        <v>3004</v>
      </c>
      <c r="G327" s="25">
        <v>44517</v>
      </c>
      <c r="H327" s="1" t="s">
        <v>3848</v>
      </c>
      <c r="I327" s="14" t="s">
        <v>428</v>
      </c>
      <c r="J327" s="1" t="s">
        <v>3006</v>
      </c>
      <c r="K327" s="14" t="s">
        <v>3007</v>
      </c>
      <c r="L327" s="1" t="s">
        <v>3008</v>
      </c>
      <c r="M327" s="1" t="s">
        <v>3009</v>
      </c>
      <c r="N327" s="1">
        <v>1216</v>
      </c>
      <c r="O327" s="1" t="s">
        <v>976</v>
      </c>
      <c r="P327" s="5">
        <v>904.09</v>
      </c>
      <c r="Q327" s="5">
        <v>99</v>
      </c>
      <c r="R327" s="5">
        <v>990</v>
      </c>
      <c r="S327" s="5">
        <v>13.09</v>
      </c>
      <c r="T327" s="5">
        <v>40</v>
      </c>
      <c r="V327" s="5" t="s">
        <v>428</v>
      </c>
      <c r="AB327"/>
      <c r="AC327"/>
      <c r="AD327"/>
    </row>
    <row r="328" spans="1:30" x14ac:dyDescent="0.25">
      <c r="A328" t="s">
        <v>3849</v>
      </c>
      <c r="B328" t="s">
        <v>3850</v>
      </c>
      <c r="C328" s="9" t="s">
        <v>3851</v>
      </c>
      <c r="D328" s="9" t="s">
        <v>3852</v>
      </c>
      <c r="E328" s="5" t="s">
        <v>3003</v>
      </c>
      <c r="F328" s="1" t="s">
        <v>3004</v>
      </c>
      <c r="G328" s="25">
        <v>44369</v>
      </c>
      <c r="H328" s="1" t="s">
        <v>3272</v>
      </c>
      <c r="I328" s="14" t="s">
        <v>2917</v>
      </c>
      <c r="J328" s="1" t="s">
        <v>3006</v>
      </c>
      <c r="K328" s="14" t="s">
        <v>3007</v>
      </c>
      <c r="L328" s="1" t="s">
        <v>3008</v>
      </c>
      <c r="M328" s="1" t="s">
        <v>3009</v>
      </c>
      <c r="N328" s="1">
        <v>538</v>
      </c>
      <c r="O328" s="1" t="s">
        <v>976</v>
      </c>
      <c r="P328" s="5">
        <v>849.9</v>
      </c>
      <c r="Q328" s="5">
        <v>93</v>
      </c>
      <c r="R328" s="5">
        <v>930</v>
      </c>
      <c r="S328" s="5">
        <v>12.9</v>
      </c>
      <c r="T328" s="5" t="s">
        <v>5574</v>
      </c>
      <c r="U328" s="5" t="s">
        <v>2433</v>
      </c>
      <c r="V328" s="5" t="s">
        <v>910</v>
      </c>
      <c r="AB328"/>
      <c r="AC328"/>
      <c r="AD328"/>
    </row>
    <row r="329" spans="1:30" x14ac:dyDescent="0.25">
      <c r="A329" t="s">
        <v>3853</v>
      </c>
      <c r="B329" t="s">
        <v>3854</v>
      </c>
      <c r="C329" s="9" t="s">
        <v>3855</v>
      </c>
      <c r="D329" s="9">
        <v>989155849</v>
      </c>
      <c r="E329" s="5" t="s">
        <v>3107</v>
      </c>
      <c r="F329" s="1" t="s">
        <v>3856</v>
      </c>
      <c r="G329" s="25">
        <v>44175</v>
      </c>
      <c r="H329" s="1" t="s">
        <v>3857</v>
      </c>
      <c r="I329" s="14" t="s">
        <v>296</v>
      </c>
      <c r="J329" s="1" t="s">
        <v>3006</v>
      </c>
      <c r="K329" s="14" t="s">
        <v>3007</v>
      </c>
      <c r="L329" s="1" t="s">
        <v>3008</v>
      </c>
      <c r="M329" s="1" t="s">
        <v>3009</v>
      </c>
      <c r="N329" s="1">
        <v>76</v>
      </c>
      <c r="O329" s="1" t="s">
        <v>976</v>
      </c>
      <c r="P329" s="5">
        <v>649.12</v>
      </c>
      <c r="Q329" s="5">
        <v>0</v>
      </c>
      <c r="R329" s="5">
        <v>615</v>
      </c>
      <c r="S329" s="5">
        <v>34.119999999999997</v>
      </c>
      <c r="T329" s="5" t="s">
        <v>25</v>
      </c>
      <c r="V329" s="5" t="s">
        <v>296</v>
      </c>
      <c r="AB329"/>
      <c r="AC329"/>
      <c r="AD329"/>
    </row>
    <row r="330" spans="1:30" x14ac:dyDescent="0.25">
      <c r="A330" t="s">
        <v>3858</v>
      </c>
      <c r="B330" t="s">
        <v>3859</v>
      </c>
      <c r="C330" s="9" t="s">
        <v>3860</v>
      </c>
      <c r="D330" s="9">
        <v>999436232</v>
      </c>
      <c r="E330" s="5" t="s">
        <v>3133</v>
      </c>
      <c r="F330" s="1" t="s">
        <v>3248</v>
      </c>
      <c r="G330" s="25">
        <v>44579</v>
      </c>
      <c r="H330" s="1" t="s">
        <v>3129</v>
      </c>
      <c r="I330" s="14" t="s">
        <v>2790</v>
      </c>
      <c r="J330" s="1" t="s">
        <v>3006</v>
      </c>
      <c r="K330" s="14" t="s">
        <v>3007</v>
      </c>
      <c r="L330" s="1" t="s">
        <v>3008</v>
      </c>
      <c r="M330" s="1" t="s">
        <v>3009</v>
      </c>
      <c r="N330" s="1">
        <v>1683</v>
      </c>
      <c r="O330" s="1" t="s">
        <v>976</v>
      </c>
      <c r="P330" s="5">
        <v>1605.91</v>
      </c>
      <c r="Q330" s="5">
        <v>175</v>
      </c>
      <c r="R330" s="5">
        <v>1750</v>
      </c>
      <c r="S330" s="5">
        <v>30.91</v>
      </c>
      <c r="T330" s="5" t="s">
        <v>5574</v>
      </c>
      <c r="U330" s="5" t="s">
        <v>2482</v>
      </c>
      <c r="V330" s="5" t="s">
        <v>246</v>
      </c>
      <c r="AB330"/>
      <c r="AC330"/>
      <c r="AD330"/>
    </row>
    <row r="331" spans="1:30" x14ac:dyDescent="0.25">
      <c r="A331" t="s">
        <v>3861</v>
      </c>
      <c r="B331" t="s">
        <v>3862</v>
      </c>
      <c r="C331" s="9" t="s">
        <v>3863</v>
      </c>
      <c r="D331" s="9">
        <v>981473751</v>
      </c>
      <c r="E331" s="5" t="s">
        <v>3187</v>
      </c>
      <c r="F331" s="1" t="s">
        <v>3188</v>
      </c>
      <c r="G331" s="25">
        <v>44512</v>
      </c>
      <c r="H331" s="1" t="s">
        <v>3573</v>
      </c>
      <c r="I331" s="14" t="s">
        <v>2996</v>
      </c>
      <c r="J331" s="1" t="s">
        <v>3006</v>
      </c>
      <c r="K331" s="14" t="s">
        <v>3007</v>
      </c>
      <c r="L331" s="1" t="s">
        <v>3008</v>
      </c>
      <c r="M331" s="1" t="s">
        <v>3016</v>
      </c>
      <c r="N331" s="1">
        <v>1197</v>
      </c>
      <c r="O331" s="1" t="s">
        <v>976</v>
      </c>
      <c r="P331" s="5">
        <v>512.74</v>
      </c>
      <c r="Q331" s="5">
        <v>0</v>
      </c>
      <c r="R331" s="5">
        <v>490</v>
      </c>
      <c r="S331" s="5">
        <v>22.74</v>
      </c>
      <c r="T331" s="5" t="s">
        <v>23</v>
      </c>
      <c r="U331" s="5" t="s">
        <v>2447</v>
      </c>
      <c r="V331" s="5" t="s">
        <v>966</v>
      </c>
      <c r="AB331"/>
      <c r="AC331"/>
      <c r="AD331"/>
    </row>
    <row r="332" spans="1:30" x14ac:dyDescent="0.25">
      <c r="A332" t="s">
        <v>3864</v>
      </c>
      <c r="B332" t="s">
        <v>3865</v>
      </c>
      <c r="C332" s="9" t="s">
        <v>3593</v>
      </c>
      <c r="D332" s="9" t="s">
        <v>976</v>
      </c>
      <c r="E332" s="5" t="s">
        <v>3733</v>
      </c>
      <c r="F332" s="1" t="s">
        <v>3734</v>
      </c>
      <c r="G332" s="25">
        <v>44450</v>
      </c>
      <c r="H332" s="1" t="s">
        <v>3866</v>
      </c>
      <c r="I332" s="14" t="s">
        <v>2925</v>
      </c>
      <c r="J332" s="1" t="s">
        <v>3006</v>
      </c>
      <c r="K332" s="14" t="s">
        <v>3007</v>
      </c>
      <c r="L332" s="1" t="s">
        <v>3008</v>
      </c>
      <c r="M332" s="1" t="s">
        <v>3016</v>
      </c>
      <c r="N332" s="1">
        <v>901</v>
      </c>
      <c r="O332" s="1" t="s">
        <v>976</v>
      </c>
      <c r="P332" s="5">
        <v>623</v>
      </c>
      <c r="Q332" s="5">
        <v>267</v>
      </c>
      <c r="R332" s="5">
        <v>890</v>
      </c>
      <c r="S332" s="5">
        <v>0</v>
      </c>
      <c r="T332" s="5" t="s">
        <v>5574</v>
      </c>
      <c r="U332" s="5" t="s">
        <v>2433</v>
      </c>
      <c r="V332" s="5" t="s">
        <v>917</v>
      </c>
      <c r="AB332"/>
      <c r="AC332"/>
      <c r="AD332"/>
    </row>
    <row r="333" spans="1:30" x14ac:dyDescent="0.25">
      <c r="A333" t="s">
        <v>3867</v>
      </c>
      <c r="B333" t="s">
        <v>3868</v>
      </c>
      <c r="C333" s="9" t="s">
        <v>3869</v>
      </c>
      <c r="D333" s="9">
        <v>987848834</v>
      </c>
      <c r="E333" s="5" t="s">
        <v>3003</v>
      </c>
      <c r="F333" s="1" t="s">
        <v>3004</v>
      </c>
      <c r="G333" s="25">
        <v>44455</v>
      </c>
      <c r="H333" s="1" t="s">
        <v>3870</v>
      </c>
      <c r="I333" s="14" t="s">
        <v>323</v>
      </c>
      <c r="J333" s="1" t="s">
        <v>3006</v>
      </c>
      <c r="K333" s="14" t="s">
        <v>3007</v>
      </c>
      <c r="L333" s="1" t="s">
        <v>3008</v>
      </c>
      <c r="M333" s="1" t="s">
        <v>3009</v>
      </c>
      <c r="N333" s="1">
        <v>920</v>
      </c>
      <c r="O333" s="1" t="s">
        <v>976</v>
      </c>
      <c r="P333" s="5">
        <v>986.79</v>
      </c>
      <c r="Q333" s="5">
        <v>0</v>
      </c>
      <c r="R333" s="5">
        <v>980</v>
      </c>
      <c r="S333" s="5">
        <v>6.79</v>
      </c>
      <c r="T333" s="5" t="s">
        <v>23</v>
      </c>
      <c r="V333" s="5" t="s">
        <v>323</v>
      </c>
      <c r="AB333"/>
      <c r="AC333"/>
      <c r="AD333"/>
    </row>
    <row r="334" spans="1:30" x14ac:dyDescent="0.25">
      <c r="A334" t="s">
        <v>3867</v>
      </c>
      <c r="B334" t="s">
        <v>3868</v>
      </c>
      <c r="C334" s="9" t="s">
        <v>3869</v>
      </c>
      <c r="D334" s="9">
        <v>987848834</v>
      </c>
      <c r="E334" s="5" t="s">
        <v>3003</v>
      </c>
      <c r="F334" s="1" t="s">
        <v>3004</v>
      </c>
      <c r="G334" s="25">
        <v>44455</v>
      </c>
      <c r="H334" s="1" t="s">
        <v>3871</v>
      </c>
      <c r="I334" s="14" t="s">
        <v>2874</v>
      </c>
      <c r="J334" s="1" t="s">
        <v>3006</v>
      </c>
      <c r="K334" s="14" t="s">
        <v>3007</v>
      </c>
      <c r="L334" s="1" t="s">
        <v>3008</v>
      </c>
      <c r="M334" s="1" t="s">
        <v>3009</v>
      </c>
      <c r="N334" s="1">
        <v>920</v>
      </c>
      <c r="O334" s="1" t="s">
        <v>976</v>
      </c>
      <c r="P334" s="5">
        <v>1339.21</v>
      </c>
      <c r="Q334" s="5">
        <v>0</v>
      </c>
      <c r="R334" s="5">
        <v>1330</v>
      </c>
      <c r="S334" s="5">
        <v>9.2100000000000009</v>
      </c>
      <c r="T334" s="5" t="s">
        <v>23</v>
      </c>
      <c r="U334" s="5" t="s">
        <v>2508</v>
      </c>
      <c r="V334" s="5" t="s">
        <v>878</v>
      </c>
      <c r="AB334"/>
      <c r="AC334"/>
      <c r="AD334"/>
    </row>
    <row r="335" spans="1:30" x14ac:dyDescent="0.25">
      <c r="A335" t="s">
        <v>3872</v>
      </c>
      <c r="B335" t="s">
        <v>3873</v>
      </c>
      <c r="C335" s="9" t="s">
        <v>3874</v>
      </c>
      <c r="D335" s="9">
        <v>952452296</v>
      </c>
      <c r="E335" s="5" t="s">
        <v>3003</v>
      </c>
      <c r="F335" s="1" t="s">
        <v>3004</v>
      </c>
      <c r="G335" s="25">
        <v>44341</v>
      </c>
      <c r="H335" s="1" t="s">
        <v>3153</v>
      </c>
      <c r="I335" s="14" t="s">
        <v>2841</v>
      </c>
      <c r="J335" s="1" t="s">
        <v>3006</v>
      </c>
      <c r="K335" s="14" t="s">
        <v>3007</v>
      </c>
      <c r="L335" s="1" t="s">
        <v>3008</v>
      </c>
      <c r="M335" s="1" t="s">
        <v>3016</v>
      </c>
      <c r="N335" s="1">
        <v>449</v>
      </c>
      <c r="O335" s="1" t="s">
        <v>976</v>
      </c>
      <c r="P335" s="5">
        <v>70.84</v>
      </c>
      <c r="Q335" s="5">
        <v>0</v>
      </c>
      <c r="R335" s="5">
        <v>59.9</v>
      </c>
      <c r="S335" s="5">
        <v>10.94</v>
      </c>
      <c r="T335" s="5">
        <v>39</v>
      </c>
      <c r="U335" s="5" t="s">
        <v>2482</v>
      </c>
      <c r="V335" s="5" t="s">
        <v>827</v>
      </c>
      <c r="AB335"/>
      <c r="AC335"/>
      <c r="AD335"/>
    </row>
    <row r="336" spans="1:30" x14ac:dyDescent="0.25">
      <c r="A336" t="s">
        <v>3875</v>
      </c>
      <c r="B336" t="s">
        <v>3876</v>
      </c>
      <c r="C336" s="9" t="s">
        <v>3877</v>
      </c>
      <c r="D336" s="9">
        <v>975476592</v>
      </c>
      <c r="E336" s="5" t="s">
        <v>3003</v>
      </c>
      <c r="F336" s="1" t="s">
        <v>3004</v>
      </c>
      <c r="G336" s="25">
        <v>44529</v>
      </c>
      <c r="H336" s="1" t="s">
        <v>3805</v>
      </c>
      <c r="I336" s="14" t="s">
        <v>487</v>
      </c>
      <c r="J336" s="1" t="s">
        <v>3006</v>
      </c>
      <c r="K336" s="14" t="s">
        <v>3007</v>
      </c>
      <c r="L336" s="1" t="s">
        <v>3008</v>
      </c>
      <c r="M336" s="1" t="s">
        <v>3009</v>
      </c>
      <c r="N336" s="1">
        <v>1314</v>
      </c>
      <c r="O336" s="1" t="s">
        <v>976</v>
      </c>
      <c r="P336" s="5">
        <v>316.70999999999998</v>
      </c>
      <c r="Q336" s="5">
        <v>0</v>
      </c>
      <c r="R336" s="5">
        <v>315</v>
      </c>
      <c r="S336" s="5">
        <v>1.71</v>
      </c>
      <c r="T336" s="5" t="s">
        <v>23</v>
      </c>
      <c r="V336" s="5" t="s">
        <v>487</v>
      </c>
      <c r="AB336"/>
      <c r="AC336"/>
      <c r="AD336"/>
    </row>
    <row r="337" spans="1:30" x14ac:dyDescent="0.25">
      <c r="A337" t="s">
        <v>3875</v>
      </c>
      <c r="B337" t="s">
        <v>3876</v>
      </c>
      <c r="C337" s="9" t="s">
        <v>3877</v>
      </c>
      <c r="D337" s="9">
        <v>975476592</v>
      </c>
      <c r="E337" s="5" t="s">
        <v>3003</v>
      </c>
      <c r="F337" s="1" t="s">
        <v>3004</v>
      </c>
      <c r="G337" s="25">
        <v>44529</v>
      </c>
      <c r="H337" s="1" t="s">
        <v>3392</v>
      </c>
      <c r="I337" s="14" t="s">
        <v>297</v>
      </c>
      <c r="J337" s="1" t="s">
        <v>3006</v>
      </c>
      <c r="K337" s="14" t="s">
        <v>3007</v>
      </c>
      <c r="L337" s="1" t="s">
        <v>3008</v>
      </c>
      <c r="M337" s="1" t="s">
        <v>3009</v>
      </c>
      <c r="N337" s="1">
        <v>1314</v>
      </c>
      <c r="O337" s="1" t="s">
        <v>976</v>
      </c>
      <c r="P337" s="5">
        <v>683.71</v>
      </c>
      <c r="Q337" s="5">
        <v>0</v>
      </c>
      <c r="R337" s="5">
        <v>680</v>
      </c>
      <c r="S337" s="5">
        <v>3.71</v>
      </c>
      <c r="T337" s="5" t="s">
        <v>23</v>
      </c>
      <c r="V337" s="5" t="s">
        <v>297</v>
      </c>
      <c r="AB337"/>
      <c r="AC337"/>
      <c r="AD337"/>
    </row>
    <row r="338" spans="1:30" x14ac:dyDescent="0.25">
      <c r="A338" t="s">
        <v>3875</v>
      </c>
      <c r="B338" t="s">
        <v>3876</v>
      </c>
      <c r="C338" s="9" t="s">
        <v>3877</v>
      </c>
      <c r="D338" s="9">
        <v>975476592</v>
      </c>
      <c r="E338" s="5" t="s">
        <v>3003</v>
      </c>
      <c r="F338" s="1" t="s">
        <v>3004</v>
      </c>
      <c r="G338" s="25">
        <v>44529</v>
      </c>
      <c r="H338" s="1" t="s">
        <v>3783</v>
      </c>
      <c r="I338" s="14" t="s">
        <v>1254</v>
      </c>
      <c r="J338" s="1" t="s">
        <v>3006</v>
      </c>
      <c r="K338" s="14" t="s">
        <v>3007</v>
      </c>
      <c r="L338" s="1" t="s">
        <v>3008</v>
      </c>
      <c r="M338" s="1" t="s">
        <v>3009</v>
      </c>
      <c r="N338" s="1">
        <v>1314</v>
      </c>
      <c r="O338" s="1" t="s">
        <v>976</v>
      </c>
      <c r="P338" s="5">
        <v>925.02</v>
      </c>
      <c r="Q338" s="5">
        <v>0</v>
      </c>
      <c r="R338" s="5">
        <v>920</v>
      </c>
      <c r="S338" s="5">
        <v>5.0199999999999996</v>
      </c>
      <c r="T338" s="5" t="s">
        <v>23</v>
      </c>
      <c r="U338" s="5" t="s">
        <v>2443</v>
      </c>
      <c r="V338" s="5" t="s">
        <v>912</v>
      </c>
      <c r="AB338"/>
      <c r="AC338"/>
      <c r="AD338"/>
    </row>
    <row r="339" spans="1:30" x14ac:dyDescent="0.25">
      <c r="A339" t="s">
        <v>3875</v>
      </c>
      <c r="B339" t="s">
        <v>3876</v>
      </c>
      <c r="C339" s="9" t="s">
        <v>3877</v>
      </c>
      <c r="D339" s="9">
        <v>975476592</v>
      </c>
      <c r="E339" s="5" t="s">
        <v>3003</v>
      </c>
      <c r="F339" s="1" t="s">
        <v>3004</v>
      </c>
      <c r="G339" s="25">
        <v>44529</v>
      </c>
      <c r="H339" s="1" t="s">
        <v>3866</v>
      </c>
      <c r="I339" s="14" t="s">
        <v>2925</v>
      </c>
      <c r="J339" s="1" t="s">
        <v>3006</v>
      </c>
      <c r="K339" s="14" t="s">
        <v>3007</v>
      </c>
      <c r="L339" s="1" t="s">
        <v>3008</v>
      </c>
      <c r="M339" s="1" t="s">
        <v>3009</v>
      </c>
      <c r="N339" s="1">
        <v>1314</v>
      </c>
      <c r="O339" s="1" t="s">
        <v>976</v>
      </c>
      <c r="P339" s="5">
        <v>1025.56</v>
      </c>
      <c r="Q339" s="5">
        <v>0</v>
      </c>
      <c r="R339" s="5">
        <v>1020</v>
      </c>
      <c r="S339" s="5">
        <v>5.56</v>
      </c>
      <c r="T339" s="5" t="s">
        <v>5574</v>
      </c>
      <c r="U339" s="5" t="s">
        <v>2433</v>
      </c>
      <c r="V339" s="5" t="s">
        <v>917</v>
      </c>
      <c r="AB339"/>
      <c r="AC339"/>
      <c r="AD339"/>
    </row>
    <row r="340" spans="1:30" x14ac:dyDescent="0.25">
      <c r="A340" t="s">
        <v>3878</v>
      </c>
      <c r="B340" t="s">
        <v>3879</v>
      </c>
      <c r="C340" s="9" t="s">
        <v>3880</v>
      </c>
      <c r="D340" s="9">
        <v>997703115</v>
      </c>
      <c r="E340" s="5" t="s">
        <v>3003</v>
      </c>
      <c r="F340" s="1" t="s">
        <v>3004</v>
      </c>
      <c r="G340" s="25">
        <v>44320</v>
      </c>
      <c r="H340" s="1" t="s">
        <v>3881</v>
      </c>
      <c r="I340" s="14" t="s">
        <v>2777</v>
      </c>
      <c r="J340" s="1" t="s">
        <v>3006</v>
      </c>
      <c r="K340" s="14" t="s">
        <v>3007</v>
      </c>
      <c r="L340" s="1" t="s">
        <v>3008</v>
      </c>
      <c r="M340" s="1" t="s">
        <v>3009</v>
      </c>
      <c r="N340" s="1">
        <v>377</v>
      </c>
      <c r="O340" s="1" t="s">
        <v>976</v>
      </c>
      <c r="P340" s="5">
        <v>258.07</v>
      </c>
      <c r="Q340" s="5">
        <v>101.93</v>
      </c>
      <c r="R340" s="5">
        <v>360</v>
      </c>
      <c r="S340" s="5">
        <v>0</v>
      </c>
      <c r="T340" s="5" t="s">
        <v>23</v>
      </c>
      <c r="U340" s="5" t="s">
        <v>2482</v>
      </c>
      <c r="V340" s="5" t="s">
        <v>746</v>
      </c>
      <c r="AB340"/>
      <c r="AC340"/>
      <c r="AD340"/>
    </row>
    <row r="341" spans="1:30" x14ac:dyDescent="0.25">
      <c r="A341" t="s">
        <v>3878</v>
      </c>
      <c r="B341" t="s">
        <v>3879</v>
      </c>
      <c r="C341" s="9" t="s">
        <v>3880</v>
      </c>
      <c r="D341" s="9">
        <v>997703115</v>
      </c>
      <c r="E341" s="5" t="s">
        <v>3003</v>
      </c>
      <c r="F341" s="1" t="s">
        <v>3004</v>
      </c>
      <c r="G341" s="25">
        <v>44320</v>
      </c>
      <c r="H341" s="1" t="s">
        <v>3882</v>
      </c>
      <c r="I341" s="14" t="s">
        <v>2867</v>
      </c>
      <c r="J341" s="1" t="s">
        <v>3006</v>
      </c>
      <c r="K341" s="14" t="s">
        <v>3007</v>
      </c>
      <c r="L341" s="1" t="s">
        <v>3008</v>
      </c>
      <c r="M341" s="1" t="s">
        <v>3009</v>
      </c>
      <c r="N341" s="1">
        <v>377</v>
      </c>
      <c r="O341" s="1" t="s">
        <v>976</v>
      </c>
      <c r="P341" s="5">
        <v>336.93</v>
      </c>
      <c r="Q341" s="5">
        <v>133.07</v>
      </c>
      <c r="R341" s="5">
        <v>470</v>
      </c>
      <c r="S341" s="5">
        <v>0</v>
      </c>
      <c r="T341" s="5" t="s">
        <v>23</v>
      </c>
      <c r="U341" s="5" t="s">
        <v>2482</v>
      </c>
      <c r="V341" s="5" t="s">
        <v>869</v>
      </c>
      <c r="AB341"/>
      <c r="AC341"/>
      <c r="AD341"/>
    </row>
    <row r="342" spans="1:30" x14ac:dyDescent="0.25">
      <c r="A342" t="s">
        <v>3883</v>
      </c>
      <c r="B342" t="s">
        <v>3884</v>
      </c>
      <c r="C342" s="9" t="s">
        <v>3885</v>
      </c>
      <c r="D342" s="9">
        <v>992809850</v>
      </c>
      <c r="E342" s="5" t="s">
        <v>3514</v>
      </c>
      <c r="F342" s="1" t="s">
        <v>3680</v>
      </c>
      <c r="G342" s="25">
        <v>44519</v>
      </c>
      <c r="H342" s="1" t="s">
        <v>3075</v>
      </c>
      <c r="I342" s="14" t="s">
        <v>2791</v>
      </c>
      <c r="J342" s="1" t="s">
        <v>3006</v>
      </c>
      <c r="K342" s="14" t="s">
        <v>3007</v>
      </c>
      <c r="L342" s="1" t="s">
        <v>3008</v>
      </c>
      <c r="M342" s="1" t="s">
        <v>3009</v>
      </c>
      <c r="N342" s="1">
        <v>1234</v>
      </c>
      <c r="O342" s="1" t="s">
        <v>976</v>
      </c>
      <c r="P342" s="5">
        <v>1287.46</v>
      </c>
      <c r="Q342" s="5">
        <v>138</v>
      </c>
      <c r="R342" s="5">
        <v>1380</v>
      </c>
      <c r="S342" s="5">
        <v>45.46</v>
      </c>
      <c r="T342" s="5" t="s">
        <v>22</v>
      </c>
      <c r="U342" s="5" t="s">
        <v>2443</v>
      </c>
      <c r="V342" s="5" t="s">
        <v>763</v>
      </c>
      <c r="AB342"/>
      <c r="AC342"/>
      <c r="AD342"/>
    </row>
    <row r="343" spans="1:30" x14ac:dyDescent="0.25">
      <c r="A343" t="s">
        <v>3886</v>
      </c>
      <c r="B343" t="s">
        <v>3887</v>
      </c>
      <c r="C343" s="9" t="s">
        <v>3888</v>
      </c>
      <c r="D343" s="9">
        <v>950356230</v>
      </c>
      <c r="E343" s="5" t="s">
        <v>3003</v>
      </c>
      <c r="F343" s="1" t="s">
        <v>3004</v>
      </c>
      <c r="G343" s="25">
        <v>44493</v>
      </c>
      <c r="H343" s="1" t="s">
        <v>3075</v>
      </c>
      <c r="I343" s="14" t="s">
        <v>2791</v>
      </c>
      <c r="J343" s="1" t="s">
        <v>3006</v>
      </c>
      <c r="K343" s="14" t="s">
        <v>3007</v>
      </c>
      <c r="L343" s="1" t="s">
        <v>3008</v>
      </c>
      <c r="M343" s="1" t="s">
        <v>3009</v>
      </c>
      <c r="N343" s="1">
        <v>1091</v>
      </c>
      <c r="O343" s="1" t="s">
        <v>976</v>
      </c>
      <c r="P343" s="5">
        <v>1197</v>
      </c>
      <c r="Q343" s="5">
        <v>133</v>
      </c>
      <c r="R343" s="5">
        <v>1330</v>
      </c>
      <c r="S343" s="5">
        <v>0</v>
      </c>
      <c r="T343" s="5" t="s">
        <v>22</v>
      </c>
      <c r="U343" s="5" t="s">
        <v>2443</v>
      </c>
      <c r="V343" s="5" t="s">
        <v>763</v>
      </c>
      <c r="AB343"/>
      <c r="AC343"/>
      <c r="AD343"/>
    </row>
    <row r="344" spans="1:30" x14ac:dyDescent="0.25">
      <c r="A344" t="s">
        <v>3889</v>
      </c>
      <c r="B344" t="s">
        <v>3890</v>
      </c>
      <c r="C344" s="9" t="s">
        <v>3891</v>
      </c>
      <c r="D344" s="9">
        <v>980869660</v>
      </c>
      <c r="E344" s="5" t="s">
        <v>3003</v>
      </c>
      <c r="F344" s="1" t="s">
        <v>3004</v>
      </c>
      <c r="G344" s="25">
        <v>44404</v>
      </c>
      <c r="H344" s="1" t="s">
        <v>3015</v>
      </c>
      <c r="I344" s="14" t="s">
        <v>252</v>
      </c>
      <c r="J344" s="1" t="s">
        <v>3006</v>
      </c>
      <c r="K344" s="14" t="s">
        <v>3007</v>
      </c>
      <c r="L344" s="1" t="s">
        <v>3008</v>
      </c>
      <c r="M344" s="1" t="s">
        <v>3009</v>
      </c>
      <c r="N344" s="1">
        <v>701</v>
      </c>
      <c r="O344" s="1" t="s">
        <v>976</v>
      </c>
      <c r="P344" s="5">
        <v>1216.17</v>
      </c>
      <c r="Q344" s="5">
        <v>133</v>
      </c>
      <c r="R344" s="5">
        <v>1330</v>
      </c>
      <c r="S344" s="5">
        <v>19.170000000000002</v>
      </c>
      <c r="T344" s="5" t="s">
        <v>22</v>
      </c>
      <c r="V344" s="5" t="s">
        <v>252</v>
      </c>
      <c r="AB344"/>
      <c r="AC344"/>
      <c r="AD344"/>
    </row>
    <row r="345" spans="1:30" x14ac:dyDescent="0.25">
      <c r="A345" t="s">
        <v>3892</v>
      </c>
      <c r="B345" t="s">
        <v>3893</v>
      </c>
      <c r="C345" s="9" t="s">
        <v>3894</v>
      </c>
      <c r="D345" s="9">
        <v>988390732</v>
      </c>
      <c r="E345" s="5" t="s">
        <v>3041</v>
      </c>
      <c r="F345" s="1" t="s">
        <v>3042</v>
      </c>
      <c r="G345" s="25">
        <v>44564</v>
      </c>
      <c r="H345" s="1" t="s">
        <v>3895</v>
      </c>
      <c r="I345" s="14" t="s">
        <v>2782</v>
      </c>
      <c r="J345" s="1" t="s">
        <v>3006</v>
      </c>
      <c r="K345" s="14" t="s">
        <v>3007</v>
      </c>
      <c r="L345" s="1" t="s">
        <v>3008</v>
      </c>
      <c r="M345" s="1" t="s">
        <v>3009</v>
      </c>
      <c r="N345" s="1">
        <v>1569</v>
      </c>
      <c r="O345" s="1" t="s">
        <v>976</v>
      </c>
      <c r="P345" s="5">
        <v>468.3</v>
      </c>
      <c r="Q345" s="5">
        <v>0</v>
      </c>
      <c r="R345" s="5">
        <v>460</v>
      </c>
      <c r="S345" s="5">
        <v>8.3000000000000007</v>
      </c>
      <c r="T345" s="5" t="s">
        <v>24</v>
      </c>
      <c r="U345" s="5" t="s">
        <v>2443</v>
      </c>
      <c r="V345" s="5" t="s">
        <v>750</v>
      </c>
      <c r="AB345"/>
      <c r="AC345"/>
      <c r="AD345"/>
    </row>
    <row r="346" spans="1:30" x14ac:dyDescent="0.25">
      <c r="A346" t="s">
        <v>3892</v>
      </c>
      <c r="B346" t="s">
        <v>3893</v>
      </c>
      <c r="C346" s="9" t="s">
        <v>3894</v>
      </c>
      <c r="D346" s="9">
        <v>988390732</v>
      </c>
      <c r="E346" s="5" t="s">
        <v>3041</v>
      </c>
      <c r="F346" s="1" t="s">
        <v>3042</v>
      </c>
      <c r="G346" s="25">
        <v>44564</v>
      </c>
      <c r="H346" s="1" t="s">
        <v>3896</v>
      </c>
      <c r="I346" s="14" t="s">
        <v>235</v>
      </c>
      <c r="J346" s="1" t="s">
        <v>3006</v>
      </c>
      <c r="K346" s="14" t="s">
        <v>3007</v>
      </c>
      <c r="L346" s="1" t="s">
        <v>3008</v>
      </c>
      <c r="M346" s="1" t="s">
        <v>3009</v>
      </c>
      <c r="N346" s="1">
        <v>1569</v>
      </c>
      <c r="O346" s="1" t="s">
        <v>976</v>
      </c>
      <c r="P346" s="5">
        <v>468.3</v>
      </c>
      <c r="Q346" s="5">
        <v>0</v>
      </c>
      <c r="R346" s="5">
        <v>460</v>
      </c>
      <c r="S346" s="5">
        <v>8.3000000000000007</v>
      </c>
      <c r="T346" s="5" t="s">
        <v>24</v>
      </c>
      <c r="V346" s="5" t="s">
        <v>235</v>
      </c>
      <c r="AB346"/>
      <c r="AC346"/>
      <c r="AD346"/>
    </row>
    <row r="347" spans="1:30" x14ac:dyDescent="0.25">
      <c r="A347" t="s">
        <v>3892</v>
      </c>
      <c r="B347" t="s">
        <v>3893</v>
      </c>
      <c r="C347" s="9" t="s">
        <v>3894</v>
      </c>
      <c r="D347" s="9">
        <v>988390732</v>
      </c>
      <c r="E347" s="5" t="s">
        <v>3041</v>
      </c>
      <c r="F347" s="1" t="s">
        <v>3042</v>
      </c>
      <c r="G347" s="25">
        <v>44564</v>
      </c>
      <c r="H347" s="1" t="s">
        <v>3075</v>
      </c>
      <c r="I347" s="14" t="s">
        <v>2791</v>
      </c>
      <c r="J347" s="1" t="s">
        <v>3006</v>
      </c>
      <c r="K347" s="14" t="s">
        <v>3007</v>
      </c>
      <c r="L347" s="1" t="s">
        <v>3008</v>
      </c>
      <c r="M347" s="1" t="s">
        <v>3009</v>
      </c>
      <c r="N347" s="1">
        <v>1569</v>
      </c>
      <c r="O347" s="1" t="s">
        <v>976</v>
      </c>
      <c r="P347" s="5">
        <v>1695.05</v>
      </c>
      <c r="Q347" s="5">
        <v>0</v>
      </c>
      <c r="R347" s="5">
        <v>1665</v>
      </c>
      <c r="S347" s="5">
        <v>30.05</v>
      </c>
      <c r="T347" s="5" t="s">
        <v>22</v>
      </c>
      <c r="U347" s="5" t="s">
        <v>2443</v>
      </c>
      <c r="V347" s="5" t="s">
        <v>763</v>
      </c>
      <c r="AB347"/>
      <c r="AC347"/>
      <c r="AD347"/>
    </row>
    <row r="348" spans="1:30" x14ac:dyDescent="0.25">
      <c r="A348" t="s">
        <v>3892</v>
      </c>
      <c r="B348" t="s">
        <v>3893</v>
      </c>
      <c r="C348" s="9" t="s">
        <v>3894</v>
      </c>
      <c r="D348" s="9">
        <v>988390732</v>
      </c>
      <c r="E348" s="5" t="s">
        <v>3041</v>
      </c>
      <c r="F348" s="1" t="s">
        <v>3042</v>
      </c>
      <c r="G348" s="25">
        <v>44564</v>
      </c>
      <c r="H348" s="1" t="s">
        <v>3897</v>
      </c>
      <c r="I348" s="14" t="s">
        <v>1254</v>
      </c>
      <c r="J348" s="1" t="s">
        <v>3006</v>
      </c>
      <c r="K348" s="14" t="s">
        <v>3007</v>
      </c>
      <c r="L348" s="1" t="s">
        <v>3008</v>
      </c>
      <c r="M348" s="1" t="s">
        <v>3009</v>
      </c>
      <c r="N348" s="1">
        <v>1569</v>
      </c>
      <c r="O348" s="1" t="s">
        <v>976</v>
      </c>
      <c r="P348" s="5">
        <v>936.6</v>
      </c>
      <c r="Q348" s="5">
        <v>0</v>
      </c>
      <c r="R348" s="5">
        <v>920</v>
      </c>
      <c r="S348" s="5">
        <v>16.600000000000001</v>
      </c>
      <c r="T348" s="5" t="s">
        <v>24</v>
      </c>
      <c r="U348" s="5" t="s">
        <v>2443</v>
      </c>
      <c r="V348" s="5" t="s">
        <v>912</v>
      </c>
      <c r="AB348"/>
      <c r="AC348"/>
      <c r="AD348"/>
    </row>
    <row r="349" spans="1:30" x14ac:dyDescent="0.25">
      <c r="A349" t="s">
        <v>3892</v>
      </c>
      <c r="B349" t="s">
        <v>3893</v>
      </c>
      <c r="C349" s="9" t="s">
        <v>3894</v>
      </c>
      <c r="D349" s="9">
        <v>988390732</v>
      </c>
      <c r="E349" s="5" t="s">
        <v>3041</v>
      </c>
      <c r="F349" s="1" t="s">
        <v>3042</v>
      </c>
      <c r="G349" s="25">
        <v>44564</v>
      </c>
      <c r="H349" s="1" t="s">
        <v>3715</v>
      </c>
      <c r="I349" s="14" t="s">
        <v>2963</v>
      </c>
      <c r="J349" s="1" t="s">
        <v>3006</v>
      </c>
      <c r="K349" s="14" t="s">
        <v>3007</v>
      </c>
      <c r="L349" s="1" t="s">
        <v>3008</v>
      </c>
      <c r="M349" s="1" t="s">
        <v>3009</v>
      </c>
      <c r="N349" s="1">
        <v>1569</v>
      </c>
      <c r="O349" s="1" t="s">
        <v>976</v>
      </c>
      <c r="P349" s="5">
        <v>783.9</v>
      </c>
      <c r="Q349" s="5">
        <v>0</v>
      </c>
      <c r="R349" s="5">
        <v>770</v>
      </c>
      <c r="S349" s="5">
        <v>13.9</v>
      </c>
      <c r="T349" s="5">
        <v>39</v>
      </c>
      <c r="U349" s="5" t="s">
        <v>2443</v>
      </c>
      <c r="V349" s="5" t="s">
        <v>934</v>
      </c>
      <c r="AB349"/>
      <c r="AC349"/>
      <c r="AD349"/>
    </row>
    <row r="350" spans="1:30" x14ac:dyDescent="0.25">
      <c r="A350" t="s">
        <v>3898</v>
      </c>
      <c r="B350" t="s">
        <v>3899</v>
      </c>
      <c r="C350" s="9" t="s">
        <v>3900</v>
      </c>
      <c r="D350" s="9" t="s">
        <v>3901</v>
      </c>
      <c r="E350" s="5" t="s">
        <v>3003</v>
      </c>
      <c r="F350" s="1" t="s">
        <v>3004</v>
      </c>
      <c r="G350" s="25">
        <v>44255</v>
      </c>
      <c r="H350" s="1" t="s">
        <v>3440</v>
      </c>
      <c r="I350" s="14" t="s">
        <v>2853</v>
      </c>
      <c r="J350" s="1" t="s">
        <v>3006</v>
      </c>
      <c r="K350" s="14" t="s">
        <v>3007</v>
      </c>
      <c r="L350" s="1" t="s">
        <v>3008</v>
      </c>
      <c r="M350" s="1" t="s">
        <v>3009</v>
      </c>
      <c r="N350" s="1">
        <v>250</v>
      </c>
      <c r="O350" s="1" t="s">
        <v>976</v>
      </c>
      <c r="P350" s="5">
        <v>615</v>
      </c>
      <c r="Q350" s="5">
        <v>0</v>
      </c>
      <c r="R350" s="5">
        <v>615</v>
      </c>
      <c r="S350" s="5">
        <v>0</v>
      </c>
      <c r="T350" s="5" t="s">
        <v>23</v>
      </c>
      <c r="U350" s="5" t="s">
        <v>2447</v>
      </c>
      <c r="V350" s="5" t="s">
        <v>846</v>
      </c>
      <c r="AB350"/>
      <c r="AC350"/>
      <c r="AD350"/>
    </row>
    <row r="351" spans="1:30" x14ac:dyDescent="0.25">
      <c r="A351" t="s">
        <v>3898</v>
      </c>
      <c r="B351" t="s">
        <v>3899</v>
      </c>
      <c r="C351" s="9" t="s">
        <v>3900</v>
      </c>
      <c r="D351" s="9" t="s">
        <v>3901</v>
      </c>
      <c r="E351" s="5" t="s">
        <v>3003</v>
      </c>
      <c r="F351" s="1" t="s">
        <v>3004</v>
      </c>
      <c r="G351" s="25">
        <v>44255</v>
      </c>
      <c r="H351" s="1" t="s">
        <v>3140</v>
      </c>
      <c r="I351" s="14" t="s">
        <v>314</v>
      </c>
      <c r="J351" s="1" t="s">
        <v>3006</v>
      </c>
      <c r="K351" s="14" t="s">
        <v>3007</v>
      </c>
      <c r="L351" s="1" t="s">
        <v>3008</v>
      </c>
      <c r="M351" s="1" t="s">
        <v>3009</v>
      </c>
      <c r="N351" s="1">
        <v>250</v>
      </c>
      <c r="O351" s="1" t="s">
        <v>976</v>
      </c>
      <c r="P351" s="5">
        <v>470</v>
      </c>
      <c r="Q351" s="5">
        <v>0</v>
      </c>
      <c r="R351" s="5">
        <v>470</v>
      </c>
      <c r="S351" s="5">
        <v>0</v>
      </c>
      <c r="T351" s="5" t="s">
        <v>23</v>
      </c>
      <c r="V351" s="5" t="s">
        <v>314</v>
      </c>
      <c r="AB351"/>
      <c r="AC351"/>
      <c r="AD351"/>
    </row>
    <row r="352" spans="1:30" x14ac:dyDescent="0.25">
      <c r="A352" t="s">
        <v>3902</v>
      </c>
      <c r="B352" t="s">
        <v>3903</v>
      </c>
      <c r="C352" s="9" t="s">
        <v>3904</v>
      </c>
      <c r="D352" s="9">
        <v>969718182</v>
      </c>
      <c r="E352" s="5" t="s">
        <v>3041</v>
      </c>
      <c r="F352" s="1" t="s">
        <v>3042</v>
      </c>
      <c r="G352" s="25">
        <v>44425</v>
      </c>
      <c r="H352" s="1" t="s">
        <v>3335</v>
      </c>
      <c r="I352" s="14" t="s">
        <v>499</v>
      </c>
      <c r="J352" s="1" t="s">
        <v>3006</v>
      </c>
      <c r="K352" s="14" t="s">
        <v>3007</v>
      </c>
      <c r="L352" s="1" t="s">
        <v>3008</v>
      </c>
      <c r="M352" s="1" t="s">
        <v>3016</v>
      </c>
      <c r="N352" s="1">
        <v>778</v>
      </c>
      <c r="O352" s="1" t="s">
        <v>976</v>
      </c>
      <c r="P352" s="5">
        <v>311.11</v>
      </c>
      <c r="Q352" s="5">
        <v>0</v>
      </c>
      <c r="R352" s="5">
        <v>290</v>
      </c>
      <c r="S352" s="5">
        <v>21.11</v>
      </c>
      <c r="T352" s="5" t="s">
        <v>23</v>
      </c>
      <c r="V352" s="5" t="s">
        <v>499</v>
      </c>
      <c r="AB352"/>
      <c r="AC352"/>
      <c r="AD352"/>
    </row>
    <row r="353" spans="1:30" x14ac:dyDescent="0.25">
      <c r="A353" t="s">
        <v>3905</v>
      </c>
      <c r="B353" t="s">
        <v>3906</v>
      </c>
      <c r="C353" s="9" t="s">
        <v>3907</v>
      </c>
      <c r="D353" s="9">
        <v>964958595</v>
      </c>
      <c r="E353" s="5" t="s">
        <v>3003</v>
      </c>
      <c r="F353" s="1" t="s">
        <v>3004</v>
      </c>
      <c r="G353" s="25">
        <v>44550</v>
      </c>
      <c r="H353" s="1" t="s">
        <v>3908</v>
      </c>
      <c r="I353" s="14" t="s">
        <v>2774</v>
      </c>
      <c r="J353" s="1" t="s">
        <v>3006</v>
      </c>
      <c r="K353" s="14" t="s">
        <v>3007</v>
      </c>
      <c r="L353" s="1" t="s">
        <v>3008</v>
      </c>
      <c r="M353" s="1" t="s">
        <v>3009</v>
      </c>
      <c r="N353" s="1">
        <v>1510</v>
      </c>
      <c r="O353" s="1" t="s">
        <v>976</v>
      </c>
      <c r="P353" s="5">
        <v>363.32</v>
      </c>
      <c r="Q353" s="5">
        <v>0</v>
      </c>
      <c r="R353" s="5">
        <v>348</v>
      </c>
      <c r="S353" s="5">
        <v>15.32</v>
      </c>
      <c r="T353" s="5" t="s">
        <v>22</v>
      </c>
      <c r="U353" s="5" t="s">
        <v>2482</v>
      </c>
      <c r="V353" s="5" t="s">
        <v>740</v>
      </c>
      <c r="AB353"/>
      <c r="AC353"/>
      <c r="AD353"/>
    </row>
    <row r="354" spans="1:30" x14ac:dyDescent="0.25">
      <c r="A354" t="s">
        <v>3905</v>
      </c>
      <c r="B354" t="s">
        <v>3906</v>
      </c>
      <c r="C354" s="9" t="s">
        <v>3907</v>
      </c>
      <c r="D354" s="9">
        <v>964958595</v>
      </c>
      <c r="E354" s="5" t="s">
        <v>3003</v>
      </c>
      <c r="F354" s="1" t="s">
        <v>3004</v>
      </c>
      <c r="G354" s="25">
        <v>44550</v>
      </c>
      <c r="H354" s="1" t="s">
        <v>3909</v>
      </c>
      <c r="I354" s="14" t="s">
        <v>2970</v>
      </c>
      <c r="J354" s="1" t="s">
        <v>3006</v>
      </c>
      <c r="K354" s="14" t="s">
        <v>3007</v>
      </c>
      <c r="L354" s="1" t="s">
        <v>3008</v>
      </c>
      <c r="M354" s="1" t="s">
        <v>3009</v>
      </c>
      <c r="N354" s="1">
        <v>1510</v>
      </c>
      <c r="O354" s="1" t="s">
        <v>976</v>
      </c>
      <c r="P354" s="5">
        <v>229.68</v>
      </c>
      <c r="Q354" s="5">
        <v>0</v>
      </c>
      <c r="R354" s="5">
        <v>220</v>
      </c>
      <c r="S354" s="5">
        <v>9.68</v>
      </c>
      <c r="T354" s="5" t="s">
        <v>22</v>
      </c>
      <c r="U354" s="5" t="s">
        <v>2482</v>
      </c>
      <c r="V354" s="5" t="s">
        <v>942</v>
      </c>
      <c r="AB354"/>
      <c r="AC354"/>
      <c r="AD354"/>
    </row>
    <row r="355" spans="1:30" x14ac:dyDescent="0.25">
      <c r="A355" t="s">
        <v>3905</v>
      </c>
      <c r="B355" t="s">
        <v>3906</v>
      </c>
      <c r="C355" s="9" t="s">
        <v>3907</v>
      </c>
      <c r="D355" s="9">
        <v>964958595</v>
      </c>
      <c r="E355" s="5" t="s">
        <v>3003</v>
      </c>
      <c r="F355" s="1" t="s">
        <v>3004</v>
      </c>
      <c r="G355" s="25">
        <v>44582</v>
      </c>
      <c r="H355" s="1" t="s">
        <v>3144</v>
      </c>
      <c r="I355" s="14" t="s">
        <v>2805</v>
      </c>
      <c r="J355" s="1" t="s">
        <v>3006</v>
      </c>
      <c r="K355" s="14" t="s">
        <v>3007</v>
      </c>
      <c r="L355" s="1" t="s">
        <v>3008</v>
      </c>
      <c r="M355" s="1" t="s">
        <v>3009</v>
      </c>
      <c r="N355" s="1">
        <v>1697</v>
      </c>
      <c r="O355" s="1" t="s">
        <v>976</v>
      </c>
      <c r="P355" s="5">
        <v>596.20000000000005</v>
      </c>
      <c r="Q355" s="5">
        <v>0</v>
      </c>
      <c r="R355" s="5">
        <v>580</v>
      </c>
      <c r="S355" s="5">
        <v>16.2</v>
      </c>
      <c r="T355" s="5">
        <v>36</v>
      </c>
      <c r="U355" s="5" t="s">
        <v>2447</v>
      </c>
      <c r="V355" s="5" t="s">
        <v>773</v>
      </c>
      <c r="AB355"/>
      <c r="AC355"/>
      <c r="AD355"/>
    </row>
    <row r="356" spans="1:30" x14ac:dyDescent="0.25">
      <c r="A356" t="s">
        <v>3905</v>
      </c>
      <c r="B356" t="s">
        <v>3906</v>
      </c>
      <c r="C356" s="9" t="s">
        <v>3907</v>
      </c>
      <c r="D356" s="9">
        <v>964958595</v>
      </c>
      <c r="E356" s="5" t="s">
        <v>3003</v>
      </c>
      <c r="F356" s="1" t="s">
        <v>3004</v>
      </c>
      <c r="G356" s="25">
        <v>44582</v>
      </c>
      <c r="H356" s="1" t="s">
        <v>3238</v>
      </c>
      <c r="I356" s="14" t="s">
        <v>497</v>
      </c>
      <c r="J356" s="1" t="s">
        <v>3006</v>
      </c>
      <c r="K356" s="14" t="s">
        <v>3007</v>
      </c>
      <c r="L356" s="1" t="s">
        <v>3008</v>
      </c>
      <c r="M356" s="1" t="s">
        <v>3009</v>
      </c>
      <c r="N356" s="1">
        <v>1697</v>
      </c>
      <c r="O356" s="1" t="s">
        <v>976</v>
      </c>
      <c r="P356" s="5">
        <v>323.8</v>
      </c>
      <c r="Q356" s="5">
        <v>0</v>
      </c>
      <c r="R356" s="5">
        <v>315</v>
      </c>
      <c r="S356" s="5">
        <v>8.8000000000000007</v>
      </c>
      <c r="T356" s="5" t="s">
        <v>24</v>
      </c>
      <c r="V356" s="5" t="s">
        <v>497</v>
      </c>
      <c r="AB356"/>
      <c r="AC356"/>
      <c r="AD356"/>
    </row>
    <row r="357" spans="1:30" x14ac:dyDescent="0.25">
      <c r="A357" t="s">
        <v>3910</v>
      </c>
      <c r="B357" t="s">
        <v>3911</v>
      </c>
      <c r="C357" s="9" t="s">
        <v>3912</v>
      </c>
      <c r="D357" s="9">
        <v>30322826</v>
      </c>
      <c r="E357" s="5" t="s">
        <v>3003</v>
      </c>
      <c r="F357" s="1" t="s">
        <v>3004</v>
      </c>
      <c r="G357" s="25">
        <v>44520</v>
      </c>
      <c r="H357" s="1" t="s">
        <v>3027</v>
      </c>
      <c r="I357" s="14" t="s">
        <v>254</v>
      </c>
      <c r="J357" s="1" t="s">
        <v>3006</v>
      </c>
      <c r="K357" s="14" t="s">
        <v>3007</v>
      </c>
      <c r="L357" s="1" t="s">
        <v>3008</v>
      </c>
      <c r="M357" s="1" t="s">
        <v>3009</v>
      </c>
      <c r="N357" s="1">
        <v>1239</v>
      </c>
      <c r="O357" s="1" t="s">
        <v>976</v>
      </c>
      <c r="P357" s="5">
        <v>1262.08</v>
      </c>
      <c r="Q357" s="5">
        <v>138</v>
      </c>
      <c r="R357" s="5">
        <v>1380</v>
      </c>
      <c r="S357" s="5">
        <v>20.079999999999998</v>
      </c>
      <c r="T357" s="5" t="s">
        <v>22</v>
      </c>
      <c r="V357" s="5" t="s">
        <v>254</v>
      </c>
      <c r="AB357"/>
      <c r="AC357"/>
      <c r="AD357"/>
    </row>
    <row r="358" spans="1:30" x14ac:dyDescent="0.25">
      <c r="A358" t="s">
        <v>3913</v>
      </c>
      <c r="B358" t="s">
        <v>3914</v>
      </c>
      <c r="C358" s="9" t="s">
        <v>3915</v>
      </c>
      <c r="D358" s="9" t="s">
        <v>3916</v>
      </c>
      <c r="E358" s="5" t="s">
        <v>3003</v>
      </c>
      <c r="F358" s="1" t="s">
        <v>3004</v>
      </c>
      <c r="G358" s="25">
        <v>44384</v>
      </c>
      <c r="H358" s="1" t="s">
        <v>3917</v>
      </c>
      <c r="I358" s="14" t="s">
        <v>2796</v>
      </c>
      <c r="J358" s="1" t="s">
        <v>3006</v>
      </c>
      <c r="K358" s="14" t="s">
        <v>3007</v>
      </c>
      <c r="L358" s="1" t="s">
        <v>3008</v>
      </c>
      <c r="M358" s="1" t="s">
        <v>3009</v>
      </c>
      <c r="N358" s="1">
        <v>604</v>
      </c>
      <c r="O358" s="1" t="s">
        <v>976</v>
      </c>
      <c r="P358" s="5">
        <v>4995</v>
      </c>
      <c r="Q358" s="5">
        <v>555</v>
      </c>
      <c r="R358" s="5">
        <v>5550</v>
      </c>
      <c r="S358" s="5">
        <v>0</v>
      </c>
      <c r="T358" s="5" t="s">
        <v>5574</v>
      </c>
      <c r="U358" s="5" t="s">
        <v>2433</v>
      </c>
      <c r="V358" s="5" t="s">
        <v>765</v>
      </c>
      <c r="AB358"/>
      <c r="AC358"/>
      <c r="AD358"/>
    </row>
    <row r="359" spans="1:30" x14ac:dyDescent="0.25">
      <c r="A359" t="s">
        <v>3918</v>
      </c>
      <c r="B359" t="s">
        <v>3919</v>
      </c>
      <c r="C359" s="9" t="s">
        <v>3920</v>
      </c>
      <c r="D359" s="9" t="s">
        <v>3921</v>
      </c>
      <c r="E359" s="5" t="s">
        <v>3644</v>
      </c>
      <c r="F359" s="1" t="s">
        <v>3922</v>
      </c>
      <c r="G359" s="25">
        <v>44579</v>
      </c>
      <c r="H359" s="1" t="s">
        <v>3433</v>
      </c>
      <c r="I359" s="14" t="s">
        <v>2862</v>
      </c>
      <c r="J359" s="1" t="s">
        <v>3006</v>
      </c>
      <c r="K359" s="14" t="s">
        <v>3007</v>
      </c>
      <c r="L359" s="1" t="s">
        <v>3008</v>
      </c>
      <c r="M359" s="1" t="s">
        <v>3016</v>
      </c>
      <c r="N359" s="1">
        <v>1681</v>
      </c>
      <c r="O359" s="1" t="s">
        <v>976</v>
      </c>
      <c r="P359" s="5">
        <v>711</v>
      </c>
      <c r="Q359" s="5">
        <v>79</v>
      </c>
      <c r="R359" s="5">
        <v>790</v>
      </c>
      <c r="S359" s="5">
        <v>0</v>
      </c>
      <c r="T359" s="5" t="s">
        <v>23</v>
      </c>
      <c r="U359" s="5" t="s">
        <v>2482</v>
      </c>
      <c r="V359" s="5" t="s">
        <v>862</v>
      </c>
      <c r="AB359"/>
      <c r="AC359"/>
      <c r="AD359"/>
    </row>
    <row r="360" spans="1:30" x14ac:dyDescent="0.25">
      <c r="A360" t="s">
        <v>3923</v>
      </c>
      <c r="B360" t="s">
        <v>3924</v>
      </c>
      <c r="C360" s="9" t="s">
        <v>3925</v>
      </c>
      <c r="D360" s="9" t="s">
        <v>3926</v>
      </c>
      <c r="E360" s="5" t="s">
        <v>3003</v>
      </c>
      <c r="F360" s="1" t="s">
        <v>3004</v>
      </c>
      <c r="G360" s="25">
        <v>44588</v>
      </c>
      <c r="H360" s="1" t="s">
        <v>3075</v>
      </c>
      <c r="I360" s="14" t="s">
        <v>2791</v>
      </c>
      <c r="J360" s="1" t="s">
        <v>3006</v>
      </c>
      <c r="K360" s="14" t="s">
        <v>3007</v>
      </c>
      <c r="L360" s="1" t="s">
        <v>3008</v>
      </c>
      <c r="M360" s="1" t="s">
        <v>3009</v>
      </c>
      <c r="N360" s="1">
        <v>1725</v>
      </c>
      <c r="O360" s="1" t="s">
        <v>976</v>
      </c>
      <c r="P360" s="5">
        <v>1679.33</v>
      </c>
      <c r="Q360" s="5">
        <v>0</v>
      </c>
      <c r="R360" s="5">
        <v>1665</v>
      </c>
      <c r="S360" s="5">
        <v>14.33</v>
      </c>
      <c r="T360" s="5" t="s">
        <v>22</v>
      </c>
      <c r="U360" s="5" t="s">
        <v>2443</v>
      </c>
      <c r="V360" s="5" t="s">
        <v>763</v>
      </c>
      <c r="AB360"/>
      <c r="AC360"/>
      <c r="AD360"/>
    </row>
    <row r="361" spans="1:30" x14ac:dyDescent="0.25">
      <c r="A361" t="s">
        <v>3927</v>
      </c>
      <c r="B361" t="s">
        <v>3928</v>
      </c>
      <c r="C361" s="9" t="s">
        <v>3929</v>
      </c>
      <c r="D361" s="9" t="s">
        <v>3930</v>
      </c>
      <c r="E361" s="5" t="s">
        <v>3003</v>
      </c>
      <c r="F361" s="1" t="s">
        <v>3004</v>
      </c>
      <c r="G361" s="25">
        <v>44518</v>
      </c>
      <c r="H361" s="1" t="s">
        <v>3931</v>
      </c>
      <c r="I361" s="14" t="s">
        <v>2960</v>
      </c>
      <c r="J361" s="1" t="s">
        <v>3006</v>
      </c>
      <c r="K361" s="14" t="s">
        <v>3007</v>
      </c>
      <c r="L361" s="1" t="s">
        <v>3008</v>
      </c>
      <c r="M361" s="1" t="s">
        <v>3009</v>
      </c>
      <c r="N361" s="1">
        <v>1222</v>
      </c>
      <c r="O361" s="1" t="s">
        <v>976</v>
      </c>
      <c r="P361" s="5">
        <v>1400</v>
      </c>
      <c r="Q361" s="5">
        <v>0</v>
      </c>
      <c r="R361" s="5">
        <v>1400</v>
      </c>
      <c r="S361" s="5">
        <v>0</v>
      </c>
      <c r="T361" s="5" t="s">
        <v>24</v>
      </c>
      <c r="U361" s="5" t="s">
        <v>2472</v>
      </c>
      <c r="V361" s="5" t="s">
        <v>931</v>
      </c>
      <c r="AB361"/>
      <c r="AC361"/>
      <c r="AD361"/>
    </row>
    <row r="362" spans="1:30" x14ac:dyDescent="0.25">
      <c r="A362" t="s">
        <v>3932</v>
      </c>
      <c r="B362" t="s">
        <v>3933</v>
      </c>
      <c r="C362" s="9" t="s">
        <v>3934</v>
      </c>
      <c r="D362" s="9">
        <v>997133005</v>
      </c>
      <c r="E362" s="5" t="s">
        <v>3003</v>
      </c>
      <c r="F362" s="1" t="s">
        <v>3004</v>
      </c>
      <c r="G362" s="25">
        <v>44210</v>
      </c>
      <c r="H362" s="1" t="s">
        <v>3219</v>
      </c>
      <c r="I362" s="14" t="s">
        <v>2772</v>
      </c>
      <c r="J362" s="1" t="s">
        <v>3006</v>
      </c>
      <c r="K362" s="14" t="s">
        <v>3007</v>
      </c>
      <c r="L362" s="1" t="s">
        <v>3008</v>
      </c>
      <c r="M362" s="1" t="s">
        <v>3016</v>
      </c>
      <c r="N362" s="1">
        <v>153</v>
      </c>
      <c r="O362" s="1" t="s">
        <v>976</v>
      </c>
      <c r="P362" s="5">
        <v>390</v>
      </c>
      <c r="Q362" s="5">
        <v>0</v>
      </c>
      <c r="R362" s="5">
        <v>390</v>
      </c>
      <c r="S362" s="5">
        <v>0</v>
      </c>
      <c r="T362" s="5" t="s">
        <v>22</v>
      </c>
      <c r="U362" s="5" t="s">
        <v>2508</v>
      </c>
      <c r="V362" s="5" t="s">
        <v>735</v>
      </c>
      <c r="AB362"/>
      <c r="AC362"/>
      <c r="AD362"/>
    </row>
    <row r="363" spans="1:30" x14ac:dyDescent="0.25">
      <c r="A363" t="s">
        <v>3932</v>
      </c>
      <c r="B363" t="s">
        <v>3933</v>
      </c>
      <c r="C363" s="9" t="s">
        <v>3934</v>
      </c>
      <c r="D363" s="9">
        <v>997133005</v>
      </c>
      <c r="E363" s="5" t="s">
        <v>3003</v>
      </c>
      <c r="F363" s="1" t="s">
        <v>3004</v>
      </c>
      <c r="G363" s="25">
        <v>44210</v>
      </c>
      <c r="H363" s="1" t="s">
        <v>3027</v>
      </c>
      <c r="I363" s="14" t="s">
        <v>254</v>
      </c>
      <c r="J363" s="1" t="s">
        <v>3006</v>
      </c>
      <c r="K363" s="14" t="s">
        <v>3007</v>
      </c>
      <c r="L363" s="1" t="s">
        <v>3008</v>
      </c>
      <c r="M363" s="1" t="s">
        <v>3016</v>
      </c>
      <c r="N363" s="1">
        <v>153</v>
      </c>
      <c r="O363" s="1" t="s">
        <v>976</v>
      </c>
      <c r="P363" s="5">
        <v>1100</v>
      </c>
      <c r="Q363" s="5">
        <v>0</v>
      </c>
      <c r="R363" s="5">
        <v>1100</v>
      </c>
      <c r="S363" s="5">
        <v>0</v>
      </c>
      <c r="T363" s="5" t="s">
        <v>22</v>
      </c>
      <c r="V363" s="5" t="s">
        <v>254</v>
      </c>
      <c r="AB363"/>
      <c r="AC363"/>
      <c r="AD363"/>
    </row>
    <row r="364" spans="1:30" x14ac:dyDescent="0.25">
      <c r="A364" t="s">
        <v>3932</v>
      </c>
      <c r="B364" t="s">
        <v>3933</v>
      </c>
      <c r="C364" s="9" t="s">
        <v>3934</v>
      </c>
      <c r="D364" s="9">
        <v>997133005</v>
      </c>
      <c r="E364" s="5" t="s">
        <v>3003</v>
      </c>
      <c r="F364" s="1" t="s">
        <v>3004</v>
      </c>
      <c r="G364" s="25">
        <v>44210</v>
      </c>
      <c r="H364" s="1" t="s">
        <v>3935</v>
      </c>
      <c r="I364" s="14" t="s">
        <v>2913</v>
      </c>
      <c r="J364" s="1" t="s">
        <v>3006</v>
      </c>
      <c r="K364" s="14" t="s">
        <v>3007</v>
      </c>
      <c r="L364" s="1" t="s">
        <v>3008</v>
      </c>
      <c r="M364" s="1" t="s">
        <v>3016</v>
      </c>
      <c r="N364" s="1">
        <v>153</v>
      </c>
      <c r="O364" s="1" t="s">
        <v>976</v>
      </c>
      <c r="P364" s="5">
        <v>1055</v>
      </c>
      <c r="Q364" s="5">
        <v>0</v>
      </c>
      <c r="R364" s="5">
        <v>1055</v>
      </c>
      <c r="S364" s="5">
        <v>0</v>
      </c>
      <c r="T364" s="5" t="s">
        <v>22</v>
      </c>
      <c r="U364" s="5" t="s">
        <v>2482</v>
      </c>
      <c r="V364" s="5" t="s">
        <v>909</v>
      </c>
      <c r="AB364"/>
      <c r="AC364"/>
      <c r="AD364"/>
    </row>
    <row r="365" spans="1:30" x14ac:dyDescent="0.25">
      <c r="A365" t="s">
        <v>3936</v>
      </c>
      <c r="B365" t="s">
        <v>3937</v>
      </c>
      <c r="C365" s="9" t="s">
        <v>3938</v>
      </c>
      <c r="D365" s="9" t="s">
        <v>3939</v>
      </c>
      <c r="E365" s="5" t="s">
        <v>3003</v>
      </c>
      <c r="F365" s="1" t="s">
        <v>3004</v>
      </c>
      <c r="G365" s="25">
        <v>44424</v>
      </c>
      <c r="H365" s="1" t="s">
        <v>3940</v>
      </c>
      <c r="I365" s="14" t="s">
        <v>2768</v>
      </c>
      <c r="J365" s="1" t="s">
        <v>3006</v>
      </c>
      <c r="K365" s="14" t="s">
        <v>3007</v>
      </c>
      <c r="L365" s="1" t="s">
        <v>3008</v>
      </c>
      <c r="M365" s="1" t="s">
        <v>3016</v>
      </c>
      <c r="N365" s="1">
        <v>776</v>
      </c>
      <c r="O365" s="1" t="s">
        <v>976</v>
      </c>
      <c r="P365" s="5">
        <v>569.04</v>
      </c>
      <c r="Q365" s="5">
        <v>29.96</v>
      </c>
      <c r="R365" s="5">
        <v>599</v>
      </c>
      <c r="S365" s="5">
        <v>0</v>
      </c>
      <c r="T365" s="5" t="s">
        <v>22</v>
      </c>
      <c r="U365" s="5" t="s">
        <v>2443</v>
      </c>
      <c r="V365" s="5" t="s">
        <v>725</v>
      </c>
      <c r="AB365"/>
      <c r="AC365"/>
      <c r="AD365"/>
    </row>
    <row r="366" spans="1:30" x14ac:dyDescent="0.25">
      <c r="A366" t="s">
        <v>3936</v>
      </c>
      <c r="B366" t="s">
        <v>3937</v>
      </c>
      <c r="C366" s="9" t="s">
        <v>3938</v>
      </c>
      <c r="D366" s="9" t="s">
        <v>3939</v>
      </c>
      <c r="E366" s="5" t="s">
        <v>3003</v>
      </c>
      <c r="F366" s="1" t="s">
        <v>3004</v>
      </c>
      <c r="G366" s="25">
        <v>44424</v>
      </c>
      <c r="H366" s="1" t="s">
        <v>3335</v>
      </c>
      <c r="I366" s="14" t="s">
        <v>499</v>
      </c>
      <c r="J366" s="1" t="s">
        <v>3006</v>
      </c>
      <c r="K366" s="14" t="s">
        <v>3007</v>
      </c>
      <c r="L366" s="1" t="s">
        <v>3008</v>
      </c>
      <c r="M366" s="1" t="s">
        <v>3016</v>
      </c>
      <c r="N366" s="1">
        <v>776</v>
      </c>
      <c r="O366" s="1" t="s">
        <v>976</v>
      </c>
      <c r="P366" s="5">
        <v>275.5</v>
      </c>
      <c r="Q366" s="5">
        <v>14.5</v>
      </c>
      <c r="R366" s="5">
        <v>290</v>
      </c>
      <c r="S366" s="5">
        <v>0</v>
      </c>
      <c r="T366" s="5" t="s">
        <v>23</v>
      </c>
      <c r="V366" s="5" t="s">
        <v>499</v>
      </c>
      <c r="AB366"/>
      <c r="AC366"/>
      <c r="AD366"/>
    </row>
    <row r="367" spans="1:30" x14ac:dyDescent="0.25">
      <c r="A367" t="s">
        <v>3936</v>
      </c>
      <c r="B367" t="s">
        <v>3937</v>
      </c>
      <c r="C367" s="9" t="s">
        <v>3938</v>
      </c>
      <c r="D367" s="9" t="s">
        <v>3939</v>
      </c>
      <c r="E367" s="5" t="s">
        <v>3003</v>
      </c>
      <c r="F367" s="1" t="s">
        <v>3004</v>
      </c>
      <c r="G367" s="25">
        <v>44424</v>
      </c>
      <c r="H367" s="1" t="s">
        <v>3941</v>
      </c>
      <c r="I367" s="14" t="s">
        <v>1415</v>
      </c>
      <c r="J367" s="1" t="s">
        <v>3006</v>
      </c>
      <c r="K367" s="14" t="s">
        <v>3007</v>
      </c>
      <c r="L367" s="1" t="s">
        <v>3008</v>
      </c>
      <c r="M367" s="1" t="s">
        <v>3016</v>
      </c>
      <c r="N367" s="1">
        <v>776</v>
      </c>
      <c r="O367" s="1" t="s">
        <v>976</v>
      </c>
      <c r="P367" s="5">
        <v>584.24</v>
      </c>
      <c r="Q367" s="5">
        <v>30.76</v>
      </c>
      <c r="R367" s="5">
        <v>615</v>
      </c>
      <c r="S367" s="5">
        <v>0</v>
      </c>
      <c r="T367" s="5" t="s">
        <v>22</v>
      </c>
      <c r="U367" s="5" t="s">
        <v>2447</v>
      </c>
      <c r="V367" s="5" t="s">
        <v>865</v>
      </c>
      <c r="AB367"/>
      <c r="AC367"/>
      <c r="AD367"/>
    </row>
    <row r="368" spans="1:30" x14ac:dyDescent="0.25">
      <c r="A368" t="s">
        <v>3936</v>
      </c>
      <c r="B368" t="s">
        <v>3937</v>
      </c>
      <c r="C368" s="9" t="s">
        <v>3938</v>
      </c>
      <c r="D368" s="9" t="s">
        <v>3939</v>
      </c>
      <c r="E368" s="5" t="s">
        <v>3003</v>
      </c>
      <c r="F368" s="1" t="s">
        <v>3004</v>
      </c>
      <c r="G368" s="25">
        <v>44424</v>
      </c>
      <c r="H368" s="1" t="s">
        <v>3942</v>
      </c>
      <c r="I368" s="14" t="s">
        <v>1415</v>
      </c>
      <c r="J368" s="1" t="s">
        <v>3006</v>
      </c>
      <c r="K368" s="14" t="s">
        <v>3007</v>
      </c>
      <c r="L368" s="1" t="s">
        <v>3008</v>
      </c>
      <c r="M368" s="1" t="s">
        <v>3016</v>
      </c>
      <c r="N368" s="1">
        <v>776</v>
      </c>
      <c r="O368" s="1" t="s">
        <v>976</v>
      </c>
      <c r="P368" s="5">
        <v>584.24</v>
      </c>
      <c r="Q368" s="5">
        <v>30.76</v>
      </c>
      <c r="R368" s="5">
        <v>615</v>
      </c>
      <c r="S368" s="5">
        <v>0</v>
      </c>
      <c r="T368" s="5" t="s">
        <v>24</v>
      </c>
      <c r="U368" s="5" t="s">
        <v>2482</v>
      </c>
      <c r="V368" s="5" t="s">
        <v>842</v>
      </c>
      <c r="AB368"/>
      <c r="AC368"/>
      <c r="AD368"/>
    </row>
    <row r="369" spans="1:30" x14ac:dyDescent="0.25">
      <c r="A369" t="s">
        <v>3936</v>
      </c>
      <c r="B369" t="s">
        <v>3937</v>
      </c>
      <c r="C369" s="9" t="s">
        <v>3938</v>
      </c>
      <c r="D369" s="9" t="s">
        <v>3939</v>
      </c>
      <c r="E369" s="5" t="s">
        <v>3003</v>
      </c>
      <c r="F369" s="1" t="s">
        <v>3004</v>
      </c>
      <c r="G369" s="25">
        <v>44424</v>
      </c>
      <c r="H369" s="1" t="s">
        <v>3943</v>
      </c>
      <c r="I369" s="14" t="s">
        <v>2874</v>
      </c>
      <c r="J369" s="1" t="s">
        <v>3006</v>
      </c>
      <c r="K369" s="14" t="s">
        <v>3007</v>
      </c>
      <c r="L369" s="1" t="s">
        <v>3008</v>
      </c>
      <c r="M369" s="1" t="s">
        <v>3016</v>
      </c>
      <c r="N369" s="1">
        <v>776</v>
      </c>
      <c r="O369" s="1" t="s">
        <v>976</v>
      </c>
      <c r="P369" s="5">
        <v>1263.48</v>
      </c>
      <c r="Q369" s="5">
        <v>66.52</v>
      </c>
      <c r="R369" s="5">
        <v>1330</v>
      </c>
      <c r="S369" s="5">
        <v>0</v>
      </c>
      <c r="T369" s="5" t="s">
        <v>25</v>
      </c>
      <c r="U369" s="5" t="s">
        <v>2508</v>
      </c>
      <c r="V369" s="5" t="s">
        <v>878</v>
      </c>
      <c r="AB369"/>
      <c r="AC369"/>
      <c r="AD369"/>
    </row>
    <row r="370" spans="1:30" x14ac:dyDescent="0.25">
      <c r="A370" t="s">
        <v>3944</v>
      </c>
      <c r="B370" t="s">
        <v>3945</v>
      </c>
      <c r="C370" s="9" t="s">
        <v>3946</v>
      </c>
      <c r="D370" s="9">
        <v>992916161</v>
      </c>
      <c r="E370" s="5" t="s">
        <v>3041</v>
      </c>
      <c r="F370" s="1" t="s">
        <v>3947</v>
      </c>
      <c r="G370" s="25">
        <v>44279</v>
      </c>
      <c r="H370" s="1" t="s">
        <v>3392</v>
      </c>
      <c r="I370" s="14" t="s">
        <v>297</v>
      </c>
      <c r="J370" s="1" t="s">
        <v>3006</v>
      </c>
      <c r="K370" s="14" t="s">
        <v>3007</v>
      </c>
      <c r="L370" s="1" t="s">
        <v>3008</v>
      </c>
      <c r="M370" s="1" t="s">
        <v>3009</v>
      </c>
      <c r="N370" s="1">
        <v>290</v>
      </c>
      <c r="O370" s="1" t="s">
        <v>976</v>
      </c>
      <c r="P370" s="5">
        <v>649.13</v>
      </c>
      <c r="Q370" s="5">
        <v>0</v>
      </c>
      <c r="R370" s="5">
        <v>615</v>
      </c>
      <c r="S370" s="5">
        <v>34.130000000000003</v>
      </c>
      <c r="T370" s="5" t="s">
        <v>23</v>
      </c>
      <c r="V370" s="5" t="s">
        <v>297</v>
      </c>
      <c r="AB370"/>
      <c r="AC370"/>
      <c r="AD370"/>
    </row>
    <row r="371" spans="1:30" x14ac:dyDescent="0.25">
      <c r="A371" t="s">
        <v>3948</v>
      </c>
      <c r="B371" t="s">
        <v>3949</v>
      </c>
      <c r="C371" s="9" t="s">
        <v>3950</v>
      </c>
      <c r="D371" s="9">
        <v>35361112</v>
      </c>
      <c r="E371" s="5" t="s">
        <v>3073</v>
      </c>
      <c r="F371" s="1" t="s">
        <v>3951</v>
      </c>
      <c r="G371" s="25">
        <v>44385</v>
      </c>
      <c r="H371" s="1" t="s">
        <v>3298</v>
      </c>
      <c r="I371" s="14" t="s">
        <v>557</v>
      </c>
      <c r="J371" s="1" t="s">
        <v>3006</v>
      </c>
      <c r="K371" s="14" t="s">
        <v>3007</v>
      </c>
      <c r="L371" s="1" t="s">
        <v>3008</v>
      </c>
      <c r="M371" s="1" t="s">
        <v>3009</v>
      </c>
      <c r="N371" s="1">
        <v>609</v>
      </c>
      <c r="O371" s="1" t="s">
        <v>976</v>
      </c>
      <c r="P371" s="5">
        <v>214.31</v>
      </c>
      <c r="Q371" s="5">
        <v>0</v>
      </c>
      <c r="R371" s="5">
        <v>180</v>
      </c>
      <c r="S371" s="5">
        <v>34.31</v>
      </c>
      <c r="T371" s="5" t="s">
        <v>24</v>
      </c>
      <c r="V371" s="5" t="s">
        <v>557</v>
      </c>
      <c r="AB371"/>
      <c r="AC371"/>
      <c r="AD371"/>
    </row>
    <row r="372" spans="1:30" x14ac:dyDescent="0.25">
      <c r="A372" t="s">
        <v>3948</v>
      </c>
      <c r="B372" t="s">
        <v>3949</v>
      </c>
      <c r="C372" s="9" t="s">
        <v>3950</v>
      </c>
      <c r="D372" s="9">
        <v>35361112</v>
      </c>
      <c r="E372" s="5" t="s">
        <v>3073</v>
      </c>
      <c r="F372" s="1" t="s">
        <v>3951</v>
      </c>
      <c r="G372" s="25">
        <v>44385</v>
      </c>
      <c r="H372" s="1" t="s">
        <v>3299</v>
      </c>
      <c r="I372" s="14" t="s">
        <v>594</v>
      </c>
      <c r="J372" s="1" t="s">
        <v>3006</v>
      </c>
      <c r="K372" s="14" t="s">
        <v>3007</v>
      </c>
      <c r="L372" s="1" t="s">
        <v>3008</v>
      </c>
      <c r="M372" s="1" t="s">
        <v>3009</v>
      </c>
      <c r="N372" s="1">
        <v>609</v>
      </c>
      <c r="O372" s="1" t="s">
        <v>976</v>
      </c>
      <c r="P372" s="5">
        <v>29.76</v>
      </c>
      <c r="Q372" s="5">
        <v>0</v>
      </c>
      <c r="R372" s="5">
        <v>25</v>
      </c>
      <c r="S372" s="5">
        <v>4.76</v>
      </c>
      <c r="T372" s="5" t="s">
        <v>22</v>
      </c>
      <c r="V372" s="5" t="s">
        <v>594</v>
      </c>
      <c r="AB372"/>
      <c r="AC372"/>
      <c r="AD372"/>
    </row>
    <row r="373" spans="1:30" x14ac:dyDescent="0.25">
      <c r="A373" t="s">
        <v>3952</v>
      </c>
      <c r="B373" t="s">
        <v>3953</v>
      </c>
      <c r="C373" s="9" t="s">
        <v>3954</v>
      </c>
      <c r="D373" s="9">
        <v>984358555</v>
      </c>
      <c r="E373" s="5" t="s">
        <v>3758</v>
      </c>
      <c r="F373" s="1" t="s">
        <v>3759</v>
      </c>
      <c r="G373" s="25">
        <v>44344</v>
      </c>
      <c r="H373" s="1" t="s">
        <v>3027</v>
      </c>
      <c r="I373" s="14" t="s">
        <v>254</v>
      </c>
      <c r="J373" s="1" t="s">
        <v>3006</v>
      </c>
      <c r="K373" s="14" t="s">
        <v>3007</v>
      </c>
      <c r="L373" s="1" t="s">
        <v>3008</v>
      </c>
      <c r="M373" s="1" t="s">
        <v>3009</v>
      </c>
      <c r="N373" s="1">
        <v>457</v>
      </c>
      <c r="O373" s="1" t="s">
        <v>976</v>
      </c>
      <c r="P373" s="5">
        <v>1233.92</v>
      </c>
      <c r="Q373" s="5">
        <v>0</v>
      </c>
      <c r="R373" s="5">
        <v>1200</v>
      </c>
      <c r="S373" s="5">
        <v>33.92</v>
      </c>
      <c r="T373" s="5" t="s">
        <v>22</v>
      </c>
      <c r="V373" s="5" t="s">
        <v>254</v>
      </c>
      <c r="AB373"/>
      <c r="AC373"/>
      <c r="AD373"/>
    </row>
    <row r="374" spans="1:30" x14ac:dyDescent="0.25">
      <c r="A374" t="s">
        <v>3955</v>
      </c>
      <c r="B374" t="s">
        <v>3956</v>
      </c>
      <c r="C374" s="9" t="s">
        <v>3957</v>
      </c>
      <c r="D374" s="9">
        <v>933587083</v>
      </c>
      <c r="E374" s="5" t="s">
        <v>3003</v>
      </c>
      <c r="F374" s="1" t="s">
        <v>3004</v>
      </c>
      <c r="G374" s="25">
        <v>44372</v>
      </c>
      <c r="H374" s="1" t="s">
        <v>3175</v>
      </c>
      <c r="I374" s="14" t="s">
        <v>583</v>
      </c>
      <c r="J374" s="1" t="s">
        <v>3006</v>
      </c>
      <c r="K374" s="14" t="s">
        <v>3007</v>
      </c>
      <c r="L374" s="1" t="s">
        <v>3008</v>
      </c>
      <c r="M374" s="1" t="s">
        <v>3016</v>
      </c>
      <c r="N374" s="1">
        <v>550</v>
      </c>
      <c r="O374" s="1" t="s">
        <v>976</v>
      </c>
      <c r="P374" s="5">
        <v>490</v>
      </c>
      <c r="Q374" s="5">
        <v>0</v>
      </c>
      <c r="R374" s="5">
        <v>490</v>
      </c>
      <c r="S374" s="5">
        <v>0</v>
      </c>
      <c r="T374" s="5" t="s">
        <v>23</v>
      </c>
      <c r="V374" s="5" t="s">
        <v>583</v>
      </c>
      <c r="AB374"/>
      <c r="AC374"/>
      <c r="AD374"/>
    </row>
    <row r="375" spans="1:30" x14ac:dyDescent="0.25">
      <c r="A375" t="s">
        <v>3955</v>
      </c>
      <c r="B375" t="s">
        <v>3956</v>
      </c>
      <c r="C375" s="9" t="s">
        <v>3957</v>
      </c>
      <c r="D375" s="9">
        <v>933587083</v>
      </c>
      <c r="E375" s="5" t="s">
        <v>3003</v>
      </c>
      <c r="F375" s="1" t="s">
        <v>3004</v>
      </c>
      <c r="G375" s="25">
        <v>44372</v>
      </c>
      <c r="H375" s="1" t="s">
        <v>3564</v>
      </c>
      <c r="I375" s="14" t="s">
        <v>295</v>
      </c>
      <c r="J375" s="1" t="s">
        <v>3006</v>
      </c>
      <c r="K375" s="14" t="s">
        <v>3007</v>
      </c>
      <c r="L375" s="1" t="s">
        <v>3008</v>
      </c>
      <c r="M375" s="1" t="s">
        <v>3016</v>
      </c>
      <c r="N375" s="1">
        <v>550</v>
      </c>
      <c r="O375" s="1" t="s">
        <v>976</v>
      </c>
      <c r="P375" s="5">
        <v>615</v>
      </c>
      <c r="Q375" s="5">
        <v>0</v>
      </c>
      <c r="R375" s="5">
        <v>615</v>
      </c>
      <c r="S375" s="5">
        <v>0</v>
      </c>
      <c r="T375" s="5" t="s">
        <v>24</v>
      </c>
      <c r="V375" s="5" t="s">
        <v>295</v>
      </c>
      <c r="AB375"/>
      <c r="AC375"/>
      <c r="AD375"/>
    </row>
    <row r="376" spans="1:30" x14ac:dyDescent="0.25">
      <c r="A376" t="s">
        <v>3955</v>
      </c>
      <c r="B376" t="s">
        <v>3956</v>
      </c>
      <c r="C376" s="9" t="s">
        <v>3957</v>
      </c>
      <c r="D376" s="9">
        <v>933587083</v>
      </c>
      <c r="E376" s="5" t="s">
        <v>3003</v>
      </c>
      <c r="F376" s="1" t="s">
        <v>3004</v>
      </c>
      <c r="G376" s="25">
        <v>44372</v>
      </c>
      <c r="H376" s="1" t="s">
        <v>3958</v>
      </c>
      <c r="I376" s="14" t="s">
        <v>2867</v>
      </c>
      <c r="J376" s="1" t="s">
        <v>3006</v>
      </c>
      <c r="K376" s="14" t="s">
        <v>3007</v>
      </c>
      <c r="L376" s="1" t="s">
        <v>3008</v>
      </c>
      <c r="M376" s="1" t="s">
        <v>3016</v>
      </c>
      <c r="N376" s="1">
        <v>550</v>
      </c>
      <c r="O376" s="1" t="s">
        <v>976</v>
      </c>
      <c r="P376" s="5">
        <v>530</v>
      </c>
      <c r="Q376" s="5">
        <v>0</v>
      </c>
      <c r="R376" s="5">
        <v>530</v>
      </c>
      <c r="S376" s="5">
        <v>0</v>
      </c>
      <c r="T376" s="5" t="s">
        <v>23</v>
      </c>
      <c r="U376" s="5" t="s">
        <v>2447</v>
      </c>
      <c r="V376" s="5" t="s">
        <v>873</v>
      </c>
      <c r="AB376"/>
      <c r="AC376"/>
      <c r="AD376"/>
    </row>
    <row r="377" spans="1:30" x14ac:dyDescent="0.25">
      <c r="A377" t="s">
        <v>3959</v>
      </c>
      <c r="B377" t="s">
        <v>3960</v>
      </c>
      <c r="C377" s="9" t="s">
        <v>3961</v>
      </c>
      <c r="D377" s="9" t="s">
        <v>3962</v>
      </c>
      <c r="E377" s="5" t="s">
        <v>3003</v>
      </c>
      <c r="F377" s="1" t="s">
        <v>3004</v>
      </c>
      <c r="G377" s="25">
        <v>44305</v>
      </c>
      <c r="H377" s="1" t="s">
        <v>3963</v>
      </c>
      <c r="I377" s="14" t="s">
        <v>2963</v>
      </c>
      <c r="J377" s="1" t="s">
        <v>3006</v>
      </c>
      <c r="K377" s="14" t="s">
        <v>3007</v>
      </c>
      <c r="L377" s="1" t="s">
        <v>3008</v>
      </c>
      <c r="M377" s="1" t="s">
        <v>3016</v>
      </c>
      <c r="N377" s="1">
        <v>327</v>
      </c>
      <c r="O377" s="1" t="s">
        <v>976</v>
      </c>
      <c r="P377" s="5">
        <v>654.5</v>
      </c>
      <c r="Q377" s="5">
        <v>115.5</v>
      </c>
      <c r="R377" s="5">
        <v>770</v>
      </c>
      <c r="S377" s="5">
        <v>0</v>
      </c>
      <c r="T377" s="5">
        <v>44</v>
      </c>
      <c r="U377" s="5" t="s">
        <v>2443</v>
      </c>
      <c r="V377" s="5" t="s">
        <v>934</v>
      </c>
      <c r="AB377"/>
      <c r="AC377"/>
      <c r="AD377"/>
    </row>
    <row r="378" spans="1:30" x14ac:dyDescent="0.25">
      <c r="A378" t="s">
        <v>3964</v>
      </c>
      <c r="B378" t="s">
        <v>3965</v>
      </c>
      <c r="C378" s="9" t="s">
        <v>3966</v>
      </c>
      <c r="D378" s="9">
        <v>984643832</v>
      </c>
      <c r="E378" s="5" t="s">
        <v>3013</v>
      </c>
      <c r="F378" s="1" t="s">
        <v>3067</v>
      </c>
      <c r="G378" s="25">
        <v>44487</v>
      </c>
      <c r="H378" s="1" t="s">
        <v>3516</v>
      </c>
      <c r="I378" s="14" t="s">
        <v>380</v>
      </c>
      <c r="J378" s="1" t="s">
        <v>3006</v>
      </c>
      <c r="K378" s="14" t="s">
        <v>3007</v>
      </c>
      <c r="L378" s="1" t="s">
        <v>3008</v>
      </c>
      <c r="M378" s="1" t="s">
        <v>3009</v>
      </c>
      <c r="N378" s="1">
        <v>1062</v>
      </c>
      <c r="O378" s="1" t="s">
        <v>976</v>
      </c>
      <c r="P378" s="5">
        <v>917.12</v>
      </c>
      <c r="Q378" s="5">
        <v>0</v>
      </c>
      <c r="R378" s="5">
        <v>890</v>
      </c>
      <c r="S378" s="5">
        <v>27.12</v>
      </c>
      <c r="T378" s="5" t="s">
        <v>5574</v>
      </c>
      <c r="V378" s="5" t="s">
        <v>380</v>
      </c>
      <c r="AB378"/>
      <c r="AC378"/>
      <c r="AD378"/>
    </row>
    <row r="379" spans="1:30" x14ac:dyDescent="0.25">
      <c r="A379" t="s">
        <v>3967</v>
      </c>
      <c r="B379" t="s">
        <v>3968</v>
      </c>
      <c r="C379" s="9" t="s">
        <v>3969</v>
      </c>
      <c r="D379" s="9">
        <v>998705525</v>
      </c>
      <c r="E379" s="5" t="s">
        <v>3041</v>
      </c>
      <c r="F379" s="1" t="s">
        <v>3042</v>
      </c>
      <c r="G379" s="25">
        <v>44497</v>
      </c>
      <c r="H379" s="1" t="s">
        <v>3970</v>
      </c>
      <c r="I379" s="14" t="s">
        <v>2968</v>
      </c>
      <c r="J379" s="1" t="s">
        <v>3006</v>
      </c>
      <c r="K379" s="14" t="s">
        <v>3007</v>
      </c>
      <c r="L379" s="1" t="s">
        <v>3008</v>
      </c>
      <c r="M379" s="1" t="s">
        <v>3009</v>
      </c>
      <c r="N379" s="1">
        <v>1129</v>
      </c>
      <c r="O379" s="1" t="s">
        <v>976</v>
      </c>
      <c r="P379" s="5">
        <v>914.71</v>
      </c>
      <c r="Q379" s="5">
        <v>0</v>
      </c>
      <c r="R379" s="5">
        <v>890</v>
      </c>
      <c r="S379" s="5">
        <v>24.71</v>
      </c>
      <c r="T379" s="5" t="s">
        <v>22</v>
      </c>
      <c r="U379" s="5" t="s">
        <v>2437</v>
      </c>
      <c r="V379" s="5" t="s">
        <v>941</v>
      </c>
      <c r="AB379"/>
      <c r="AC379"/>
      <c r="AD379"/>
    </row>
    <row r="380" spans="1:30" x14ac:dyDescent="0.25">
      <c r="A380" t="s">
        <v>3971</v>
      </c>
      <c r="B380" t="s">
        <v>3972</v>
      </c>
      <c r="C380" s="9" t="s">
        <v>3973</v>
      </c>
      <c r="D380" s="9">
        <v>984690981</v>
      </c>
      <c r="E380" s="5" t="s">
        <v>3003</v>
      </c>
      <c r="F380" s="1" t="s">
        <v>3974</v>
      </c>
      <c r="G380" s="25">
        <v>44188</v>
      </c>
      <c r="H380" s="1" t="s">
        <v>3182</v>
      </c>
      <c r="I380" s="14" t="s">
        <v>2813</v>
      </c>
      <c r="J380" s="1" t="s">
        <v>3006</v>
      </c>
      <c r="K380" s="14" t="s">
        <v>3007</v>
      </c>
      <c r="L380" s="1" t="s">
        <v>3008</v>
      </c>
      <c r="M380" s="1" t="s">
        <v>3016</v>
      </c>
      <c r="N380" s="1">
        <v>131</v>
      </c>
      <c r="O380" s="1" t="s">
        <v>976</v>
      </c>
      <c r="P380" s="5">
        <v>529.02</v>
      </c>
      <c r="Q380" s="5">
        <v>0</v>
      </c>
      <c r="R380" s="5">
        <v>490</v>
      </c>
      <c r="S380" s="5">
        <v>39.020000000000003</v>
      </c>
      <c r="T380" s="5" t="s">
        <v>23</v>
      </c>
      <c r="U380" s="5" t="s">
        <v>2508</v>
      </c>
      <c r="V380" s="5" t="s">
        <v>787</v>
      </c>
      <c r="AB380"/>
      <c r="AC380"/>
      <c r="AD380"/>
    </row>
    <row r="381" spans="1:30" x14ac:dyDescent="0.25">
      <c r="A381" t="s">
        <v>3975</v>
      </c>
      <c r="B381" t="s">
        <v>3976</v>
      </c>
      <c r="C381" s="9" t="s">
        <v>3977</v>
      </c>
      <c r="D381" s="9">
        <v>953964216</v>
      </c>
      <c r="E381" s="5" t="s">
        <v>3003</v>
      </c>
      <c r="F381" s="1" t="s">
        <v>3004</v>
      </c>
      <c r="G381" s="25">
        <v>44411</v>
      </c>
      <c r="H381" s="1" t="s">
        <v>3075</v>
      </c>
      <c r="I381" s="14" t="s">
        <v>2791</v>
      </c>
      <c r="J381" s="1" t="s">
        <v>3006</v>
      </c>
      <c r="K381" s="14" t="s">
        <v>3007</v>
      </c>
      <c r="L381" s="1" t="s">
        <v>3008</v>
      </c>
      <c r="M381" s="1" t="s">
        <v>3016</v>
      </c>
      <c r="N381" s="1">
        <v>731</v>
      </c>
      <c r="O381" s="1" t="s">
        <v>976</v>
      </c>
      <c r="P381" s="5">
        <v>1215.56</v>
      </c>
      <c r="Q381" s="5">
        <v>133</v>
      </c>
      <c r="R381" s="5">
        <v>1330</v>
      </c>
      <c r="S381" s="5">
        <v>18.559999999999999</v>
      </c>
      <c r="T381" s="5" t="s">
        <v>22</v>
      </c>
      <c r="U381" s="5" t="s">
        <v>2443</v>
      </c>
      <c r="V381" s="5" t="s">
        <v>763</v>
      </c>
      <c r="AB381"/>
      <c r="AC381"/>
      <c r="AD381"/>
    </row>
    <row r="382" spans="1:30" x14ac:dyDescent="0.25">
      <c r="A382" t="s">
        <v>3978</v>
      </c>
      <c r="B382" t="s">
        <v>3979</v>
      </c>
      <c r="C382" s="9" t="s">
        <v>3980</v>
      </c>
      <c r="D382" s="9">
        <v>999837094</v>
      </c>
      <c r="E382" s="5" t="s">
        <v>3133</v>
      </c>
      <c r="F382" s="1" t="s">
        <v>3981</v>
      </c>
      <c r="G382" s="25">
        <v>44312</v>
      </c>
      <c r="H382" s="1" t="s">
        <v>3027</v>
      </c>
      <c r="I382" s="14" t="s">
        <v>254</v>
      </c>
      <c r="J382" s="1" t="s">
        <v>3006</v>
      </c>
      <c r="K382" s="14" t="s">
        <v>3007</v>
      </c>
      <c r="L382" s="1" t="s">
        <v>3008</v>
      </c>
      <c r="M382" s="1" t="s">
        <v>3009</v>
      </c>
      <c r="N382" s="1">
        <v>345</v>
      </c>
      <c r="O382" s="1" t="s">
        <v>976</v>
      </c>
      <c r="P382" s="5">
        <v>1128.97</v>
      </c>
      <c r="Q382" s="5">
        <v>0</v>
      </c>
      <c r="R382" s="5">
        <v>1100</v>
      </c>
      <c r="S382" s="5">
        <v>28.97</v>
      </c>
      <c r="T382" s="5" t="s">
        <v>22</v>
      </c>
      <c r="V382" s="5" t="s">
        <v>254</v>
      </c>
      <c r="AB382"/>
      <c r="AC382"/>
      <c r="AD382"/>
    </row>
    <row r="383" spans="1:30" x14ac:dyDescent="0.25">
      <c r="A383" t="s">
        <v>3978</v>
      </c>
      <c r="B383" t="s">
        <v>3979</v>
      </c>
      <c r="C383" s="9" t="s">
        <v>3980</v>
      </c>
      <c r="D383" s="9">
        <v>999837094</v>
      </c>
      <c r="E383" s="5" t="s">
        <v>3133</v>
      </c>
      <c r="F383" s="1" t="s">
        <v>3981</v>
      </c>
      <c r="G383" s="25">
        <v>44379</v>
      </c>
      <c r="H383" s="1" t="s">
        <v>3982</v>
      </c>
      <c r="I383" s="14" t="s">
        <v>263</v>
      </c>
      <c r="J383" s="1" t="s">
        <v>3006</v>
      </c>
      <c r="K383" s="14" t="s">
        <v>3007</v>
      </c>
      <c r="L383" s="1" t="s">
        <v>3008</v>
      </c>
      <c r="M383" s="1" t="s">
        <v>3009</v>
      </c>
      <c r="N383" s="1">
        <v>580</v>
      </c>
      <c r="O383" s="1" t="s">
        <v>976</v>
      </c>
      <c r="P383" s="5">
        <v>0.01</v>
      </c>
      <c r="Q383" s="5">
        <v>184.99</v>
      </c>
      <c r="R383" s="5">
        <v>185</v>
      </c>
      <c r="S383" s="5">
        <v>0</v>
      </c>
      <c r="T383" s="5" t="s">
        <v>23</v>
      </c>
      <c r="V383" s="5" t="s">
        <v>263</v>
      </c>
      <c r="AB383"/>
      <c r="AC383"/>
      <c r="AD383"/>
    </row>
    <row r="384" spans="1:30" x14ac:dyDescent="0.25">
      <c r="A384" t="s">
        <v>3978</v>
      </c>
      <c r="B384" t="s">
        <v>3979</v>
      </c>
      <c r="C384" s="9" t="s">
        <v>3980</v>
      </c>
      <c r="D384" s="9">
        <v>999837094</v>
      </c>
      <c r="E384" s="5" t="s">
        <v>3133</v>
      </c>
      <c r="F384" s="1" t="s">
        <v>3981</v>
      </c>
      <c r="G384" s="25">
        <v>44385</v>
      </c>
      <c r="H384" s="1" t="s">
        <v>3426</v>
      </c>
      <c r="I384" s="14" t="s">
        <v>2851</v>
      </c>
      <c r="J384" s="1" t="s">
        <v>3006</v>
      </c>
      <c r="K384" s="14" t="s">
        <v>3007</v>
      </c>
      <c r="L384" s="1" t="s">
        <v>3008</v>
      </c>
      <c r="M384" s="1" t="s">
        <v>3016</v>
      </c>
      <c r="N384" s="1">
        <v>607</v>
      </c>
      <c r="O384" s="1" t="s">
        <v>976</v>
      </c>
      <c r="P384" s="5">
        <v>600</v>
      </c>
      <c r="Q384" s="5">
        <v>29.75</v>
      </c>
      <c r="R384" s="5">
        <v>595</v>
      </c>
      <c r="S384" s="5">
        <v>34.75</v>
      </c>
      <c r="T384" s="5" t="s">
        <v>23</v>
      </c>
      <c r="U384" s="5" t="s">
        <v>2443</v>
      </c>
      <c r="V384" s="5" t="s">
        <v>872</v>
      </c>
      <c r="AB384"/>
      <c r="AC384"/>
      <c r="AD384"/>
    </row>
    <row r="385" spans="1:30" x14ac:dyDescent="0.25">
      <c r="A385" t="s">
        <v>3983</v>
      </c>
      <c r="B385" t="s">
        <v>3984</v>
      </c>
      <c r="C385" s="9" t="s">
        <v>3985</v>
      </c>
      <c r="D385" s="9" t="s">
        <v>3986</v>
      </c>
      <c r="E385" s="5" t="s">
        <v>3003</v>
      </c>
      <c r="F385" s="1" t="s">
        <v>3004</v>
      </c>
      <c r="G385" s="25">
        <v>44450</v>
      </c>
      <c r="H385" s="1" t="s">
        <v>3866</v>
      </c>
      <c r="I385" s="14" t="s">
        <v>2925</v>
      </c>
      <c r="J385" s="1" t="s">
        <v>3006</v>
      </c>
      <c r="K385" s="14" t="s">
        <v>3007</v>
      </c>
      <c r="L385" s="1" t="s">
        <v>3008</v>
      </c>
      <c r="M385" s="1" t="s">
        <v>3009</v>
      </c>
      <c r="N385" s="1">
        <v>902</v>
      </c>
      <c r="O385" s="1" t="s">
        <v>976</v>
      </c>
      <c r="P385" s="5">
        <v>890</v>
      </c>
      <c r="Q385" s="5">
        <v>0</v>
      </c>
      <c r="R385" s="5">
        <v>890</v>
      </c>
      <c r="S385" s="5">
        <v>0</v>
      </c>
      <c r="T385" s="5" t="s">
        <v>5574</v>
      </c>
      <c r="U385" s="5" t="s">
        <v>2433</v>
      </c>
      <c r="V385" s="5" t="s">
        <v>917</v>
      </c>
      <c r="AB385"/>
      <c r="AC385"/>
      <c r="AD385"/>
    </row>
    <row r="386" spans="1:30" x14ac:dyDescent="0.25">
      <c r="A386" t="s">
        <v>3987</v>
      </c>
      <c r="B386" t="s">
        <v>3988</v>
      </c>
      <c r="C386" s="9" t="s">
        <v>3989</v>
      </c>
      <c r="D386" s="9">
        <v>995604138</v>
      </c>
      <c r="E386" s="5" t="s">
        <v>3041</v>
      </c>
      <c r="F386" s="1" t="s">
        <v>3042</v>
      </c>
      <c r="G386" s="25">
        <v>44144</v>
      </c>
      <c r="H386" s="1" t="s">
        <v>3990</v>
      </c>
      <c r="I386" s="14" t="s">
        <v>2849</v>
      </c>
      <c r="J386" s="1" t="s">
        <v>3006</v>
      </c>
      <c r="K386" s="14" t="s">
        <v>3007</v>
      </c>
      <c r="L386" s="1" t="s">
        <v>3008</v>
      </c>
      <c r="M386" s="1" t="s">
        <v>3009</v>
      </c>
      <c r="N386" s="1">
        <v>46</v>
      </c>
      <c r="O386" s="1" t="s">
        <v>976</v>
      </c>
      <c r="P386" s="5">
        <v>335</v>
      </c>
      <c r="Q386" s="5">
        <v>0</v>
      </c>
      <c r="R386" s="5">
        <v>335</v>
      </c>
      <c r="S386" s="5">
        <v>0</v>
      </c>
      <c r="T386" s="5" t="s">
        <v>25</v>
      </c>
      <c r="U386" s="5" t="s">
        <v>2472</v>
      </c>
      <c r="V386" s="5" t="s">
        <v>858</v>
      </c>
      <c r="AB386"/>
      <c r="AC386"/>
      <c r="AD386"/>
    </row>
    <row r="387" spans="1:30" x14ac:dyDescent="0.25">
      <c r="A387" t="s">
        <v>3991</v>
      </c>
      <c r="B387" t="s">
        <v>3992</v>
      </c>
      <c r="C387" s="9" t="s">
        <v>3993</v>
      </c>
      <c r="D387" s="9">
        <v>984110660</v>
      </c>
      <c r="E387" s="5" t="s">
        <v>3994</v>
      </c>
      <c r="F387" s="1" t="s">
        <v>3995</v>
      </c>
      <c r="G387" s="25">
        <v>44541</v>
      </c>
      <c r="H387" s="1" t="s">
        <v>3996</v>
      </c>
      <c r="I387" s="14" t="s">
        <v>2856</v>
      </c>
      <c r="J387" s="1" t="s">
        <v>3006</v>
      </c>
      <c r="K387" s="14" t="s">
        <v>3007</v>
      </c>
      <c r="L387" s="1" t="s">
        <v>3008</v>
      </c>
      <c r="M387" s="1" t="s">
        <v>3016</v>
      </c>
      <c r="N387" s="1">
        <v>1419</v>
      </c>
      <c r="O387" s="1" t="s">
        <v>976</v>
      </c>
      <c r="P387" s="5">
        <v>676.46</v>
      </c>
      <c r="Q387" s="5">
        <v>68</v>
      </c>
      <c r="R387" s="5">
        <v>680</v>
      </c>
      <c r="S387" s="5">
        <v>64.459999999999994</v>
      </c>
      <c r="T387" s="5" t="s">
        <v>21</v>
      </c>
      <c r="U387" s="5" t="s">
        <v>2447</v>
      </c>
      <c r="V387" s="5" t="s">
        <v>851</v>
      </c>
      <c r="AB387"/>
      <c r="AC387"/>
      <c r="AD387"/>
    </row>
    <row r="388" spans="1:30" x14ac:dyDescent="0.25">
      <c r="A388" t="s">
        <v>3997</v>
      </c>
      <c r="B388" t="s">
        <v>3998</v>
      </c>
      <c r="C388" s="9" t="s">
        <v>3999</v>
      </c>
      <c r="D388" s="9">
        <v>991685860</v>
      </c>
      <c r="E388" s="5" t="s">
        <v>3013</v>
      </c>
      <c r="F388" s="1" t="s">
        <v>3067</v>
      </c>
      <c r="G388" s="25">
        <v>44571</v>
      </c>
      <c r="H388" s="1" t="s">
        <v>3015</v>
      </c>
      <c r="I388" s="14" t="s">
        <v>252</v>
      </c>
      <c r="J388" s="1" t="s">
        <v>3006</v>
      </c>
      <c r="K388" s="14" t="s">
        <v>3007</v>
      </c>
      <c r="L388" s="1" t="s">
        <v>3008</v>
      </c>
      <c r="M388" s="1" t="s">
        <v>3016</v>
      </c>
      <c r="N388" s="1">
        <v>1615</v>
      </c>
      <c r="O388" s="1" t="s">
        <v>976</v>
      </c>
      <c r="P388" s="5">
        <v>1712.42</v>
      </c>
      <c r="Q388" s="5">
        <v>0</v>
      </c>
      <c r="R388" s="5">
        <v>1665</v>
      </c>
      <c r="S388" s="5">
        <v>47.42</v>
      </c>
      <c r="T388" s="5" t="s">
        <v>22</v>
      </c>
      <c r="V388" s="5" t="s">
        <v>252</v>
      </c>
      <c r="AB388"/>
      <c r="AC388"/>
      <c r="AD388"/>
    </row>
    <row r="389" spans="1:30" x14ac:dyDescent="0.25">
      <c r="A389" t="s">
        <v>4000</v>
      </c>
      <c r="B389" t="s">
        <v>4001</v>
      </c>
      <c r="C389" s="9" t="s">
        <v>4002</v>
      </c>
      <c r="D389" s="9">
        <v>971742699</v>
      </c>
      <c r="E389" s="5" t="s">
        <v>3003</v>
      </c>
      <c r="F389" s="1" t="s">
        <v>3004</v>
      </c>
      <c r="G389" s="25">
        <v>44496</v>
      </c>
      <c r="H389" s="1" t="s">
        <v>3170</v>
      </c>
      <c r="I389" s="14" t="s">
        <v>2822</v>
      </c>
      <c r="J389" s="1" t="s">
        <v>3006</v>
      </c>
      <c r="K389" s="14" t="s">
        <v>3007</v>
      </c>
      <c r="L389" s="1" t="s">
        <v>3008</v>
      </c>
      <c r="M389" s="1" t="s">
        <v>3016</v>
      </c>
      <c r="N389" s="1">
        <v>1127</v>
      </c>
      <c r="O389" s="1" t="s">
        <v>976</v>
      </c>
      <c r="P389" s="5">
        <v>257.05</v>
      </c>
      <c r="Q389" s="5">
        <v>0</v>
      </c>
      <c r="R389" s="5">
        <v>245</v>
      </c>
      <c r="S389" s="5">
        <v>12.05</v>
      </c>
      <c r="T389" s="5" t="s">
        <v>23</v>
      </c>
      <c r="U389" s="5" t="s">
        <v>2508</v>
      </c>
      <c r="V389" s="5" t="s">
        <v>801</v>
      </c>
      <c r="AB389"/>
      <c r="AC389"/>
      <c r="AD389"/>
    </row>
    <row r="390" spans="1:30" x14ac:dyDescent="0.25">
      <c r="A390" t="s">
        <v>4000</v>
      </c>
      <c r="B390" t="s">
        <v>4001</v>
      </c>
      <c r="C390" s="9" t="s">
        <v>4002</v>
      </c>
      <c r="D390" s="9">
        <v>971742699</v>
      </c>
      <c r="E390" s="5" t="s">
        <v>3003</v>
      </c>
      <c r="F390" s="1" t="s">
        <v>3004</v>
      </c>
      <c r="G390" s="25">
        <v>44517</v>
      </c>
      <c r="H390" s="1" t="s">
        <v>3031</v>
      </c>
      <c r="I390" s="14" t="s">
        <v>2888</v>
      </c>
      <c r="J390" s="1" t="s">
        <v>3006</v>
      </c>
      <c r="K390" s="14" t="s">
        <v>3007</v>
      </c>
      <c r="L390" s="1" t="s">
        <v>3008</v>
      </c>
      <c r="M390" s="1" t="s">
        <v>3016</v>
      </c>
      <c r="N390" s="1">
        <v>1217</v>
      </c>
      <c r="O390" s="1" t="s">
        <v>976</v>
      </c>
      <c r="P390" s="5">
        <v>243.18</v>
      </c>
      <c r="Q390" s="5">
        <v>0</v>
      </c>
      <c r="R390" s="5">
        <v>230</v>
      </c>
      <c r="S390" s="5">
        <v>13.18</v>
      </c>
      <c r="T390" s="5" t="s">
        <v>22</v>
      </c>
      <c r="U390" s="5" t="s">
        <v>2579</v>
      </c>
      <c r="V390" s="5" t="s">
        <v>896</v>
      </c>
      <c r="AB390"/>
      <c r="AC390"/>
      <c r="AD390"/>
    </row>
    <row r="391" spans="1:30" x14ac:dyDescent="0.25">
      <c r="A391" t="s">
        <v>4003</v>
      </c>
      <c r="B391" t="s">
        <v>4004</v>
      </c>
      <c r="C391" s="9" t="s">
        <v>4005</v>
      </c>
      <c r="D391" s="9">
        <v>954057784</v>
      </c>
      <c r="E391" s="5" t="s">
        <v>3003</v>
      </c>
      <c r="F391" s="1" t="s">
        <v>3004</v>
      </c>
      <c r="G391" s="25">
        <v>44493</v>
      </c>
      <c r="H391" s="1" t="s">
        <v>3075</v>
      </c>
      <c r="I391" s="14" t="s">
        <v>2791</v>
      </c>
      <c r="J391" s="1" t="s">
        <v>3006</v>
      </c>
      <c r="K391" s="14" t="s">
        <v>3007</v>
      </c>
      <c r="L391" s="1" t="s">
        <v>3008</v>
      </c>
      <c r="M391" s="1" t="s">
        <v>3009</v>
      </c>
      <c r="N391" s="1">
        <v>1093</v>
      </c>
      <c r="O391" s="1" t="s">
        <v>976</v>
      </c>
      <c r="P391" s="5">
        <v>1197</v>
      </c>
      <c r="Q391" s="5">
        <v>133</v>
      </c>
      <c r="R391" s="5">
        <v>1330</v>
      </c>
      <c r="S391" s="5">
        <v>0</v>
      </c>
      <c r="T391" s="5" t="s">
        <v>22</v>
      </c>
      <c r="U391" s="5" t="s">
        <v>2443</v>
      </c>
      <c r="V391" s="5" t="s">
        <v>763</v>
      </c>
      <c r="AB391"/>
      <c r="AC391"/>
      <c r="AD391"/>
    </row>
    <row r="392" spans="1:30" x14ac:dyDescent="0.25">
      <c r="A392" t="s">
        <v>4006</v>
      </c>
      <c r="B392" t="s">
        <v>4007</v>
      </c>
      <c r="C392" s="9" t="s">
        <v>4008</v>
      </c>
      <c r="D392" s="9">
        <v>982028494</v>
      </c>
      <c r="E392" s="5" t="s">
        <v>3003</v>
      </c>
      <c r="F392" s="1" t="s">
        <v>3004</v>
      </c>
      <c r="G392" s="25">
        <v>44543</v>
      </c>
      <c r="H392" s="1" t="s">
        <v>3244</v>
      </c>
      <c r="I392" s="14" t="s">
        <v>2791</v>
      </c>
      <c r="J392" s="1" t="s">
        <v>3006</v>
      </c>
      <c r="K392" s="14" t="s">
        <v>3007</v>
      </c>
      <c r="L392" s="1" t="s">
        <v>3008</v>
      </c>
      <c r="M392" s="1" t="s">
        <v>3009</v>
      </c>
      <c r="N392" s="1">
        <v>1432</v>
      </c>
      <c r="O392" s="1" t="s">
        <v>976</v>
      </c>
      <c r="P392" s="5">
        <v>1522.27</v>
      </c>
      <c r="Q392" s="5">
        <v>166.5</v>
      </c>
      <c r="R392" s="5">
        <v>1665</v>
      </c>
      <c r="S392" s="5">
        <v>23.77</v>
      </c>
      <c r="T392" s="5" t="s">
        <v>22</v>
      </c>
      <c r="U392" s="5" t="s">
        <v>2447</v>
      </c>
      <c r="V392" s="5" t="s">
        <v>762</v>
      </c>
      <c r="AB392"/>
      <c r="AC392"/>
      <c r="AD392"/>
    </row>
    <row r="393" spans="1:30" x14ac:dyDescent="0.25">
      <c r="A393" t="s">
        <v>4009</v>
      </c>
      <c r="B393" t="s">
        <v>4010</v>
      </c>
      <c r="C393" s="9" t="s">
        <v>4011</v>
      </c>
      <c r="D393" s="9" t="s">
        <v>4012</v>
      </c>
      <c r="E393" s="5" t="s">
        <v>3003</v>
      </c>
      <c r="F393" s="1" t="s">
        <v>3004</v>
      </c>
      <c r="G393" s="25">
        <v>44554</v>
      </c>
      <c r="H393" s="1" t="s">
        <v>4013</v>
      </c>
      <c r="I393" s="14" t="s">
        <v>2891</v>
      </c>
      <c r="J393" s="1" t="s">
        <v>3006</v>
      </c>
      <c r="K393" s="14" t="s">
        <v>3007</v>
      </c>
      <c r="L393" s="1" t="s">
        <v>3008</v>
      </c>
      <c r="M393" s="1" t="s">
        <v>3009</v>
      </c>
      <c r="N393" s="1">
        <v>1542</v>
      </c>
      <c r="O393" s="1" t="s">
        <v>976</v>
      </c>
      <c r="P393" s="5">
        <v>1240</v>
      </c>
      <c r="Q393" s="5">
        <v>0</v>
      </c>
      <c r="R393" s="5">
        <v>1240</v>
      </c>
      <c r="S393" s="5">
        <v>0</v>
      </c>
      <c r="T393" s="5" t="s">
        <v>23</v>
      </c>
      <c r="U393" s="5" t="s">
        <v>2463</v>
      </c>
      <c r="V393" s="5" t="s">
        <v>900</v>
      </c>
      <c r="AB393"/>
      <c r="AC393"/>
      <c r="AD393"/>
    </row>
    <row r="394" spans="1:30" x14ac:dyDescent="0.25">
      <c r="A394" t="s">
        <v>4014</v>
      </c>
      <c r="B394" t="s">
        <v>4015</v>
      </c>
      <c r="C394" s="9" t="s">
        <v>4016</v>
      </c>
      <c r="D394" s="9">
        <v>940318828</v>
      </c>
      <c r="E394" s="5" t="s">
        <v>3003</v>
      </c>
      <c r="F394" s="1" t="s">
        <v>3004</v>
      </c>
      <c r="G394" s="25">
        <v>44526</v>
      </c>
      <c r="H394" s="1" t="s">
        <v>3220</v>
      </c>
      <c r="I394" s="14" t="s">
        <v>259</v>
      </c>
      <c r="J394" s="1" t="s">
        <v>3006</v>
      </c>
      <c r="K394" s="14" t="s">
        <v>3007</v>
      </c>
      <c r="L394" s="1" t="s">
        <v>3008</v>
      </c>
      <c r="M394" s="1" t="s">
        <v>3016</v>
      </c>
      <c r="N394" s="1">
        <v>1293</v>
      </c>
      <c r="O394" s="1" t="s">
        <v>976</v>
      </c>
      <c r="P394" s="5">
        <v>233.73</v>
      </c>
      <c r="Q394" s="5">
        <v>0</v>
      </c>
      <c r="R394" s="5">
        <v>230</v>
      </c>
      <c r="S394" s="5">
        <v>3.73</v>
      </c>
      <c r="T394" s="5" t="s">
        <v>23</v>
      </c>
      <c r="V394" s="5" t="s">
        <v>259</v>
      </c>
      <c r="AB394"/>
      <c r="AC394"/>
      <c r="AD394"/>
    </row>
    <row r="395" spans="1:30" x14ac:dyDescent="0.25">
      <c r="A395" t="s">
        <v>4014</v>
      </c>
      <c r="B395" t="s">
        <v>4015</v>
      </c>
      <c r="C395" s="9" t="s">
        <v>4016</v>
      </c>
      <c r="D395" s="9">
        <v>940318828</v>
      </c>
      <c r="E395" s="5" t="s">
        <v>3003</v>
      </c>
      <c r="F395" s="1" t="s">
        <v>3004</v>
      </c>
      <c r="G395" s="25">
        <v>44526</v>
      </c>
      <c r="H395" s="1" t="s">
        <v>3866</v>
      </c>
      <c r="I395" s="14" t="s">
        <v>2925</v>
      </c>
      <c r="J395" s="1" t="s">
        <v>3006</v>
      </c>
      <c r="K395" s="14" t="s">
        <v>3007</v>
      </c>
      <c r="L395" s="1" t="s">
        <v>3008</v>
      </c>
      <c r="M395" s="1" t="s">
        <v>3016</v>
      </c>
      <c r="N395" s="1">
        <v>1293</v>
      </c>
      <c r="O395" s="1" t="s">
        <v>976</v>
      </c>
      <c r="P395" s="5">
        <v>1036.53</v>
      </c>
      <c r="Q395" s="5">
        <v>0</v>
      </c>
      <c r="R395" s="5">
        <v>1020</v>
      </c>
      <c r="S395" s="5">
        <v>16.53</v>
      </c>
      <c r="T395" s="5" t="s">
        <v>5574</v>
      </c>
      <c r="U395" s="5" t="s">
        <v>2433</v>
      </c>
      <c r="V395" s="5" t="s">
        <v>917</v>
      </c>
      <c r="AB395"/>
      <c r="AC395"/>
      <c r="AD395"/>
    </row>
    <row r="396" spans="1:30" x14ac:dyDescent="0.25">
      <c r="A396" t="s">
        <v>4017</v>
      </c>
      <c r="B396" t="s">
        <v>4018</v>
      </c>
      <c r="C396" s="9" t="s">
        <v>4019</v>
      </c>
      <c r="D396" s="9">
        <v>991413819</v>
      </c>
      <c r="E396" s="5" t="s">
        <v>3733</v>
      </c>
      <c r="F396" s="1" t="s">
        <v>4020</v>
      </c>
      <c r="G396" s="25">
        <v>44343</v>
      </c>
      <c r="H396" s="1" t="s">
        <v>4021</v>
      </c>
      <c r="I396" s="14" t="s">
        <v>573</v>
      </c>
      <c r="J396" s="1" t="s">
        <v>3006</v>
      </c>
      <c r="K396" s="14" t="s">
        <v>3007</v>
      </c>
      <c r="L396" s="1" t="s">
        <v>3008</v>
      </c>
      <c r="M396" s="1" t="s">
        <v>3009</v>
      </c>
      <c r="N396" s="1">
        <v>455</v>
      </c>
      <c r="O396" s="1" t="s">
        <v>976</v>
      </c>
      <c r="P396" s="5">
        <v>498.58</v>
      </c>
      <c r="Q396" s="5">
        <v>0</v>
      </c>
      <c r="R396" s="5">
        <v>470</v>
      </c>
      <c r="S396" s="5">
        <v>28.58</v>
      </c>
      <c r="T396" s="5">
        <v>44</v>
      </c>
      <c r="V396" s="5" t="s">
        <v>573</v>
      </c>
      <c r="AB396"/>
      <c r="AC396"/>
      <c r="AD396"/>
    </row>
    <row r="397" spans="1:30" x14ac:dyDescent="0.25">
      <c r="A397" t="s">
        <v>4017</v>
      </c>
      <c r="B397" t="s">
        <v>4018</v>
      </c>
      <c r="C397" s="9" t="s">
        <v>4019</v>
      </c>
      <c r="D397" s="9">
        <v>991413819</v>
      </c>
      <c r="E397" s="5" t="s">
        <v>3733</v>
      </c>
      <c r="F397" s="1" t="s">
        <v>4020</v>
      </c>
      <c r="G397" s="25">
        <v>44442</v>
      </c>
      <c r="H397" s="1" t="s">
        <v>3142</v>
      </c>
      <c r="I397" s="14" t="s">
        <v>2926</v>
      </c>
      <c r="J397" s="1" t="s">
        <v>3006</v>
      </c>
      <c r="K397" s="14" t="s">
        <v>3007</v>
      </c>
      <c r="L397" s="1" t="s">
        <v>3008</v>
      </c>
      <c r="M397" s="1" t="s">
        <v>3009</v>
      </c>
      <c r="N397" s="1">
        <v>859</v>
      </c>
      <c r="O397" s="1" t="s">
        <v>976</v>
      </c>
      <c r="P397" s="5">
        <v>921.1</v>
      </c>
      <c r="Q397" s="5">
        <v>0</v>
      </c>
      <c r="R397" s="5">
        <v>890</v>
      </c>
      <c r="S397" s="5">
        <v>31.1</v>
      </c>
      <c r="T397" s="5" t="s">
        <v>5574</v>
      </c>
      <c r="U397" s="5" t="s">
        <v>2472</v>
      </c>
      <c r="V397" s="5" t="s">
        <v>918</v>
      </c>
      <c r="AB397"/>
      <c r="AC397"/>
      <c r="AD397"/>
    </row>
    <row r="398" spans="1:30" x14ac:dyDescent="0.25">
      <c r="A398" t="s">
        <v>4017</v>
      </c>
      <c r="B398" t="s">
        <v>4018</v>
      </c>
      <c r="C398" s="9" t="s">
        <v>4019</v>
      </c>
      <c r="D398" s="9">
        <v>991413819</v>
      </c>
      <c r="E398" s="5" t="s">
        <v>3733</v>
      </c>
      <c r="F398" s="1" t="s">
        <v>4020</v>
      </c>
      <c r="G398" s="25">
        <v>44493</v>
      </c>
      <c r="H398" s="1" t="s">
        <v>3027</v>
      </c>
      <c r="I398" s="14" t="s">
        <v>254</v>
      </c>
      <c r="J398" s="1" t="s">
        <v>3006</v>
      </c>
      <c r="K398" s="14" t="s">
        <v>3007</v>
      </c>
      <c r="L398" s="1" t="s">
        <v>3008</v>
      </c>
      <c r="M398" s="1" t="s">
        <v>3009</v>
      </c>
      <c r="N398" s="1">
        <v>1099</v>
      </c>
      <c r="O398" s="1" t="s">
        <v>976</v>
      </c>
      <c r="P398" s="5">
        <v>1367.69</v>
      </c>
      <c r="Q398" s="5">
        <v>0</v>
      </c>
      <c r="R398" s="5">
        <v>1330</v>
      </c>
      <c r="S398" s="5">
        <v>37.69</v>
      </c>
      <c r="T398" s="5" t="s">
        <v>22</v>
      </c>
      <c r="V398" s="5" t="s">
        <v>254</v>
      </c>
      <c r="AB398"/>
      <c r="AC398"/>
      <c r="AD398"/>
    </row>
    <row r="399" spans="1:30" x14ac:dyDescent="0.25">
      <c r="A399" t="s">
        <v>4017</v>
      </c>
      <c r="B399" t="s">
        <v>4022</v>
      </c>
      <c r="C399" s="9" t="s">
        <v>4023</v>
      </c>
      <c r="D399" s="9">
        <v>944670789</v>
      </c>
      <c r="E399" s="5" t="s">
        <v>3003</v>
      </c>
      <c r="F399" s="1" t="s">
        <v>3004</v>
      </c>
      <c r="G399" s="25">
        <v>44313</v>
      </c>
      <c r="H399" s="1" t="s">
        <v>3027</v>
      </c>
      <c r="I399" s="14" t="s">
        <v>254</v>
      </c>
      <c r="J399" s="1" t="s">
        <v>3006</v>
      </c>
      <c r="K399" s="14" t="s">
        <v>3007</v>
      </c>
      <c r="L399" s="1" t="s">
        <v>3008</v>
      </c>
      <c r="M399" s="1" t="s">
        <v>3016</v>
      </c>
      <c r="N399" s="1">
        <v>358</v>
      </c>
      <c r="O399" s="1" t="s">
        <v>976</v>
      </c>
      <c r="P399" s="5">
        <v>1170</v>
      </c>
      <c r="Q399" s="5">
        <v>30</v>
      </c>
      <c r="R399" s="5">
        <v>1200</v>
      </c>
      <c r="S399" s="5">
        <v>0</v>
      </c>
      <c r="T399" s="5" t="s">
        <v>22</v>
      </c>
      <c r="V399" s="5" t="s">
        <v>254</v>
      </c>
      <c r="AB399"/>
      <c r="AC399"/>
      <c r="AD399"/>
    </row>
    <row r="400" spans="1:30" x14ac:dyDescent="0.25">
      <c r="A400" t="s">
        <v>4024</v>
      </c>
      <c r="B400" t="s">
        <v>4025</v>
      </c>
      <c r="C400" s="9" t="s">
        <v>4026</v>
      </c>
      <c r="D400" s="9">
        <v>994154785</v>
      </c>
      <c r="E400" s="5" t="s">
        <v>3003</v>
      </c>
      <c r="F400" s="1" t="s">
        <v>4027</v>
      </c>
      <c r="G400" s="25">
        <v>44312</v>
      </c>
      <c r="H400" s="1" t="s">
        <v>3075</v>
      </c>
      <c r="I400" s="14" t="s">
        <v>2791</v>
      </c>
      <c r="J400" s="1" t="s">
        <v>3006</v>
      </c>
      <c r="K400" s="14" t="s">
        <v>3007</v>
      </c>
      <c r="L400" s="1" t="s">
        <v>3008</v>
      </c>
      <c r="M400" s="1" t="s">
        <v>3009</v>
      </c>
      <c r="N400" s="1">
        <v>352</v>
      </c>
      <c r="O400" s="1" t="s">
        <v>976</v>
      </c>
      <c r="P400" s="5">
        <v>990</v>
      </c>
      <c r="Q400" s="5">
        <v>110</v>
      </c>
      <c r="R400" s="5">
        <v>1100</v>
      </c>
      <c r="S400" s="5">
        <v>0</v>
      </c>
      <c r="T400" s="5" t="s">
        <v>22</v>
      </c>
      <c r="U400" s="5" t="s">
        <v>2443</v>
      </c>
      <c r="V400" s="5" t="s">
        <v>763</v>
      </c>
      <c r="AB400"/>
      <c r="AC400"/>
      <c r="AD400"/>
    </row>
    <row r="401" spans="1:30" x14ac:dyDescent="0.25">
      <c r="A401" t="s">
        <v>4028</v>
      </c>
      <c r="B401" t="s">
        <v>4029</v>
      </c>
      <c r="C401" s="9" t="s">
        <v>4030</v>
      </c>
      <c r="D401" s="9" t="s">
        <v>4031</v>
      </c>
      <c r="E401" s="5" t="s">
        <v>3003</v>
      </c>
      <c r="F401" s="1" t="s">
        <v>3004</v>
      </c>
      <c r="G401" s="25">
        <v>44589</v>
      </c>
      <c r="H401" s="1" t="s">
        <v>3825</v>
      </c>
      <c r="I401" s="14" t="s">
        <v>2829</v>
      </c>
      <c r="J401" s="1" t="s">
        <v>3006</v>
      </c>
      <c r="K401" s="14" t="s">
        <v>3007</v>
      </c>
      <c r="L401" s="1" t="s">
        <v>3008</v>
      </c>
      <c r="M401" s="1" t="s">
        <v>3016</v>
      </c>
      <c r="N401" s="1">
        <v>1734</v>
      </c>
      <c r="O401" s="1" t="s">
        <v>976</v>
      </c>
      <c r="P401" s="5">
        <v>275.39999999999998</v>
      </c>
      <c r="Q401" s="5">
        <v>2024.6</v>
      </c>
      <c r="R401" s="5">
        <v>2300</v>
      </c>
      <c r="S401" s="5">
        <v>0</v>
      </c>
      <c r="T401" s="5" t="s">
        <v>23</v>
      </c>
      <c r="U401" s="5" t="s">
        <v>2472</v>
      </c>
      <c r="V401" s="5" t="s">
        <v>814</v>
      </c>
      <c r="AB401"/>
      <c r="AC401"/>
      <c r="AD401"/>
    </row>
    <row r="402" spans="1:30" x14ac:dyDescent="0.25">
      <c r="A402" t="s">
        <v>4028</v>
      </c>
      <c r="B402" t="s">
        <v>4029</v>
      </c>
      <c r="C402" s="9" t="s">
        <v>4030</v>
      </c>
      <c r="D402" s="9" t="s">
        <v>4031</v>
      </c>
      <c r="E402" s="5" t="s">
        <v>3003</v>
      </c>
      <c r="F402" s="1" t="s">
        <v>3004</v>
      </c>
      <c r="G402" s="25">
        <v>44589</v>
      </c>
      <c r="H402" s="1" t="s">
        <v>4032</v>
      </c>
      <c r="I402" s="14" t="s">
        <v>592</v>
      </c>
      <c r="J402" s="1" t="s">
        <v>3006</v>
      </c>
      <c r="K402" s="14" t="s">
        <v>3007</v>
      </c>
      <c r="L402" s="1" t="s">
        <v>3008</v>
      </c>
      <c r="M402" s="1" t="s">
        <v>3016</v>
      </c>
      <c r="N402" s="1">
        <v>1734</v>
      </c>
      <c r="O402" s="1" t="s">
        <v>976</v>
      </c>
      <c r="P402" s="5">
        <v>94.6</v>
      </c>
      <c r="Q402" s="5">
        <v>695.4</v>
      </c>
      <c r="R402" s="5">
        <v>790</v>
      </c>
      <c r="S402" s="5">
        <v>0</v>
      </c>
      <c r="T402" s="5" t="s">
        <v>22</v>
      </c>
      <c r="V402" s="5" t="s">
        <v>592</v>
      </c>
      <c r="AB402"/>
      <c r="AC402"/>
      <c r="AD402"/>
    </row>
    <row r="403" spans="1:30" x14ac:dyDescent="0.25">
      <c r="A403" t="s">
        <v>4033</v>
      </c>
      <c r="B403" t="s">
        <v>4034</v>
      </c>
      <c r="C403" s="9" t="s">
        <v>4035</v>
      </c>
      <c r="D403" s="9" t="s">
        <v>4036</v>
      </c>
      <c r="E403" s="5" t="s">
        <v>3073</v>
      </c>
      <c r="F403" s="1" t="s">
        <v>3378</v>
      </c>
      <c r="G403" s="25">
        <v>44125</v>
      </c>
      <c r="H403" s="1" t="s">
        <v>4037</v>
      </c>
      <c r="I403" s="14" t="s">
        <v>251</v>
      </c>
      <c r="J403" s="1" t="s">
        <v>3006</v>
      </c>
      <c r="K403" s="14" t="s">
        <v>3007</v>
      </c>
      <c r="L403" s="1" t="s">
        <v>3008</v>
      </c>
      <c r="M403" s="1" t="s">
        <v>3009</v>
      </c>
      <c r="N403" s="1">
        <v>37</v>
      </c>
      <c r="O403" s="1" t="s">
        <v>976</v>
      </c>
      <c r="P403" s="5">
        <v>1340</v>
      </c>
      <c r="Q403" s="5">
        <v>0</v>
      </c>
      <c r="R403" s="5">
        <v>1340</v>
      </c>
      <c r="S403" s="5">
        <v>0</v>
      </c>
      <c r="T403" s="5" t="s">
        <v>24</v>
      </c>
      <c r="V403" s="5" t="s">
        <v>251</v>
      </c>
      <c r="AB403"/>
      <c r="AC403"/>
      <c r="AD403"/>
    </row>
    <row r="404" spans="1:30" x14ac:dyDescent="0.25">
      <c r="A404" t="s">
        <v>4038</v>
      </c>
      <c r="B404" t="s">
        <v>4039</v>
      </c>
      <c r="C404" s="9" t="s">
        <v>4040</v>
      </c>
      <c r="D404" s="9">
        <v>992294896</v>
      </c>
      <c r="E404" s="5" t="s">
        <v>3187</v>
      </c>
      <c r="F404" s="1" t="s">
        <v>3188</v>
      </c>
      <c r="G404" s="25">
        <v>44397</v>
      </c>
      <c r="H404" s="1" t="s">
        <v>3027</v>
      </c>
      <c r="I404" s="14" t="s">
        <v>254</v>
      </c>
      <c r="J404" s="1" t="s">
        <v>3006</v>
      </c>
      <c r="K404" s="14" t="s">
        <v>3007</v>
      </c>
      <c r="L404" s="1" t="s">
        <v>3008</v>
      </c>
      <c r="M404" s="1" t="s">
        <v>3016</v>
      </c>
      <c r="N404" s="1">
        <v>666</v>
      </c>
      <c r="O404" s="1" t="s">
        <v>976</v>
      </c>
      <c r="P404" s="5">
        <v>1102.74</v>
      </c>
      <c r="Q404" s="5">
        <v>120</v>
      </c>
      <c r="R404" s="5">
        <v>1200</v>
      </c>
      <c r="S404" s="5">
        <v>22.74</v>
      </c>
      <c r="T404" s="5" t="s">
        <v>22</v>
      </c>
      <c r="V404" s="5" t="s">
        <v>254</v>
      </c>
      <c r="AB404"/>
      <c r="AC404"/>
      <c r="AD404"/>
    </row>
    <row r="405" spans="1:30" x14ac:dyDescent="0.25">
      <c r="A405" t="s">
        <v>4041</v>
      </c>
      <c r="B405" t="s">
        <v>4042</v>
      </c>
      <c r="C405" s="9" t="s">
        <v>4043</v>
      </c>
      <c r="D405" s="9">
        <v>994225225</v>
      </c>
      <c r="E405" s="5" t="s">
        <v>3003</v>
      </c>
      <c r="F405" s="1" t="s">
        <v>3004</v>
      </c>
      <c r="G405" s="25">
        <v>44471</v>
      </c>
      <c r="H405" s="1" t="s">
        <v>4044</v>
      </c>
      <c r="I405" s="14" t="s">
        <v>2805</v>
      </c>
      <c r="J405" s="1" t="s">
        <v>3006</v>
      </c>
      <c r="K405" s="14" t="s">
        <v>3007</v>
      </c>
      <c r="L405" s="1" t="s">
        <v>3008</v>
      </c>
      <c r="M405" s="1" t="s">
        <v>3016</v>
      </c>
      <c r="N405" s="1">
        <v>998</v>
      </c>
      <c r="O405" s="1" t="s">
        <v>976</v>
      </c>
      <c r="P405" s="5">
        <v>484.97</v>
      </c>
      <c r="Q405" s="5">
        <v>0</v>
      </c>
      <c r="R405" s="5">
        <v>470</v>
      </c>
      <c r="S405" s="5">
        <v>14.97</v>
      </c>
      <c r="T405" s="5">
        <v>42</v>
      </c>
      <c r="U405" s="5" t="s">
        <v>2443</v>
      </c>
      <c r="V405" s="5" t="s">
        <v>776</v>
      </c>
      <c r="AB405"/>
      <c r="AC405"/>
      <c r="AD405"/>
    </row>
    <row r="406" spans="1:30" x14ac:dyDescent="0.25">
      <c r="A406" t="s">
        <v>4041</v>
      </c>
      <c r="B406" t="s">
        <v>4042</v>
      </c>
      <c r="C406" s="9" t="s">
        <v>4043</v>
      </c>
      <c r="D406" s="9">
        <v>994225225</v>
      </c>
      <c r="E406" s="5" t="s">
        <v>3003</v>
      </c>
      <c r="F406" s="1" t="s">
        <v>3004</v>
      </c>
      <c r="G406" s="25">
        <v>44471</v>
      </c>
      <c r="H406" s="1" t="s">
        <v>3639</v>
      </c>
      <c r="I406" s="14" t="s">
        <v>485</v>
      </c>
      <c r="J406" s="1" t="s">
        <v>3006</v>
      </c>
      <c r="K406" s="14" t="s">
        <v>3007</v>
      </c>
      <c r="L406" s="1" t="s">
        <v>3008</v>
      </c>
      <c r="M406" s="1" t="s">
        <v>3016</v>
      </c>
      <c r="N406" s="1">
        <v>998</v>
      </c>
      <c r="O406" s="1" t="s">
        <v>976</v>
      </c>
      <c r="P406" s="5">
        <v>325.02999999999997</v>
      </c>
      <c r="Q406" s="5">
        <v>0</v>
      </c>
      <c r="R406" s="5">
        <v>315</v>
      </c>
      <c r="S406" s="5">
        <v>10.029999999999999</v>
      </c>
      <c r="T406" s="5" t="s">
        <v>24</v>
      </c>
      <c r="V406" s="5" t="s">
        <v>485</v>
      </c>
      <c r="AB406"/>
      <c r="AC406"/>
      <c r="AD406"/>
    </row>
    <row r="407" spans="1:30" x14ac:dyDescent="0.25">
      <c r="A407" t="s">
        <v>4045</v>
      </c>
      <c r="B407" t="s">
        <v>4046</v>
      </c>
      <c r="C407" s="9" t="s">
        <v>4047</v>
      </c>
      <c r="D407" s="9" t="s">
        <v>4048</v>
      </c>
      <c r="E407" s="5" t="s">
        <v>3148</v>
      </c>
      <c r="F407" s="1" t="s">
        <v>3606</v>
      </c>
      <c r="G407" s="25">
        <v>44550</v>
      </c>
      <c r="H407" s="1" t="s">
        <v>3027</v>
      </c>
      <c r="I407" s="14" t="s">
        <v>254</v>
      </c>
      <c r="J407" s="1" t="s">
        <v>3006</v>
      </c>
      <c r="K407" s="14" t="s">
        <v>3007</v>
      </c>
      <c r="L407" s="1" t="s">
        <v>3008</v>
      </c>
      <c r="M407" s="1" t="s">
        <v>3009</v>
      </c>
      <c r="N407" s="1">
        <v>1509</v>
      </c>
      <c r="O407" s="1" t="s">
        <v>976</v>
      </c>
      <c r="P407" s="5">
        <v>1712.42</v>
      </c>
      <c r="Q407" s="5">
        <v>0</v>
      </c>
      <c r="R407" s="5">
        <v>1665</v>
      </c>
      <c r="S407" s="5">
        <v>47.42</v>
      </c>
      <c r="T407" s="5" t="s">
        <v>22</v>
      </c>
      <c r="V407" s="5" t="s">
        <v>254</v>
      </c>
      <c r="AB407"/>
      <c r="AC407"/>
      <c r="AD407"/>
    </row>
    <row r="408" spans="1:30" x14ac:dyDescent="0.25">
      <c r="A408" t="s">
        <v>4049</v>
      </c>
      <c r="B408" t="s">
        <v>4050</v>
      </c>
      <c r="C408" s="9" t="s">
        <v>4051</v>
      </c>
      <c r="D408" s="9">
        <v>997144996</v>
      </c>
      <c r="E408" s="5" t="s">
        <v>3003</v>
      </c>
      <c r="F408" s="1" t="s">
        <v>4052</v>
      </c>
      <c r="G408" s="25">
        <v>44469</v>
      </c>
      <c r="H408" s="1" t="s">
        <v>3871</v>
      </c>
      <c r="I408" s="14" t="s">
        <v>2874</v>
      </c>
      <c r="J408" s="1" t="s">
        <v>3006</v>
      </c>
      <c r="K408" s="14" t="s">
        <v>3007</v>
      </c>
      <c r="L408" s="1" t="s">
        <v>3008</v>
      </c>
      <c r="M408" s="1" t="s">
        <v>3016</v>
      </c>
      <c r="N408" s="1">
        <v>989</v>
      </c>
      <c r="O408" s="1" t="s">
        <v>976</v>
      </c>
      <c r="P408" s="5">
        <v>1197</v>
      </c>
      <c r="Q408" s="5">
        <v>133</v>
      </c>
      <c r="R408" s="5">
        <v>1330</v>
      </c>
      <c r="S408" s="5">
        <v>0</v>
      </c>
      <c r="T408" s="5" t="s">
        <v>23</v>
      </c>
      <c r="U408" s="5" t="s">
        <v>2508</v>
      </c>
      <c r="V408" s="5" t="s">
        <v>878</v>
      </c>
      <c r="AB408"/>
      <c r="AC408"/>
      <c r="AD408"/>
    </row>
    <row r="409" spans="1:30" x14ac:dyDescent="0.25">
      <c r="A409" t="s">
        <v>4053</v>
      </c>
      <c r="B409" t="s">
        <v>4054</v>
      </c>
      <c r="C409" s="9" t="s">
        <v>4055</v>
      </c>
      <c r="D409" s="9">
        <v>999610240</v>
      </c>
      <c r="E409" s="5" t="s">
        <v>3041</v>
      </c>
      <c r="F409" s="1" t="s">
        <v>3042</v>
      </c>
      <c r="G409" s="25">
        <v>44493</v>
      </c>
      <c r="H409" s="1" t="s">
        <v>3015</v>
      </c>
      <c r="I409" s="14" t="s">
        <v>252</v>
      </c>
      <c r="J409" s="1" t="s">
        <v>3006</v>
      </c>
      <c r="K409" s="14" t="s">
        <v>3007</v>
      </c>
      <c r="L409" s="1" t="s">
        <v>3008</v>
      </c>
      <c r="M409" s="1" t="s">
        <v>3016</v>
      </c>
      <c r="N409" s="1">
        <v>1085</v>
      </c>
      <c r="O409" s="1" t="s">
        <v>976</v>
      </c>
      <c r="P409" s="5">
        <v>1357.35</v>
      </c>
      <c r="Q409" s="5">
        <v>0</v>
      </c>
      <c r="R409" s="5">
        <v>1330</v>
      </c>
      <c r="S409" s="5">
        <v>27.35</v>
      </c>
      <c r="T409" s="5" t="s">
        <v>22</v>
      </c>
      <c r="V409" s="5" t="s">
        <v>252</v>
      </c>
      <c r="AB409"/>
      <c r="AC409"/>
      <c r="AD409"/>
    </row>
    <row r="410" spans="1:30" x14ac:dyDescent="0.25">
      <c r="A410" t="s">
        <v>4056</v>
      </c>
      <c r="B410" t="s">
        <v>4057</v>
      </c>
      <c r="C410" s="9" t="s">
        <v>4058</v>
      </c>
      <c r="D410" s="9">
        <v>11983220805</v>
      </c>
      <c r="E410" s="5" t="s">
        <v>3003</v>
      </c>
      <c r="F410" s="1" t="s">
        <v>3004</v>
      </c>
      <c r="G410" s="25">
        <v>44167</v>
      </c>
      <c r="H410" s="1" t="s">
        <v>3234</v>
      </c>
      <c r="I410" s="14" t="s">
        <v>520</v>
      </c>
      <c r="J410" s="1" t="s">
        <v>3006</v>
      </c>
      <c r="K410" s="14" t="s">
        <v>3007</v>
      </c>
      <c r="L410" s="1" t="s">
        <v>3008</v>
      </c>
      <c r="M410" s="1" t="s">
        <v>3009</v>
      </c>
      <c r="N410" s="1">
        <v>55</v>
      </c>
      <c r="O410" s="1" t="s">
        <v>976</v>
      </c>
      <c r="P410" s="5">
        <v>188.68</v>
      </c>
      <c r="Q410" s="5">
        <v>0</v>
      </c>
      <c r="R410" s="5">
        <v>185</v>
      </c>
      <c r="S410" s="5">
        <v>3.68</v>
      </c>
      <c r="T410" s="5" t="s">
        <v>24</v>
      </c>
      <c r="V410" s="5" t="s">
        <v>520</v>
      </c>
      <c r="AB410"/>
      <c r="AC410"/>
      <c r="AD410"/>
    </row>
    <row r="411" spans="1:30" x14ac:dyDescent="0.25">
      <c r="A411" t="s">
        <v>4056</v>
      </c>
      <c r="B411" t="s">
        <v>4057</v>
      </c>
      <c r="C411" s="9" t="s">
        <v>4058</v>
      </c>
      <c r="D411" s="9">
        <v>11983220805</v>
      </c>
      <c r="E411" s="5" t="s">
        <v>3003</v>
      </c>
      <c r="F411" s="1" t="s">
        <v>3004</v>
      </c>
      <c r="G411" s="25">
        <v>44167</v>
      </c>
      <c r="H411" s="1" t="s">
        <v>3590</v>
      </c>
      <c r="I411" s="14" t="s">
        <v>2880</v>
      </c>
      <c r="J411" s="1" t="s">
        <v>3006</v>
      </c>
      <c r="K411" s="14" t="s">
        <v>3007</v>
      </c>
      <c r="L411" s="1" t="s">
        <v>3008</v>
      </c>
      <c r="M411" s="1" t="s">
        <v>3009</v>
      </c>
      <c r="N411" s="1">
        <v>55</v>
      </c>
      <c r="O411" s="1" t="s">
        <v>976</v>
      </c>
      <c r="P411" s="5">
        <v>596.64</v>
      </c>
      <c r="Q411" s="5">
        <v>0</v>
      </c>
      <c r="R411" s="5">
        <v>585</v>
      </c>
      <c r="S411" s="5">
        <v>11.64</v>
      </c>
      <c r="T411" s="5" t="s">
        <v>23</v>
      </c>
      <c r="U411" s="5" t="s">
        <v>2482</v>
      </c>
      <c r="V411" s="5" t="s">
        <v>888</v>
      </c>
      <c r="AB411"/>
      <c r="AC411"/>
      <c r="AD411"/>
    </row>
    <row r="412" spans="1:30" x14ac:dyDescent="0.25">
      <c r="A412" t="s">
        <v>4059</v>
      </c>
      <c r="B412" t="s">
        <v>4060</v>
      </c>
      <c r="C412" s="9" t="s">
        <v>4061</v>
      </c>
      <c r="D412" s="9">
        <v>11988420660</v>
      </c>
      <c r="E412" s="5" t="s">
        <v>3003</v>
      </c>
      <c r="F412" s="1" t="s">
        <v>3004</v>
      </c>
      <c r="G412" s="25">
        <v>44394</v>
      </c>
      <c r="H412" s="1" t="s">
        <v>4062</v>
      </c>
      <c r="I412" s="14" t="s">
        <v>1595</v>
      </c>
      <c r="J412" s="1" t="s">
        <v>3006</v>
      </c>
      <c r="K412" s="14" t="s">
        <v>3007</v>
      </c>
      <c r="L412" s="1" t="s">
        <v>3008</v>
      </c>
      <c r="M412" s="1" t="s">
        <v>3009</v>
      </c>
      <c r="N412" s="1">
        <v>643</v>
      </c>
      <c r="O412" s="1" t="s">
        <v>976</v>
      </c>
      <c r="P412" s="5">
        <v>560</v>
      </c>
      <c r="Q412" s="5">
        <v>0</v>
      </c>
      <c r="R412" s="5">
        <v>560</v>
      </c>
      <c r="S412" s="5">
        <v>0</v>
      </c>
      <c r="T412" s="5" t="s">
        <v>24</v>
      </c>
      <c r="U412" s="5" t="s">
        <v>2463</v>
      </c>
      <c r="V412" s="5" t="s">
        <v>877</v>
      </c>
      <c r="AB412"/>
      <c r="AC412"/>
      <c r="AD412"/>
    </row>
    <row r="413" spans="1:30" x14ac:dyDescent="0.25">
      <c r="A413" t="s">
        <v>4059</v>
      </c>
      <c r="B413" t="s">
        <v>4060</v>
      </c>
      <c r="C413" s="9" t="s">
        <v>4061</v>
      </c>
      <c r="D413" s="9">
        <v>11988420660</v>
      </c>
      <c r="E413" s="5" t="s">
        <v>3003</v>
      </c>
      <c r="F413" s="1" t="s">
        <v>3004</v>
      </c>
      <c r="G413" s="25">
        <v>44394</v>
      </c>
      <c r="H413" s="1" t="s">
        <v>4063</v>
      </c>
      <c r="I413" s="14" t="s">
        <v>2891</v>
      </c>
      <c r="J413" s="1" t="s">
        <v>3006</v>
      </c>
      <c r="K413" s="14" t="s">
        <v>3007</v>
      </c>
      <c r="L413" s="1" t="s">
        <v>3008</v>
      </c>
      <c r="M413" s="1" t="s">
        <v>3009</v>
      </c>
      <c r="N413" s="1">
        <v>643</v>
      </c>
      <c r="O413" s="1" t="s">
        <v>976</v>
      </c>
      <c r="P413" s="5">
        <v>1240</v>
      </c>
      <c r="Q413" s="5">
        <v>0</v>
      </c>
      <c r="R413" s="5">
        <v>1240</v>
      </c>
      <c r="S413" s="5">
        <v>0</v>
      </c>
      <c r="T413" s="5" t="s">
        <v>5575</v>
      </c>
      <c r="U413" s="5" t="s">
        <v>2463</v>
      </c>
      <c r="V413" s="5" t="s">
        <v>900</v>
      </c>
      <c r="AB413"/>
      <c r="AC413"/>
      <c r="AD413"/>
    </row>
    <row r="414" spans="1:30" x14ac:dyDescent="0.25">
      <c r="A414" t="s">
        <v>4064</v>
      </c>
      <c r="B414" t="s">
        <v>4065</v>
      </c>
      <c r="C414" s="9" t="s">
        <v>4066</v>
      </c>
      <c r="D414" s="9">
        <v>970298484</v>
      </c>
      <c r="E414" s="5" t="s">
        <v>3003</v>
      </c>
      <c r="F414" s="1" t="s">
        <v>3004</v>
      </c>
      <c r="G414" s="25">
        <v>44374</v>
      </c>
      <c r="H414" s="1" t="s">
        <v>4067</v>
      </c>
      <c r="I414" s="14" t="s">
        <v>391</v>
      </c>
      <c r="J414" s="1" t="s">
        <v>3006</v>
      </c>
      <c r="K414" s="14" t="s">
        <v>3007</v>
      </c>
      <c r="L414" s="1" t="s">
        <v>3008</v>
      </c>
      <c r="M414" s="1" t="s">
        <v>3009</v>
      </c>
      <c r="N414" s="1">
        <v>558</v>
      </c>
      <c r="O414" s="1" t="s">
        <v>976</v>
      </c>
      <c r="P414" s="5">
        <v>415</v>
      </c>
      <c r="Q414" s="5">
        <v>415</v>
      </c>
      <c r="R414" s="5">
        <v>830</v>
      </c>
      <c r="S414" s="5">
        <v>0</v>
      </c>
      <c r="T414" s="5">
        <v>35</v>
      </c>
      <c r="V414" s="5" t="s">
        <v>391</v>
      </c>
      <c r="AB414"/>
      <c r="AC414"/>
      <c r="AD414"/>
    </row>
    <row r="415" spans="1:30" x14ac:dyDescent="0.25">
      <c r="A415" t="s">
        <v>4068</v>
      </c>
      <c r="B415" t="s">
        <v>4069</v>
      </c>
      <c r="C415" s="9" t="s">
        <v>4070</v>
      </c>
      <c r="D415" s="9">
        <v>982457130</v>
      </c>
      <c r="E415" s="5" t="s">
        <v>3003</v>
      </c>
      <c r="F415" s="1" t="s">
        <v>3004</v>
      </c>
      <c r="G415" s="25">
        <v>44142</v>
      </c>
      <c r="H415" s="1" t="s">
        <v>4071</v>
      </c>
      <c r="I415" s="14" t="s">
        <v>2886</v>
      </c>
      <c r="J415" s="1" t="s">
        <v>3006</v>
      </c>
      <c r="K415" s="14" t="s">
        <v>3007</v>
      </c>
      <c r="L415" s="1" t="s">
        <v>3008</v>
      </c>
      <c r="M415" s="1" t="s">
        <v>3009</v>
      </c>
      <c r="N415" s="1">
        <v>44</v>
      </c>
      <c r="O415" s="1" t="s">
        <v>976</v>
      </c>
      <c r="P415" s="5">
        <v>396.18</v>
      </c>
      <c r="Q415" s="5">
        <v>0</v>
      </c>
      <c r="R415" s="5">
        <v>390</v>
      </c>
      <c r="S415" s="5">
        <v>6.18</v>
      </c>
      <c r="T415" s="5" t="s">
        <v>24</v>
      </c>
      <c r="U415" s="5" t="s">
        <v>2482</v>
      </c>
      <c r="V415" s="5" t="s">
        <v>895</v>
      </c>
      <c r="AB415"/>
      <c r="AC415"/>
      <c r="AD415"/>
    </row>
    <row r="416" spans="1:30" x14ac:dyDescent="0.25">
      <c r="A416" t="s">
        <v>4068</v>
      </c>
      <c r="B416" t="s">
        <v>4069</v>
      </c>
      <c r="C416" s="9" t="s">
        <v>4070</v>
      </c>
      <c r="D416" s="9">
        <v>982457130</v>
      </c>
      <c r="E416" s="5" t="s">
        <v>3003</v>
      </c>
      <c r="F416" s="1" t="s">
        <v>3004</v>
      </c>
      <c r="G416" s="25">
        <v>44142</v>
      </c>
      <c r="H416" s="1" t="s">
        <v>3897</v>
      </c>
      <c r="I416" s="14" t="s">
        <v>1254</v>
      </c>
      <c r="J416" s="1" t="s">
        <v>3006</v>
      </c>
      <c r="K416" s="14" t="s">
        <v>3007</v>
      </c>
      <c r="L416" s="1" t="s">
        <v>3008</v>
      </c>
      <c r="M416" s="1" t="s">
        <v>3009</v>
      </c>
      <c r="N416" s="1">
        <v>44</v>
      </c>
      <c r="O416" s="1" t="s">
        <v>976</v>
      </c>
      <c r="P416" s="5">
        <v>700.92</v>
      </c>
      <c r="Q416" s="5">
        <v>0</v>
      </c>
      <c r="R416" s="5">
        <v>690</v>
      </c>
      <c r="S416" s="5">
        <v>10.92</v>
      </c>
      <c r="T416" s="5" t="s">
        <v>24</v>
      </c>
      <c r="U416" s="5" t="s">
        <v>2443</v>
      </c>
      <c r="V416" s="5" t="s">
        <v>912</v>
      </c>
      <c r="AB416"/>
      <c r="AC416"/>
      <c r="AD416"/>
    </row>
    <row r="417" spans="1:30" x14ac:dyDescent="0.25">
      <c r="A417" t="s">
        <v>4072</v>
      </c>
      <c r="B417" t="s">
        <v>4073</v>
      </c>
      <c r="C417" s="9" t="s">
        <v>4074</v>
      </c>
      <c r="D417" s="9" t="s">
        <v>4075</v>
      </c>
      <c r="E417" s="5" t="s">
        <v>3013</v>
      </c>
      <c r="F417" s="1" t="s">
        <v>3067</v>
      </c>
      <c r="G417" s="25">
        <v>44465</v>
      </c>
      <c r="H417" s="1" t="s">
        <v>3015</v>
      </c>
      <c r="I417" s="14" t="s">
        <v>252</v>
      </c>
      <c r="J417" s="1" t="s">
        <v>3006</v>
      </c>
      <c r="K417" s="14" t="s">
        <v>3007</v>
      </c>
      <c r="L417" s="1" t="s">
        <v>3008</v>
      </c>
      <c r="M417" s="1" t="s">
        <v>3016</v>
      </c>
      <c r="N417" s="1">
        <v>975</v>
      </c>
      <c r="O417" s="1" t="s">
        <v>976</v>
      </c>
      <c r="P417" s="5">
        <v>1370.59</v>
      </c>
      <c r="Q417" s="5">
        <v>0</v>
      </c>
      <c r="R417" s="5">
        <v>1330</v>
      </c>
      <c r="S417" s="5">
        <v>40.590000000000003</v>
      </c>
      <c r="T417" s="5" t="s">
        <v>22</v>
      </c>
      <c r="V417" s="5" t="s">
        <v>252</v>
      </c>
      <c r="AB417"/>
      <c r="AC417"/>
      <c r="AD417"/>
    </row>
    <row r="418" spans="1:30" x14ac:dyDescent="0.25">
      <c r="A418" t="s">
        <v>4076</v>
      </c>
      <c r="B418" t="s">
        <v>4077</v>
      </c>
      <c r="C418" s="9" t="s">
        <v>4078</v>
      </c>
      <c r="D418" s="9">
        <v>99643728</v>
      </c>
      <c r="E418" s="5" t="s">
        <v>3013</v>
      </c>
      <c r="F418" s="1" t="s">
        <v>3067</v>
      </c>
      <c r="G418" s="25">
        <v>44381</v>
      </c>
      <c r="H418" s="1" t="s">
        <v>3075</v>
      </c>
      <c r="I418" s="14" t="s">
        <v>2791</v>
      </c>
      <c r="J418" s="1" t="s">
        <v>3006</v>
      </c>
      <c r="K418" s="14" t="s">
        <v>3007</v>
      </c>
      <c r="L418" s="1" t="s">
        <v>3008</v>
      </c>
      <c r="M418" s="1" t="s">
        <v>3009</v>
      </c>
      <c r="N418" s="1">
        <v>583</v>
      </c>
      <c r="O418" s="1" t="s">
        <v>976</v>
      </c>
      <c r="P418" s="5">
        <v>1240.5899999999999</v>
      </c>
      <c r="Q418" s="5">
        <v>0</v>
      </c>
      <c r="R418" s="5">
        <v>1200</v>
      </c>
      <c r="S418" s="5">
        <v>40.590000000000003</v>
      </c>
      <c r="T418" s="5" t="s">
        <v>22</v>
      </c>
      <c r="U418" s="5" t="s">
        <v>2443</v>
      </c>
      <c r="V418" s="5" t="s">
        <v>763</v>
      </c>
      <c r="AB418"/>
      <c r="AC418"/>
      <c r="AD418"/>
    </row>
    <row r="419" spans="1:30" x14ac:dyDescent="0.25">
      <c r="A419" t="s">
        <v>4079</v>
      </c>
      <c r="B419" t="s">
        <v>4080</v>
      </c>
      <c r="C419" s="9" t="s">
        <v>4081</v>
      </c>
      <c r="D419" s="9" t="s">
        <v>4082</v>
      </c>
      <c r="E419" s="5" t="s">
        <v>3514</v>
      </c>
      <c r="F419" s="1" t="s">
        <v>4083</v>
      </c>
      <c r="G419" s="25">
        <v>44539</v>
      </c>
      <c r="H419" s="1" t="s">
        <v>3129</v>
      </c>
      <c r="I419" s="14" t="s">
        <v>2790</v>
      </c>
      <c r="J419" s="1" t="s">
        <v>3006</v>
      </c>
      <c r="K419" s="14" t="s">
        <v>3007</v>
      </c>
      <c r="L419" s="1" t="s">
        <v>3008</v>
      </c>
      <c r="M419" s="1" t="s">
        <v>3016</v>
      </c>
      <c r="N419" s="1">
        <v>1404</v>
      </c>
      <c r="O419" s="1" t="s">
        <v>976</v>
      </c>
      <c r="P419" s="5">
        <v>1778.84</v>
      </c>
      <c r="Q419" s="5">
        <v>0</v>
      </c>
      <c r="R419" s="5">
        <v>1750</v>
      </c>
      <c r="S419" s="5">
        <v>28.84</v>
      </c>
      <c r="T419" s="5" t="s">
        <v>5574</v>
      </c>
      <c r="U419" s="5" t="s">
        <v>2482</v>
      </c>
      <c r="V419" s="5" t="s">
        <v>246</v>
      </c>
      <c r="AB419"/>
      <c r="AC419"/>
      <c r="AD419"/>
    </row>
    <row r="420" spans="1:30" x14ac:dyDescent="0.25">
      <c r="A420" t="s">
        <v>4079</v>
      </c>
      <c r="B420" t="s">
        <v>4080</v>
      </c>
      <c r="C420" s="9" t="s">
        <v>4081</v>
      </c>
      <c r="D420" s="9" t="s">
        <v>4082</v>
      </c>
      <c r="E420" s="5" t="s">
        <v>3514</v>
      </c>
      <c r="F420" s="1" t="s">
        <v>4083</v>
      </c>
      <c r="G420" s="25">
        <v>44539</v>
      </c>
      <c r="H420" s="1" t="s">
        <v>3027</v>
      </c>
      <c r="I420" s="14" t="s">
        <v>254</v>
      </c>
      <c r="J420" s="1" t="s">
        <v>3006</v>
      </c>
      <c r="K420" s="14" t="s">
        <v>3007</v>
      </c>
      <c r="L420" s="1" t="s">
        <v>3008</v>
      </c>
      <c r="M420" s="1" t="s">
        <v>3016</v>
      </c>
      <c r="N420" s="1">
        <v>1404</v>
      </c>
      <c r="O420" s="1" t="s">
        <v>976</v>
      </c>
      <c r="P420" s="5">
        <v>1692.44</v>
      </c>
      <c r="Q420" s="5">
        <v>0</v>
      </c>
      <c r="R420" s="5">
        <v>1665</v>
      </c>
      <c r="S420" s="5">
        <v>27.44</v>
      </c>
      <c r="T420" s="5" t="s">
        <v>22</v>
      </c>
      <c r="V420" s="5" t="s">
        <v>254</v>
      </c>
      <c r="AB420"/>
      <c r="AC420"/>
      <c r="AD420"/>
    </row>
    <row r="421" spans="1:30" x14ac:dyDescent="0.25">
      <c r="A421" t="s">
        <v>4084</v>
      </c>
      <c r="B421" t="s">
        <v>4085</v>
      </c>
      <c r="C421" s="9" t="s">
        <v>4086</v>
      </c>
      <c r="D421" s="9">
        <v>11993789339</v>
      </c>
      <c r="E421" s="5" t="s">
        <v>3003</v>
      </c>
      <c r="F421" s="1" t="s">
        <v>3004</v>
      </c>
      <c r="G421" s="25">
        <v>44393</v>
      </c>
      <c r="H421" s="1" t="s">
        <v>3351</v>
      </c>
      <c r="I421" s="14" t="s">
        <v>540</v>
      </c>
      <c r="J421" s="1" t="s">
        <v>3006</v>
      </c>
      <c r="K421" s="14" t="s">
        <v>3007</v>
      </c>
      <c r="L421" s="1" t="s">
        <v>3008</v>
      </c>
      <c r="M421" s="1" t="s">
        <v>3016</v>
      </c>
      <c r="N421" s="1">
        <v>639</v>
      </c>
      <c r="O421" s="1" t="s">
        <v>976</v>
      </c>
      <c r="P421" s="5">
        <v>503.52</v>
      </c>
      <c r="Q421" s="5">
        <v>0</v>
      </c>
      <c r="R421" s="5">
        <v>490</v>
      </c>
      <c r="S421" s="5">
        <v>13.52</v>
      </c>
      <c r="T421" s="5" t="s">
        <v>23</v>
      </c>
      <c r="V421" s="5" t="s">
        <v>540</v>
      </c>
      <c r="AB421"/>
      <c r="AC421"/>
      <c r="AD421"/>
    </row>
    <row r="422" spans="1:30" x14ac:dyDescent="0.25">
      <c r="A422" t="s">
        <v>4087</v>
      </c>
      <c r="B422" t="s">
        <v>4088</v>
      </c>
      <c r="C422" s="9" t="s">
        <v>4089</v>
      </c>
      <c r="D422" s="9">
        <v>996250085</v>
      </c>
      <c r="E422" s="5" t="s">
        <v>3003</v>
      </c>
      <c r="F422" s="1" t="s">
        <v>3004</v>
      </c>
      <c r="G422" s="25">
        <v>44354</v>
      </c>
      <c r="H422" s="1" t="s">
        <v>3015</v>
      </c>
      <c r="I422" s="14" t="s">
        <v>252</v>
      </c>
      <c r="J422" s="1" t="s">
        <v>3006</v>
      </c>
      <c r="K422" s="14" t="s">
        <v>3007</v>
      </c>
      <c r="L422" s="1" t="s">
        <v>3008</v>
      </c>
      <c r="M422" s="1" t="s">
        <v>3009</v>
      </c>
      <c r="N422" s="1">
        <v>486</v>
      </c>
      <c r="O422" s="1" t="s">
        <v>976</v>
      </c>
      <c r="P422" s="5">
        <v>1200</v>
      </c>
      <c r="Q422" s="5">
        <v>0</v>
      </c>
      <c r="R422" s="5">
        <v>1200</v>
      </c>
      <c r="S422" s="5">
        <v>0</v>
      </c>
      <c r="T422" s="5" t="s">
        <v>22</v>
      </c>
      <c r="V422" s="5" t="s">
        <v>252</v>
      </c>
      <c r="AB422"/>
      <c r="AC422"/>
      <c r="AD422"/>
    </row>
    <row r="423" spans="1:30" x14ac:dyDescent="0.25">
      <c r="A423" t="s">
        <v>4087</v>
      </c>
      <c r="B423" t="s">
        <v>4088</v>
      </c>
      <c r="C423" s="9" t="s">
        <v>4089</v>
      </c>
      <c r="D423" s="9">
        <v>996250085</v>
      </c>
      <c r="E423" s="5" t="s">
        <v>3003</v>
      </c>
      <c r="F423" s="1" t="s">
        <v>3004</v>
      </c>
      <c r="G423" s="25">
        <v>44557</v>
      </c>
      <c r="H423" s="1" t="s">
        <v>3075</v>
      </c>
      <c r="I423" s="14" t="s">
        <v>2791</v>
      </c>
      <c r="J423" s="1" t="s">
        <v>3006</v>
      </c>
      <c r="K423" s="14" t="s">
        <v>3007</v>
      </c>
      <c r="L423" s="1" t="s">
        <v>3008</v>
      </c>
      <c r="M423" s="1" t="s">
        <v>3009</v>
      </c>
      <c r="N423" s="1">
        <v>1552</v>
      </c>
      <c r="O423" s="1" t="s">
        <v>976</v>
      </c>
      <c r="P423" s="5">
        <v>1498.5</v>
      </c>
      <c r="Q423" s="5">
        <v>166.5</v>
      </c>
      <c r="R423" s="5">
        <v>1665</v>
      </c>
      <c r="S423" s="5">
        <v>0</v>
      </c>
      <c r="T423" s="5" t="s">
        <v>22</v>
      </c>
      <c r="U423" s="5" t="s">
        <v>2443</v>
      </c>
      <c r="V423" s="5" t="s">
        <v>763</v>
      </c>
      <c r="AB423"/>
      <c r="AC423"/>
      <c r="AD423"/>
    </row>
    <row r="424" spans="1:30" x14ac:dyDescent="0.25">
      <c r="A424" t="s">
        <v>4090</v>
      </c>
      <c r="B424" t="s">
        <v>4091</v>
      </c>
      <c r="C424" s="9" t="s">
        <v>4092</v>
      </c>
      <c r="D424" s="9">
        <v>996670505</v>
      </c>
      <c r="E424" s="5" t="s">
        <v>3003</v>
      </c>
      <c r="F424" s="1" t="s">
        <v>4093</v>
      </c>
      <c r="G424" s="25">
        <v>44351</v>
      </c>
      <c r="H424" s="1" t="s">
        <v>4094</v>
      </c>
      <c r="I424" s="14" t="s">
        <v>2823</v>
      </c>
      <c r="J424" s="1" t="s">
        <v>3006</v>
      </c>
      <c r="K424" s="14" t="s">
        <v>3007</v>
      </c>
      <c r="L424" s="1" t="s">
        <v>3008</v>
      </c>
      <c r="M424" s="1" t="s">
        <v>3016</v>
      </c>
      <c r="N424" s="1">
        <v>471</v>
      </c>
      <c r="O424" s="1" t="s">
        <v>976</v>
      </c>
      <c r="P424" s="5">
        <v>246.18</v>
      </c>
      <c r="Q424" s="5">
        <v>0</v>
      </c>
      <c r="R424" s="5">
        <v>230</v>
      </c>
      <c r="S424" s="5">
        <v>16.18</v>
      </c>
      <c r="T424" s="5" t="s">
        <v>21</v>
      </c>
      <c r="U424" s="5" t="s">
        <v>2459</v>
      </c>
      <c r="V424" s="5" t="s">
        <v>804</v>
      </c>
      <c r="AB424"/>
      <c r="AC424"/>
      <c r="AD424"/>
    </row>
    <row r="425" spans="1:30" x14ac:dyDescent="0.25">
      <c r="A425" t="s">
        <v>4095</v>
      </c>
      <c r="B425" t="s">
        <v>4096</v>
      </c>
      <c r="C425" s="9" t="s">
        <v>4097</v>
      </c>
      <c r="D425" s="9">
        <v>989809549</v>
      </c>
      <c r="E425" s="5" t="s">
        <v>3003</v>
      </c>
      <c r="F425" s="1" t="s">
        <v>3004</v>
      </c>
      <c r="G425" s="25">
        <v>44578</v>
      </c>
      <c r="H425" s="1" t="s">
        <v>3075</v>
      </c>
      <c r="I425" s="14" t="s">
        <v>2791</v>
      </c>
      <c r="J425" s="1" t="s">
        <v>3006</v>
      </c>
      <c r="K425" s="14" t="s">
        <v>3007</v>
      </c>
      <c r="L425" s="1" t="s">
        <v>3008</v>
      </c>
      <c r="M425" s="1" t="s">
        <v>3009</v>
      </c>
      <c r="N425" s="1">
        <v>1666</v>
      </c>
      <c r="O425" s="1" t="s">
        <v>976</v>
      </c>
      <c r="P425" s="5">
        <v>1520.29</v>
      </c>
      <c r="Q425" s="5">
        <v>166.5</v>
      </c>
      <c r="R425" s="5">
        <v>1665</v>
      </c>
      <c r="S425" s="5">
        <v>21.79</v>
      </c>
      <c r="T425" s="5" t="s">
        <v>22</v>
      </c>
      <c r="U425" s="5" t="s">
        <v>2443</v>
      </c>
      <c r="V425" s="5" t="s">
        <v>763</v>
      </c>
      <c r="AB425"/>
      <c r="AC425"/>
      <c r="AD425"/>
    </row>
    <row r="426" spans="1:30" x14ac:dyDescent="0.25">
      <c r="A426" t="s">
        <v>4098</v>
      </c>
      <c r="B426" t="s">
        <v>4099</v>
      </c>
      <c r="C426" s="9" t="s">
        <v>4100</v>
      </c>
      <c r="D426" s="9">
        <v>999622101</v>
      </c>
      <c r="E426" s="5" t="s">
        <v>3003</v>
      </c>
      <c r="F426" s="1" t="s">
        <v>3004</v>
      </c>
      <c r="G426" s="25">
        <v>44517</v>
      </c>
      <c r="H426" s="1" t="s">
        <v>3015</v>
      </c>
      <c r="I426" s="14" t="s">
        <v>252</v>
      </c>
      <c r="J426" s="1" t="s">
        <v>3006</v>
      </c>
      <c r="K426" s="14" t="s">
        <v>3007</v>
      </c>
      <c r="L426" s="1" t="s">
        <v>3008</v>
      </c>
      <c r="M426" s="1" t="s">
        <v>3009</v>
      </c>
      <c r="N426" s="1">
        <v>1215</v>
      </c>
      <c r="O426" s="1" t="s">
        <v>976</v>
      </c>
      <c r="P426" s="5">
        <v>1405</v>
      </c>
      <c r="Q426" s="5">
        <v>0</v>
      </c>
      <c r="R426" s="5">
        <v>1380</v>
      </c>
      <c r="S426" s="5">
        <v>25</v>
      </c>
      <c r="T426" s="5" t="s">
        <v>22</v>
      </c>
      <c r="V426" s="5" t="s">
        <v>252</v>
      </c>
      <c r="AB426"/>
      <c r="AC426"/>
      <c r="AD426"/>
    </row>
    <row r="427" spans="1:30" x14ac:dyDescent="0.25">
      <c r="A427" t="s">
        <v>4101</v>
      </c>
      <c r="B427" t="s">
        <v>4102</v>
      </c>
      <c r="C427" s="9" t="s">
        <v>4103</v>
      </c>
      <c r="D427" s="9">
        <v>37988240041</v>
      </c>
      <c r="E427" s="5" t="s">
        <v>3133</v>
      </c>
      <c r="F427" s="1" t="s">
        <v>4104</v>
      </c>
      <c r="G427" s="25">
        <v>44365</v>
      </c>
      <c r="H427" s="1" t="s">
        <v>3334</v>
      </c>
      <c r="I427" s="14" t="s">
        <v>493</v>
      </c>
      <c r="J427" s="1" t="s">
        <v>3006</v>
      </c>
      <c r="K427" s="14" t="s">
        <v>3007</v>
      </c>
      <c r="L427" s="1" t="s">
        <v>3008</v>
      </c>
      <c r="M427" s="1" t="s">
        <v>3016</v>
      </c>
      <c r="N427" s="1">
        <v>530</v>
      </c>
      <c r="O427" s="1" t="s">
        <v>976</v>
      </c>
      <c r="P427" s="5">
        <v>30</v>
      </c>
      <c r="Q427" s="5">
        <v>260</v>
      </c>
      <c r="R427" s="5">
        <v>290</v>
      </c>
      <c r="S427" s="5">
        <v>0</v>
      </c>
      <c r="T427" s="5" t="s">
        <v>23</v>
      </c>
      <c r="V427" s="5" t="s">
        <v>493</v>
      </c>
      <c r="AB427"/>
      <c r="AC427"/>
      <c r="AD427"/>
    </row>
    <row r="428" spans="1:30" x14ac:dyDescent="0.25">
      <c r="A428" t="s">
        <v>4101</v>
      </c>
      <c r="B428" t="s">
        <v>4102</v>
      </c>
      <c r="C428" s="9" t="s">
        <v>4103</v>
      </c>
      <c r="D428" s="9">
        <v>37988240041</v>
      </c>
      <c r="E428" s="5" t="s">
        <v>3133</v>
      </c>
      <c r="F428" s="1" t="s">
        <v>4104</v>
      </c>
      <c r="G428" s="25">
        <v>44365</v>
      </c>
      <c r="H428" s="1" t="s">
        <v>3335</v>
      </c>
      <c r="I428" s="14" t="s">
        <v>499</v>
      </c>
      <c r="J428" s="1" t="s">
        <v>3006</v>
      </c>
      <c r="K428" s="14" t="s">
        <v>3007</v>
      </c>
      <c r="L428" s="1" t="s">
        <v>3008</v>
      </c>
      <c r="M428" s="1" t="s">
        <v>3016</v>
      </c>
      <c r="N428" s="1">
        <v>530</v>
      </c>
      <c r="O428" s="1" t="s">
        <v>976</v>
      </c>
      <c r="P428" s="5">
        <v>30</v>
      </c>
      <c r="Q428" s="5">
        <v>260</v>
      </c>
      <c r="R428" s="5">
        <v>290</v>
      </c>
      <c r="S428" s="5">
        <v>0</v>
      </c>
      <c r="T428" s="5" t="s">
        <v>23</v>
      </c>
      <c r="V428" s="5" t="s">
        <v>499</v>
      </c>
      <c r="AB428"/>
      <c r="AC428"/>
      <c r="AD428"/>
    </row>
    <row r="429" spans="1:30" x14ac:dyDescent="0.25">
      <c r="A429" t="s">
        <v>4105</v>
      </c>
      <c r="B429" t="s">
        <v>4106</v>
      </c>
      <c r="C429" s="9" t="s">
        <v>4107</v>
      </c>
      <c r="D429" s="9">
        <v>991462869</v>
      </c>
      <c r="E429" s="5" t="s">
        <v>3003</v>
      </c>
      <c r="F429" s="1" t="s">
        <v>3004</v>
      </c>
      <c r="G429" s="25">
        <v>44531</v>
      </c>
      <c r="H429" s="1" t="s">
        <v>4108</v>
      </c>
      <c r="I429" s="14" t="s">
        <v>2921</v>
      </c>
      <c r="J429" s="1" t="s">
        <v>3006</v>
      </c>
      <c r="K429" s="14" t="s">
        <v>3007</v>
      </c>
      <c r="L429" s="1" t="s">
        <v>3008</v>
      </c>
      <c r="M429" s="1" t="s">
        <v>3016</v>
      </c>
      <c r="N429" s="1">
        <v>1341</v>
      </c>
      <c r="O429" s="1" t="s">
        <v>976</v>
      </c>
      <c r="P429" s="5">
        <v>382.8</v>
      </c>
      <c r="Q429" s="5">
        <v>0</v>
      </c>
      <c r="R429" s="5">
        <v>370</v>
      </c>
      <c r="S429" s="5">
        <v>12.8</v>
      </c>
      <c r="T429" s="5" t="s">
        <v>22</v>
      </c>
      <c r="U429" s="5" t="s">
        <v>2433</v>
      </c>
      <c r="V429" s="5" t="s">
        <v>913</v>
      </c>
      <c r="AB429"/>
      <c r="AC429"/>
      <c r="AD429"/>
    </row>
    <row r="430" spans="1:30" x14ac:dyDescent="0.25">
      <c r="A430" t="s">
        <v>4109</v>
      </c>
      <c r="B430" t="s">
        <v>4110</v>
      </c>
      <c r="C430" s="9" t="s">
        <v>4111</v>
      </c>
      <c r="D430" s="9">
        <v>993841857</v>
      </c>
      <c r="E430" s="5" t="s">
        <v>3041</v>
      </c>
      <c r="F430" s="1" t="s">
        <v>3042</v>
      </c>
      <c r="G430" s="25">
        <v>44550</v>
      </c>
      <c r="H430" s="1" t="s">
        <v>3109</v>
      </c>
      <c r="I430" s="14" t="s">
        <v>2790</v>
      </c>
      <c r="J430" s="1" t="s">
        <v>3006</v>
      </c>
      <c r="K430" s="14" t="s">
        <v>3007</v>
      </c>
      <c r="L430" s="1" t="s">
        <v>3008</v>
      </c>
      <c r="M430" s="1" t="s">
        <v>3016</v>
      </c>
      <c r="N430" s="1">
        <v>1513</v>
      </c>
      <c r="O430" s="1" t="s">
        <v>976</v>
      </c>
      <c r="P430" s="5">
        <v>1612.45</v>
      </c>
      <c r="Q430" s="5">
        <v>175</v>
      </c>
      <c r="R430" s="5">
        <v>1750</v>
      </c>
      <c r="S430" s="5">
        <v>37.450000000000003</v>
      </c>
      <c r="T430" s="5" t="s">
        <v>5574</v>
      </c>
      <c r="U430" s="5" t="s">
        <v>2447</v>
      </c>
      <c r="V430" s="5" t="s">
        <v>244</v>
      </c>
      <c r="AB430"/>
      <c r="AC430"/>
      <c r="AD430"/>
    </row>
    <row r="431" spans="1:30" x14ac:dyDescent="0.25">
      <c r="A431" t="s">
        <v>4112</v>
      </c>
      <c r="B431" t="s">
        <v>4113</v>
      </c>
      <c r="C431" s="9" t="s">
        <v>4114</v>
      </c>
      <c r="D431" s="9">
        <v>974771964</v>
      </c>
      <c r="E431" s="5" t="s">
        <v>3003</v>
      </c>
      <c r="F431" s="1" t="s">
        <v>3004</v>
      </c>
      <c r="G431" s="25">
        <v>44320</v>
      </c>
      <c r="H431" s="1" t="s">
        <v>4115</v>
      </c>
      <c r="I431" s="14" t="s">
        <v>2805</v>
      </c>
      <c r="J431" s="1" t="s">
        <v>3006</v>
      </c>
      <c r="K431" s="14" t="s">
        <v>3007</v>
      </c>
      <c r="L431" s="1" t="s">
        <v>3008</v>
      </c>
      <c r="M431" s="1" t="s">
        <v>3009</v>
      </c>
      <c r="N431" s="1">
        <v>380</v>
      </c>
      <c r="O431" s="1" t="s">
        <v>976</v>
      </c>
      <c r="P431" s="5">
        <v>446.5</v>
      </c>
      <c r="Q431" s="5">
        <v>23.5</v>
      </c>
      <c r="R431" s="5">
        <v>470</v>
      </c>
      <c r="S431" s="5">
        <v>0</v>
      </c>
      <c r="T431" s="5">
        <v>36</v>
      </c>
      <c r="U431" s="5" t="s">
        <v>2443</v>
      </c>
      <c r="V431" s="5" t="s">
        <v>776</v>
      </c>
      <c r="AB431"/>
      <c r="AC431"/>
      <c r="AD431"/>
    </row>
    <row r="432" spans="1:30" x14ac:dyDescent="0.25">
      <c r="A432" t="s">
        <v>4116</v>
      </c>
      <c r="B432" t="s">
        <v>4117</v>
      </c>
      <c r="C432" s="9" t="s">
        <v>4118</v>
      </c>
      <c r="D432" s="9" t="s">
        <v>4119</v>
      </c>
      <c r="E432" s="5" t="s">
        <v>3041</v>
      </c>
      <c r="F432" s="1" t="s">
        <v>3042</v>
      </c>
      <c r="G432" s="25">
        <v>44144</v>
      </c>
      <c r="H432" s="1" t="s">
        <v>3769</v>
      </c>
      <c r="I432" s="14" t="s">
        <v>1254</v>
      </c>
      <c r="J432" s="1" t="s">
        <v>3006</v>
      </c>
      <c r="K432" s="14" t="s">
        <v>3007</v>
      </c>
      <c r="L432" s="1" t="s">
        <v>3614</v>
      </c>
      <c r="M432" s="1" t="s">
        <v>3009</v>
      </c>
      <c r="N432" s="1">
        <v>47</v>
      </c>
      <c r="O432" s="1" t="s">
        <v>976</v>
      </c>
      <c r="P432" s="5">
        <v>690</v>
      </c>
      <c r="Q432" s="5">
        <v>0</v>
      </c>
      <c r="R432" s="5">
        <v>690</v>
      </c>
      <c r="S432" s="5">
        <v>0</v>
      </c>
      <c r="T432" s="5" t="s">
        <v>22</v>
      </c>
      <c r="U432" s="5" t="s">
        <v>2443</v>
      </c>
      <c r="V432" s="5" t="s">
        <v>912</v>
      </c>
      <c r="AB432"/>
      <c r="AC432"/>
      <c r="AD432"/>
    </row>
    <row r="433" spans="1:30" x14ac:dyDescent="0.25">
      <c r="A433" t="s">
        <v>4120</v>
      </c>
      <c r="B433" t="s">
        <v>4121</v>
      </c>
      <c r="C433" s="9" t="s">
        <v>4122</v>
      </c>
      <c r="D433" s="9" t="s">
        <v>4123</v>
      </c>
      <c r="E433" s="5" t="s">
        <v>3003</v>
      </c>
      <c r="F433" s="1" t="s">
        <v>3004</v>
      </c>
      <c r="G433" s="25">
        <v>44384</v>
      </c>
      <c r="H433" s="1" t="s">
        <v>4124</v>
      </c>
      <c r="I433" s="14" t="s">
        <v>574</v>
      </c>
      <c r="J433" s="1" t="s">
        <v>3006</v>
      </c>
      <c r="K433" s="14" t="s">
        <v>3007</v>
      </c>
      <c r="L433" s="1" t="s">
        <v>3008</v>
      </c>
      <c r="M433" s="1" t="s">
        <v>3016</v>
      </c>
      <c r="N433" s="1">
        <v>602</v>
      </c>
      <c r="O433" s="1" t="s">
        <v>976</v>
      </c>
      <c r="P433" s="5">
        <v>470</v>
      </c>
      <c r="Q433" s="5">
        <v>0</v>
      </c>
      <c r="R433" s="5">
        <v>470</v>
      </c>
      <c r="S433" s="5">
        <v>0</v>
      </c>
      <c r="T433" s="5">
        <v>46</v>
      </c>
      <c r="V433" s="5" t="s">
        <v>574</v>
      </c>
      <c r="AB433"/>
      <c r="AC433"/>
      <c r="AD433"/>
    </row>
    <row r="434" spans="1:30" x14ac:dyDescent="0.25">
      <c r="A434" t="s">
        <v>4120</v>
      </c>
      <c r="B434" t="s">
        <v>4121</v>
      </c>
      <c r="C434" s="9" t="s">
        <v>4122</v>
      </c>
      <c r="D434" s="9" t="s">
        <v>4123</v>
      </c>
      <c r="E434" s="5" t="s">
        <v>3003</v>
      </c>
      <c r="F434" s="1" t="s">
        <v>3004</v>
      </c>
      <c r="G434" s="25">
        <v>44384</v>
      </c>
      <c r="H434" s="1" t="s">
        <v>4125</v>
      </c>
      <c r="I434" s="14" t="s">
        <v>2829</v>
      </c>
      <c r="J434" s="1" t="s">
        <v>3006</v>
      </c>
      <c r="K434" s="14" t="s">
        <v>3007</v>
      </c>
      <c r="L434" s="1" t="s">
        <v>3008</v>
      </c>
      <c r="M434" s="1" t="s">
        <v>3016</v>
      </c>
      <c r="N434" s="1">
        <v>602</v>
      </c>
      <c r="O434" s="1" t="s">
        <v>976</v>
      </c>
      <c r="P434" s="5">
        <v>2300</v>
      </c>
      <c r="Q434" s="5">
        <v>0</v>
      </c>
      <c r="R434" s="5">
        <v>2300</v>
      </c>
      <c r="S434" s="5">
        <v>0</v>
      </c>
      <c r="T434" s="5" t="s">
        <v>25</v>
      </c>
      <c r="U434" s="5" t="s">
        <v>2472</v>
      </c>
      <c r="V434" s="5" t="s">
        <v>814</v>
      </c>
      <c r="AB434"/>
      <c r="AC434"/>
      <c r="AD434"/>
    </row>
    <row r="435" spans="1:30" x14ac:dyDescent="0.25">
      <c r="A435" t="s">
        <v>4120</v>
      </c>
      <c r="B435" t="s">
        <v>4121</v>
      </c>
      <c r="C435" s="9" t="s">
        <v>4122</v>
      </c>
      <c r="D435" s="9" t="s">
        <v>4123</v>
      </c>
      <c r="E435" s="5" t="s">
        <v>3003</v>
      </c>
      <c r="F435" s="1" t="s">
        <v>3004</v>
      </c>
      <c r="G435" s="25">
        <v>44457</v>
      </c>
      <c r="H435" s="1" t="s">
        <v>4126</v>
      </c>
      <c r="I435" s="14" t="s">
        <v>2930</v>
      </c>
      <c r="J435" s="1" t="s">
        <v>3006</v>
      </c>
      <c r="K435" s="14" t="s">
        <v>3007</v>
      </c>
      <c r="L435" s="1" t="s">
        <v>3008</v>
      </c>
      <c r="M435" s="1" t="s">
        <v>3016</v>
      </c>
      <c r="N435" s="1">
        <v>941</v>
      </c>
      <c r="O435" s="1" t="s">
        <v>976</v>
      </c>
      <c r="P435" s="5">
        <v>575</v>
      </c>
      <c r="Q435" s="5">
        <v>0</v>
      </c>
      <c r="R435" s="5">
        <v>575</v>
      </c>
      <c r="S435" s="5">
        <v>0</v>
      </c>
      <c r="T435" s="5" t="s">
        <v>25</v>
      </c>
      <c r="U435" s="5" t="s">
        <v>2443</v>
      </c>
      <c r="V435" s="5" t="s">
        <v>920</v>
      </c>
      <c r="AB435"/>
      <c r="AC435"/>
      <c r="AD435"/>
    </row>
    <row r="436" spans="1:30" x14ac:dyDescent="0.25">
      <c r="A436" t="s">
        <v>4127</v>
      </c>
      <c r="B436" t="s">
        <v>4128</v>
      </c>
      <c r="C436" s="9" t="s">
        <v>4129</v>
      </c>
      <c r="D436" s="9" t="s">
        <v>4130</v>
      </c>
      <c r="E436" s="5" t="s">
        <v>3003</v>
      </c>
      <c r="F436" s="1" t="s">
        <v>3004</v>
      </c>
      <c r="G436" s="25">
        <v>44554</v>
      </c>
      <c r="H436" s="1" t="s">
        <v>3392</v>
      </c>
      <c r="I436" s="14" t="s">
        <v>297</v>
      </c>
      <c r="J436" s="1" t="s">
        <v>3006</v>
      </c>
      <c r="K436" s="14" t="s">
        <v>3007</v>
      </c>
      <c r="L436" s="1" t="s">
        <v>3008</v>
      </c>
      <c r="M436" s="1" t="s">
        <v>976</v>
      </c>
      <c r="N436" s="1">
        <v>1539</v>
      </c>
      <c r="O436" s="1" t="s">
        <v>976</v>
      </c>
      <c r="P436" s="5">
        <v>680</v>
      </c>
      <c r="Q436" s="5">
        <v>0</v>
      </c>
      <c r="R436" s="5">
        <v>680</v>
      </c>
      <c r="S436" s="5">
        <v>0</v>
      </c>
      <c r="T436" s="5" t="s">
        <v>23</v>
      </c>
      <c r="V436" s="5" t="s">
        <v>297</v>
      </c>
      <c r="AB436"/>
      <c r="AC436"/>
      <c r="AD436"/>
    </row>
    <row r="437" spans="1:30" x14ac:dyDescent="0.25">
      <c r="A437" t="s">
        <v>4127</v>
      </c>
      <c r="B437" t="s">
        <v>4128</v>
      </c>
      <c r="C437" s="9" t="s">
        <v>4129</v>
      </c>
      <c r="D437" s="9" t="s">
        <v>4130</v>
      </c>
      <c r="E437" s="5" t="s">
        <v>3003</v>
      </c>
      <c r="F437" s="1" t="s">
        <v>3004</v>
      </c>
      <c r="G437" s="25">
        <v>44554</v>
      </c>
      <c r="H437" s="1" t="s">
        <v>3363</v>
      </c>
      <c r="I437" s="14" t="s">
        <v>308</v>
      </c>
      <c r="J437" s="1" t="s">
        <v>3006</v>
      </c>
      <c r="K437" s="14" t="s">
        <v>3007</v>
      </c>
      <c r="L437" s="1" t="s">
        <v>3008</v>
      </c>
      <c r="M437" s="1" t="s">
        <v>976</v>
      </c>
      <c r="N437" s="1">
        <v>1539</v>
      </c>
      <c r="O437" s="1" t="s">
        <v>976</v>
      </c>
      <c r="P437" s="5">
        <v>790</v>
      </c>
      <c r="Q437" s="5">
        <v>0</v>
      </c>
      <c r="R437" s="5">
        <v>790</v>
      </c>
      <c r="S437" s="5">
        <v>0</v>
      </c>
      <c r="T437" s="5" t="s">
        <v>22</v>
      </c>
      <c r="V437" s="5" t="s">
        <v>308</v>
      </c>
      <c r="AB437"/>
      <c r="AC437"/>
      <c r="AD437"/>
    </row>
    <row r="438" spans="1:30" x14ac:dyDescent="0.25">
      <c r="A438" t="s">
        <v>4131</v>
      </c>
      <c r="B438" t="s">
        <v>4132</v>
      </c>
      <c r="C438" s="9" t="s">
        <v>3593</v>
      </c>
      <c r="D438" s="9">
        <v>943312530</v>
      </c>
      <c r="E438" s="5" t="s">
        <v>3003</v>
      </c>
      <c r="F438" s="1" t="s">
        <v>3004</v>
      </c>
      <c r="G438" s="25">
        <v>44378</v>
      </c>
      <c r="H438" s="1" t="s">
        <v>3504</v>
      </c>
      <c r="I438" s="14" t="s">
        <v>2874</v>
      </c>
      <c r="J438" s="1" t="s">
        <v>3006</v>
      </c>
      <c r="K438" s="14" t="s">
        <v>3007</v>
      </c>
      <c r="L438" s="1" t="s">
        <v>3008</v>
      </c>
      <c r="M438" s="1" t="s">
        <v>3009</v>
      </c>
      <c r="N438" s="1">
        <v>566</v>
      </c>
      <c r="O438" s="1" t="s">
        <v>976</v>
      </c>
      <c r="P438" s="5">
        <v>1063.29</v>
      </c>
      <c r="Q438" s="5">
        <v>336.71</v>
      </c>
      <c r="R438" s="5">
        <v>1400</v>
      </c>
      <c r="S438" s="5">
        <v>0</v>
      </c>
      <c r="T438" s="5" t="s">
        <v>23</v>
      </c>
      <c r="U438" s="5" t="s">
        <v>2482</v>
      </c>
      <c r="V438" s="5" t="s">
        <v>879</v>
      </c>
      <c r="AB438"/>
      <c r="AC438"/>
      <c r="AD438"/>
    </row>
    <row r="439" spans="1:30" x14ac:dyDescent="0.25">
      <c r="A439" t="s">
        <v>4131</v>
      </c>
      <c r="B439" t="s">
        <v>4132</v>
      </c>
      <c r="C439" s="9" t="s">
        <v>3593</v>
      </c>
      <c r="D439" s="9">
        <v>943312530</v>
      </c>
      <c r="E439" s="5" t="s">
        <v>3003</v>
      </c>
      <c r="F439" s="1" t="s">
        <v>3004</v>
      </c>
      <c r="G439" s="25">
        <v>44378</v>
      </c>
      <c r="H439" s="1" t="s">
        <v>3557</v>
      </c>
      <c r="I439" s="14" t="s">
        <v>2930</v>
      </c>
      <c r="J439" s="1" t="s">
        <v>3006</v>
      </c>
      <c r="K439" s="14" t="s">
        <v>3007</v>
      </c>
      <c r="L439" s="1" t="s">
        <v>3008</v>
      </c>
      <c r="M439" s="1" t="s">
        <v>3009</v>
      </c>
      <c r="N439" s="1">
        <v>566</v>
      </c>
      <c r="O439" s="1" t="s">
        <v>976</v>
      </c>
      <c r="P439" s="5">
        <v>436.71</v>
      </c>
      <c r="Q439" s="5">
        <v>138.29</v>
      </c>
      <c r="R439" s="5">
        <v>575</v>
      </c>
      <c r="S439" s="5">
        <v>0</v>
      </c>
      <c r="T439" s="5" t="s">
        <v>24</v>
      </c>
      <c r="U439" s="5" t="s">
        <v>2443</v>
      </c>
      <c r="V439" s="5" t="s">
        <v>920</v>
      </c>
      <c r="AB439"/>
      <c r="AC439"/>
      <c r="AD439"/>
    </row>
    <row r="440" spans="1:30" x14ac:dyDescent="0.25">
      <c r="A440" t="s">
        <v>4133</v>
      </c>
      <c r="B440" t="s">
        <v>4134</v>
      </c>
      <c r="C440" s="9" t="s">
        <v>4135</v>
      </c>
      <c r="D440" s="9" t="s">
        <v>4136</v>
      </c>
      <c r="E440" s="5" t="s">
        <v>3003</v>
      </c>
      <c r="F440" s="1" t="s">
        <v>3004</v>
      </c>
      <c r="G440" s="25">
        <v>44539</v>
      </c>
      <c r="H440" s="1" t="s">
        <v>3027</v>
      </c>
      <c r="I440" s="14" t="s">
        <v>254</v>
      </c>
      <c r="J440" s="1" t="s">
        <v>3006</v>
      </c>
      <c r="K440" s="14" t="s">
        <v>3007</v>
      </c>
      <c r="L440" s="1" t="s">
        <v>3008</v>
      </c>
      <c r="M440" s="1" t="s">
        <v>3009</v>
      </c>
      <c r="N440" s="1">
        <v>1406</v>
      </c>
      <c r="O440" s="1" t="s">
        <v>976</v>
      </c>
      <c r="P440" s="5">
        <v>1498.5</v>
      </c>
      <c r="Q440" s="5">
        <v>166.5</v>
      </c>
      <c r="R440" s="5">
        <v>1665</v>
      </c>
      <c r="S440" s="5">
        <v>0</v>
      </c>
      <c r="T440" s="5" t="s">
        <v>22</v>
      </c>
      <c r="V440" s="5" t="s">
        <v>254</v>
      </c>
      <c r="AB440"/>
      <c r="AC440"/>
      <c r="AD440"/>
    </row>
    <row r="441" spans="1:30" x14ac:dyDescent="0.25">
      <c r="A441" t="s">
        <v>4137</v>
      </c>
      <c r="B441" t="s">
        <v>4138</v>
      </c>
      <c r="C441" s="9" t="s">
        <v>4139</v>
      </c>
      <c r="D441" s="9">
        <v>999625220</v>
      </c>
      <c r="E441" s="5" t="s">
        <v>3733</v>
      </c>
      <c r="F441" s="1" t="s">
        <v>3734</v>
      </c>
      <c r="G441" s="25">
        <v>44430</v>
      </c>
      <c r="H441" s="1" t="s">
        <v>3109</v>
      </c>
      <c r="I441" s="14" t="s">
        <v>2790</v>
      </c>
      <c r="J441" s="1" t="s">
        <v>3006</v>
      </c>
      <c r="K441" s="14" t="s">
        <v>3007</v>
      </c>
      <c r="L441" s="1" t="s">
        <v>3008</v>
      </c>
      <c r="M441" s="1" t="s">
        <v>3016</v>
      </c>
      <c r="N441" s="1">
        <v>801</v>
      </c>
      <c r="O441" s="1" t="s">
        <v>976</v>
      </c>
      <c r="P441" s="5">
        <v>1604.87</v>
      </c>
      <c r="Q441" s="5">
        <v>175</v>
      </c>
      <c r="R441" s="5">
        <v>1750</v>
      </c>
      <c r="S441" s="5">
        <v>29.87</v>
      </c>
      <c r="T441" s="5" t="s">
        <v>5574</v>
      </c>
      <c r="U441" s="5" t="s">
        <v>2447</v>
      </c>
      <c r="V441" s="5" t="s">
        <v>244</v>
      </c>
      <c r="AB441"/>
      <c r="AC441"/>
      <c r="AD441"/>
    </row>
    <row r="442" spans="1:30" x14ac:dyDescent="0.25">
      <c r="A442" t="s">
        <v>4140</v>
      </c>
      <c r="B442" t="s">
        <v>4141</v>
      </c>
      <c r="C442" s="9" t="s">
        <v>4142</v>
      </c>
      <c r="D442" s="9">
        <v>949909314</v>
      </c>
      <c r="E442" s="5" t="s">
        <v>3003</v>
      </c>
      <c r="F442" s="1" t="s">
        <v>3004</v>
      </c>
      <c r="G442" s="25">
        <v>44327</v>
      </c>
      <c r="H442" s="1" t="s">
        <v>3298</v>
      </c>
      <c r="I442" s="14" t="s">
        <v>557</v>
      </c>
      <c r="J442" s="1" t="s">
        <v>3006</v>
      </c>
      <c r="K442" s="14" t="s">
        <v>3007</v>
      </c>
      <c r="L442" s="1" t="s">
        <v>3008</v>
      </c>
      <c r="M442" s="1" t="s">
        <v>3016</v>
      </c>
      <c r="N442" s="1">
        <v>409</v>
      </c>
      <c r="O442" s="1" t="s">
        <v>976</v>
      </c>
      <c r="P442" s="5">
        <v>120</v>
      </c>
      <c r="Q442" s="5">
        <v>0</v>
      </c>
      <c r="R442" s="5">
        <v>120</v>
      </c>
      <c r="S442" s="5">
        <v>0</v>
      </c>
      <c r="T442" s="5" t="s">
        <v>24</v>
      </c>
      <c r="V442" s="5" t="s">
        <v>557</v>
      </c>
      <c r="AB442"/>
      <c r="AC442"/>
      <c r="AD442"/>
    </row>
    <row r="443" spans="1:30" x14ac:dyDescent="0.25">
      <c r="A443" t="s">
        <v>4143</v>
      </c>
      <c r="B443" t="s">
        <v>4144</v>
      </c>
      <c r="C443" s="9" t="s">
        <v>4145</v>
      </c>
      <c r="D443" s="9">
        <v>988024887</v>
      </c>
      <c r="E443" s="5" t="s">
        <v>3107</v>
      </c>
      <c r="F443" s="1" t="s">
        <v>4146</v>
      </c>
      <c r="G443" s="25">
        <v>44194</v>
      </c>
      <c r="H443" s="1" t="s">
        <v>4147</v>
      </c>
      <c r="I443" s="14" t="s">
        <v>2841</v>
      </c>
      <c r="J443" s="1" t="s">
        <v>3006</v>
      </c>
      <c r="K443" s="14" t="s">
        <v>3007</v>
      </c>
      <c r="L443" s="1" t="s">
        <v>3008</v>
      </c>
      <c r="M443" s="1" t="s">
        <v>3016</v>
      </c>
      <c r="N443" s="1">
        <v>136</v>
      </c>
      <c r="O443" s="1" t="s">
        <v>976</v>
      </c>
      <c r="P443" s="5">
        <v>120.37</v>
      </c>
      <c r="Q443" s="5">
        <v>0</v>
      </c>
      <c r="R443" s="5">
        <v>95</v>
      </c>
      <c r="S443" s="5">
        <v>25.37</v>
      </c>
      <c r="T443" s="5">
        <v>37</v>
      </c>
      <c r="U443" s="5" t="s">
        <v>2472</v>
      </c>
      <c r="V443" s="5" t="s">
        <v>826</v>
      </c>
      <c r="AB443"/>
      <c r="AC443"/>
      <c r="AD443"/>
    </row>
    <row r="444" spans="1:30" x14ac:dyDescent="0.25">
      <c r="A444" t="s">
        <v>4148</v>
      </c>
      <c r="B444" t="s">
        <v>4149</v>
      </c>
      <c r="C444" s="9" t="s">
        <v>4150</v>
      </c>
      <c r="D444" s="9">
        <v>956502478</v>
      </c>
      <c r="E444" s="5" t="s">
        <v>3003</v>
      </c>
      <c r="F444" s="1" t="s">
        <v>3004</v>
      </c>
      <c r="G444" s="25">
        <v>44550</v>
      </c>
      <c r="H444" s="1" t="s">
        <v>3142</v>
      </c>
      <c r="I444" s="14" t="s">
        <v>2926</v>
      </c>
      <c r="J444" s="1" t="s">
        <v>3006</v>
      </c>
      <c r="K444" s="14" t="s">
        <v>3007</v>
      </c>
      <c r="L444" s="1" t="s">
        <v>3008</v>
      </c>
      <c r="M444" s="1" t="s">
        <v>3016</v>
      </c>
      <c r="N444" s="1">
        <v>1508</v>
      </c>
      <c r="O444" s="1" t="s">
        <v>976</v>
      </c>
      <c r="P444" s="5">
        <v>940</v>
      </c>
      <c r="Q444" s="5">
        <v>102</v>
      </c>
      <c r="R444" s="5">
        <v>1020</v>
      </c>
      <c r="S444" s="5">
        <v>22</v>
      </c>
      <c r="T444" s="5" t="s">
        <v>5574</v>
      </c>
      <c r="U444" s="5" t="s">
        <v>2472</v>
      </c>
      <c r="V444" s="5" t="s">
        <v>918</v>
      </c>
      <c r="AB444"/>
      <c r="AC444"/>
      <c r="AD444"/>
    </row>
    <row r="445" spans="1:30" x14ac:dyDescent="0.25">
      <c r="A445" t="s">
        <v>4151</v>
      </c>
      <c r="B445" t="s">
        <v>4152</v>
      </c>
      <c r="C445" s="9" t="s">
        <v>4153</v>
      </c>
      <c r="D445" s="9">
        <v>999162467</v>
      </c>
      <c r="E445" s="5" t="s">
        <v>3514</v>
      </c>
      <c r="F445" s="1" t="s">
        <v>4083</v>
      </c>
      <c r="G445" s="25">
        <v>44468</v>
      </c>
      <c r="H445" s="1" t="s">
        <v>3053</v>
      </c>
      <c r="I445" s="14" t="s">
        <v>2963</v>
      </c>
      <c r="J445" s="1" t="s">
        <v>3006</v>
      </c>
      <c r="K445" s="14" t="s">
        <v>3007</v>
      </c>
      <c r="L445" s="1" t="s">
        <v>3008</v>
      </c>
      <c r="M445" s="1" t="s">
        <v>3016</v>
      </c>
      <c r="N445" s="1">
        <v>988</v>
      </c>
      <c r="O445" s="1" t="s">
        <v>976</v>
      </c>
      <c r="P445" s="5">
        <v>714.58</v>
      </c>
      <c r="Q445" s="5">
        <v>77</v>
      </c>
      <c r="R445" s="5">
        <v>770</v>
      </c>
      <c r="S445" s="5">
        <v>21.58</v>
      </c>
      <c r="T445" s="5">
        <v>41</v>
      </c>
      <c r="U445" s="5" t="s">
        <v>2443</v>
      </c>
      <c r="V445" s="5" t="s">
        <v>934</v>
      </c>
      <c r="AB445"/>
      <c r="AC445"/>
      <c r="AD445"/>
    </row>
    <row r="446" spans="1:30" x14ac:dyDescent="0.25">
      <c r="A446" t="s">
        <v>4151</v>
      </c>
      <c r="B446" t="s">
        <v>4152</v>
      </c>
      <c r="C446" s="9" t="s">
        <v>4153</v>
      </c>
      <c r="D446" s="9">
        <v>999162467</v>
      </c>
      <c r="E446" s="5" t="s">
        <v>3514</v>
      </c>
      <c r="F446" s="1" t="s">
        <v>4083</v>
      </c>
      <c r="G446" s="25">
        <v>44468</v>
      </c>
      <c r="H446" s="1" t="s">
        <v>3054</v>
      </c>
      <c r="I446" s="14" t="s">
        <v>2963</v>
      </c>
      <c r="J446" s="1" t="s">
        <v>3006</v>
      </c>
      <c r="K446" s="14" t="s">
        <v>3007</v>
      </c>
      <c r="L446" s="1" t="s">
        <v>3008</v>
      </c>
      <c r="M446" s="1" t="s">
        <v>3016</v>
      </c>
      <c r="N446" s="1">
        <v>988</v>
      </c>
      <c r="O446" s="1" t="s">
        <v>976</v>
      </c>
      <c r="P446" s="5">
        <v>714.58</v>
      </c>
      <c r="Q446" s="5">
        <v>77</v>
      </c>
      <c r="R446" s="5">
        <v>770</v>
      </c>
      <c r="S446" s="5">
        <v>21.58</v>
      </c>
      <c r="T446" s="5">
        <v>41</v>
      </c>
      <c r="U446" s="5" t="s">
        <v>2433</v>
      </c>
      <c r="V446" s="5" t="s">
        <v>935</v>
      </c>
      <c r="AB446"/>
      <c r="AC446"/>
      <c r="AD446"/>
    </row>
    <row r="447" spans="1:30" x14ac:dyDescent="0.25">
      <c r="A447" t="s">
        <v>4154</v>
      </c>
      <c r="B447" t="s">
        <v>4155</v>
      </c>
      <c r="C447" s="9" t="s">
        <v>4156</v>
      </c>
      <c r="D447" s="9">
        <v>995852505</v>
      </c>
      <c r="E447" s="5" t="s">
        <v>3013</v>
      </c>
      <c r="F447" s="1" t="s">
        <v>3067</v>
      </c>
      <c r="G447" s="25">
        <v>44536</v>
      </c>
      <c r="H447" s="1" t="s">
        <v>3027</v>
      </c>
      <c r="I447" s="14" t="s">
        <v>254</v>
      </c>
      <c r="J447" s="1" t="s">
        <v>3006</v>
      </c>
      <c r="K447" s="14" t="s">
        <v>3007</v>
      </c>
      <c r="L447" s="1" t="s">
        <v>3008</v>
      </c>
      <c r="M447" s="1" t="s">
        <v>3016</v>
      </c>
      <c r="N447" s="1">
        <v>1358</v>
      </c>
      <c r="O447" s="1" t="s">
        <v>976</v>
      </c>
      <c r="P447" s="5">
        <v>1285.08</v>
      </c>
      <c r="Q447" s="5">
        <v>138</v>
      </c>
      <c r="R447" s="5">
        <v>1380</v>
      </c>
      <c r="S447" s="5">
        <v>43.08</v>
      </c>
      <c r="T447" s="5" t="s">
        <v>22</v>
      </c>
      <c r="V447" s="5" t="s">
        <v>254</v>
      </c>
      <c r="AB447"/>
      <c r="AC447"/>
      <c r="AD447"/>
    </row>
    <row r="448" spans="1:30" x14ac:dyDescent="0.25">
      <c r="A448" t="s">
        <v>4157</v>
      </c>
      <c r="B448" t="s">
        <v>4158</v>
      </c>
      <c r="C448" s="9" t="s">
        <v>4159</v>
      </c>
      <c r="D448" s="9">
        <v>995169739</v>
      </c>
      <c r="E448" s="5" t="s">
        <v>3013</v>
      </c>
      <c r="F448" s="1" t="s">
        <v>4160</v>
      </c>
      <c r="G448" s="25">
        <v>44474</v>
      </c>
      <c r="H448" s="1" t="s">
        <v>3392</v>
      </c>
      <c r="I448" s="14" t="s">
        <v>297</v>
      </c>
      <c r="J448" s="1" t="s">
        <v>3006</v>
      </c>
      <c r="K448" s="14" t="s">
        <v>3007</v>
      </c>
      <c r="L448" s="1" t="s">
        <v>3008</v>
      </c>
      <c r="M448" s="1" t="s">
        <v>3016</v>
      </c>
      <c r="N448" s="1">
        <v>1001</v>
      </c>
      <c r="O448" s="1" t="s">
        <v>976</v>
      </c>
      <c r="P448" s="5">
        <v>692.55</v>
      </c>
      <c r="Q448" s="5">
        <v>0</v>
      </c>
      <c r="R448" s="5">
        <v>680</v>
      </c>
      <c r="S448" s="5">
        <v>12.55</v>
      </c>
      <c r="T448" s="5" t="s">
        <v>23</v>
      </c>
      <c r="V448" s="5" t="s">
        <v>297</v>
      </c>
      <c r="AB448"/>
      <c r="AC448"/>
      <c r="AD448"/>
    </row>
    <row r="449" spans="1:30" x14ac:dyDescent="0.25">
      <c r="A449" t="s">
        <v>4157</v>
      </c>
      <c r="B449" t="s">
        <v>4158</v>
      </c>
      <c r="C449" s="9" t="s">
        <v>4159</v>
      </c>
      <c r="D449" s="9">
        <v>995169739</v>
      </c>
      <c r="E449" s="5" t="s">
        <v>3013</v>
      </c>
      <c r="F449" s="1" t="s">
        <v>4160</v>
      </c>
      <c r="G449" s="25">
        <v>44474</v>
      </c>
      <c r="H449" s="1" t="s">
        <v>3379</v>
      </c>
      <c r="I449" s="14" t="s">
        <v>302</v>
      </c>
      <c r="J449" s="1" t="s">
        <v>3006</v>
      </c>
      <c r="K449" s="14" t="s">
        <v>3007</v>
      </c>
      <c r="L449" s="1" t="s">
        <v>3008</v>
      </c>
      <c r="M449" s="1" t="s">
        <v>3016</v>
      </c>
      <c r="N449" s="1">
        <v>1001</v>
      </c>
      <c r="O449" s="1" t="s">
        <v>976</v>
      </c>
      <c r="P449" s="5">
        <v>804.57</v>
      </c>
      <c r="Q449" s="5">
        <v>0</v>
      </c>
      <c r="R449" s="5">
        <v>790</v>
      </c>
      <c r="S449" s="5">
        <v>14.57</v>
      </c>
      <c r="T449" s="5" t="s">
        <v>23</v>
      </c>
      <c r="V449" s="5" t="s">
        <v>302</v>
      </c>
      <c r="AB449"/>
      <c r="AC449"/>
      <c r="AD449"/>
    </row>
    <row r="450" spans="1:30" x14ac:dyDescent="0.25">
      <c r="A450" t="s">
        <v>4161</v>
      </c>
      <c r="B450" t="s">
        <v>4162</v>
      </c>
      <c r="C450" s="9" t="s">
        <v>4163</v>
      </c>
      <c r="D450" s="9">
        <v>998488890</v>
      </c>
      <c r="E450" s="5" t="s">
        <v>4164</v>
      </c>
      <c r="F450" s="1" t="s">
        <v>4165</v>
      </c>
      <c r="G450" s="25">
        <v>44413</v>
      </c>
      <c r="H450" s="1" t="s">
        <v>3469</v>
      </c>
      <c r="I450" s="14" t="s">
        <v>2806</v>
      </c>
      <c r="J450" s="1" t="s">
        <v>3006</v>
      </c>
      <c r="K450" s="14" t="s">
        <v>3007</v>
      </c>
      <c r="L450" s="1" t="s">
        <v>3008</v>
      </c>
      <c r="M450" s="1" t="s">
        <v>3009</v>
      </c>
      <c r="N450" s="1">
        <v>742</v>
      </c>
      <c r="O450" s="1" t="s">
        <v>976</v>
      </c>
      <c r="P450" s="5">
        <v>503.92</v>
      </c>
      <c r="Q450" s="5">
        <v>0</v>
      </c>
      <c r="R450" s="5">
        <v>470</v>
      </c>
      <c r="S450" s="5">
        <v>33.92</v>
      </c>
      <c r="T450" s="5">
        <v>40</v>
      </c>
      <c r="U450" s="5" t="s">
        <v>2482</v>
      </c>
      <c r="V450" s="5" t="s">
        <v>777</v>
      </c>
      <c r="AB450"/>
      <c r="AC450"/>
      <c r="AD450"/>
    </row>
    <row r="451" spans="1:30" x14ac:dyDescent="0.25">
      <c r="A451" t="s">
        <v>4166</v>
      </c>
      <c r="B451" t="s">
        <v>4167</v>
      </c>
      <c r="C451" s="9" t="s">
        <v>4168</v>
      </c>
      <c r="D451" s="9">
        <v>11942127010</v>
      </c>
      <c r="E451" s="5" t="s">
        <v>3003</v>
      </c>
      <c r="F451" s="1" t="s">
        <v>3004</v>
      </c>
      <c r="G451" s="25">
        <v>44254</v>
      </c>
      <c r="H451" s="1" t="s">
        <v>4169</v>
      </c>
      <c r="I451" s="14" t="s">
        <v>229</v>
      </c>
      <c r="J451" s="1" t="s">
        <v>3006</v>
      </c>
      <c r="K451" s="14" t="s">
        <v>3007</v>
      </c>
      <c r="L451" s="1" t="s">
        <v>3008</v>
      </c>
      <c r="M451" s="1" t="s">
        <v>3009</v>
      </c>
      <c r="N451" s="1">
        <v>240</v>
      </c>
      <c r="O451" s="1" t="s">
        <v>976</v>
      </c>
      <c r="P451" s="5">
        <v>390</v>
      </c>
      <c r="Q451" s="5">
        <v>0</v>
      </c>
      <c r="R451" s="5">
        <v>390</v>
      </c>
      <c r="S451" s="5">
        <v>0</v>
      </c>
      <c r="T451" s="5" t="s">
        <v>23</v>
      </c>
      <c r="V451" s="5" t="s">
        <v>229</v>
      </c>
      <c r="AB451"/>
      <c r="AC451"/>
      <c r="AD451"/>
    </row>
    <row r="452" spans="1:30" x14ac:dyDescent="0.25">
      <c r="A452" t="s">
        <v>4166</v>
      </c>
      <c r="B452" t="s">
        <v>4167</v>
      </c>
      <c r="C452" s="9" t="s">
        <v>4168</v>
      </c>
      <c r="D452" s="9">
        <v>11942127010</v>
      </c>
      <c r="E452" s="5" t="s">
        <v>3003</v>
      </c>
      <c r="F452" s="1" t="s">
        <v>3004</v>
      </c>
      <c r="G452" s="25">
        <v>44254</v>
      </c>
      <c r="H452" s="1" t="s">
        <v>4170</v>
      </c>
      <c r="I452" s="14" t="s">
        <v>2868</v>
      </c>
      <c r="J452" s="1" t="s">
        <v>3006</v>
      </c>
      <c r="K452" s="14" t="s">
        <v>3007</v>
      </c>
      <c r="L452" s="1" t="s">
        <v>3008</v>
      </c>
      <c r="M452" s="1" t="s">
        <v>3009</v>
      </c>
      <c r="N452" s="1">
        <v>240</v>
      </c>
      <c r="O452" s="1" t="s">
        <v>976</v>
      </c>
      <c r="P452" s="5">
        <v>330</v>
      </c>
      <c r="Q452" s="5">
        <v>0</v>
      </c>
      <c r="R452" s="5">
        <v>330</v>
      </c>
      <c r="S452" s="5">
        <v>0</v>
      </c>
      <c r="T452" s="5" t="s">
        <v>22</v>
      </c>
      <c r="U452" s="5" t="s">
        <v>2443</v>
      </c>
      <c r="V452" s="5" t="s">
        <v>870</v>
      </c>
      <c r="AB452"/>
      <c r="AC452"/>
      <c r="AD452"/>
    </row>
    <row r="453" spans="1:30" x14ac:dyDescent="0.25">
      <c r="A453" t="s">
        <v>4171</v>
      </c>
      <c r="B453" t="s">
        <v>4172</v>
      </c>
      <c r="C453" s="9" t="s">
        <v>4173</v>
      </c>
      <c r="D453" s="9" t="s">
        <v>4174</v>
      </c>
      <c r="E453" s="5" t="s">
        <v>3003</v>
      </c>
      <c r="F453" s="1" t="s">
        <v>3004</v>
      </c>
      <c r="G453" s="25">
        <v>44525</v>
      </c>
      <c r="H453" s="1" t="s">
        <v>4175</v>
      </c>
      <c r="I453" s="14" t="s">
        <v>2804</v>
      </c>
      <c r="J453" s="1" t="s">
        <v>3006</v>
      </c>
      <c r="K453" s="14" t="s">
        <v>3007</v>
      </c>
      <c r="L453" s="1" t="s">
        <v>3008</v>
      </c>
      <c r="M453" s="1" t="s">
        <v>3009</v>
      </c>
      <c r="N453" s="1">
        <v>1276</v>
      </c>
      <c r="O453" s="1" t="s">
        <v>976</v>
      </c>
      <c r="P453" s="5">
        <v>1090</v>
      </c>
      <c r="Q453" s="5">
        <v>0</v>
      </c>
      <c r="R453" s="5">
        <v>1090</v>
      </c>
      <c r="S453" s="5">
        <v>0</v>
      </c>
      <c r="T453" s="5">
        <v>40</v>
      </c>
      <c r="U453" s="5" t="s">
        <v>2443</v>
      </c>
      <c r="V453" s="5" t="s">
        <v>772</v>
      </c>
      <c r="AB453"/>
      <c r="AC453"/>
      <c r="AD453"/>
    </row>
    <row r="454" spans="1:30" x14ac:dyDescent="0.25">
      <c r="A454" t="s">
        <v>4176</v>
      </c>
      <c r="B454" t="s">
        <v>4177</v>
      </c>
      <c r="C454" s="9" t="s">
        <v>4178</v>
      </c>
      <c r="D454" s="9" t="s">
        <v>4179</v>
      </c>
      <c r="E454" s="5" t="s">
        <v>3107</v>
      </c>
      <c r="F454" s="1" t="s">
        <v>4180</v>
      </c>
      <c r="G454" s="25">
        <v>44543</v>
      </c>
      <c r="H454" s="1" t="s">
        <v>3940</v>
      </c>
      <c r="I454" s="14" t="s">
        <v>2768</v>
      </c>
      <c r="J454" s="1" t="s">
        <v>3006</v>
      </c>
      <c r="K454" s="14" t="s">
        <v>3007</v>
      </c>
      <c r="L454" s="1" t="s">
        <v>3008</v>
      </c>
      <c r="M454" s="1" t="s">
        <v>3009</v>
      </c>
      <c r="N454" s="1">
        <v>1438</v>
      </c>
      <c r="O454" s="1" t="s">
        <v>976</v>
      </c>
      <c r="P454" s="5">
        <v>599</v>
      </c>
      <c r="Q454" s="5">
        <v>0</v>
      </c>
      <c r="R454" s="5">
        <v>599</v>
      </c>
      <c r="S454" s="5">
        <v>0</v>
      </c>
      <c r="T454" s="5" t="s">
        <v>22</v>
      </c>
      <c r="U454" s="5" t="s">
        <v>2443</v>
      </c>
      <c r="V454" s="5" t="s">
        <v>725</v>
      </c>
      <c r="AB454"/>
      <c r="AC454"/>
      <c r="AD454"/>
    </row>
    <row r="455" spans="1:30" x14ac:dyDescent="0.25">
      <c r="A455" t="s">
        <v>4176</v>
      </c>
      <c r="B455" t="s">
        <v>4177</v>
      </c>
      <c r="C455" s="9" t="s">
        <v>4178</v>
      </c>
      <c r="D455" s="9" t="s">
        <v>4179</v>
      </c>
      <c r="E455" s="5" t="s">
        <v>3107</v>
      </c>
      <c r="F455" s="1" t="s">
        <v>4180</v>
      </c>
      <c r="G455" s="25">
        <v>44543</v>
      </c>
      <c r="H455" s="1" t="s">
        <v>3278</v>
      </c>
      <c r="I455" s="14" t="s">
        <v>2774</v>
      </c>
      <c r="J455" s="1" t="s">
        <v>3006</v>
      </c>
      <c r="K455" s="14" t="s">
        <v>3007</v>
      </c>
      <c r="L455" s="1" t="s">
        <v>3008</v>
      </c>
      <c r="M455" s="1" t="s">
        <v>3009</v>
      </c>
      <c r="N455" s="1">
        <v>1439</v>
      </c>
      <c r="O455" s="1" t="s">
        <v>976</v>
      </c>
      <c r="P455" s="5">
        <v>348</v>
      </c>
      <c r="Q455" s="5">
        <v>0</v>
      </c>
      <c r="R455" s="5">
        <v>348</v>
      </c>
      <c r="S455" s="5">
        <v>0</v>
      </c>
      <c r="T455" s="5" t="s">
        <v>23</v>
      </c>
      <c r="U455" s="5" t="s">
        <v>2482</v>
      </c>
      <c r="V455" s="5" t="s">
        <v>740</v>
      </c>
      <c r="AB455"/>
      <c r="AC455"/>
      <c r="AD455"/>
    </row>
    <row r="456" spans="1:30" x14ac:dyDescent="0.25">
      <c r="A456" t="s">
        <v>4176</v>
      </c>
      <c r="B456" t="s">
        <v>4177</v>
      </c>
      <c r="C456" s="9" t="s">
        <v>4178</v>
      </c>
      <c r="D456" s="9" t="s">
        <v>4179</v>
      </c>
      <c r="E456" s="5" t="s">
        <v>3107</v>
      </c>
      <c r="F456" s="1" t="s">
        <v>4180</v>
      </c>
      <c r="G456" s="25">
        <v>44543</v>
      </c>
      <c r="H456" s="1" t="s">
        <v>4181</v>
      </c>
      <c r="I456" s="14" t="s">
        <v>381</v>
      </c>
      <c r="J456" s="1" t="s">
        <v>3006</v>
      </c>
      <c r="K456" s="14" t="s">
        <v>3007</v>
      </c>
      <c r="L456" s="1" t="s">
        <v>3008</v>
      </c>
      <c r="M456" s="1" t="s">
        <v>3009</v>
      </c>
      <c r="N456" s="1">
        <v>1438</v>
      </c>
      <c r="O456" s="1" t="s">
        <v>976</v>
      </c>
      <c r="P456" s="5">
        <v>328</v>
      </c>
      <c r="Q456" s="5">
        <v>0</v>
      </c>
      <c r="R456" s="5">
        <v>328</v>
      </c>
      <c r="S456" s="5">
        <v>0</v>
      </c>
      <c r="T456" s="5" t="s">
        <v>26</v>
      </c>
      <c r="V456" s="5" t="s">
        <v>381</v>
      </c>
      <c r="AB456"/>
      <c r="AC456"/>
      <c r="AD456"/>
    </row>
    <row r="457" spans="1:30" x14ac:dyDescent="0.25">
      <c r="A457" t="s">
        <v>4176</v>
      </c>
      <c r="B457" t="s">
        <v>4177</v>
      </c>
      <c r="C457" s="9" t="s">
        <v>4178</v>
      </c>
      <c r="D457" s="9" t="s">
        <v>4179</v>
      </c>
      <c r="E457" s="5" t="s">
        <v>3107</v>
      </c>
      <c r="F457" s="1" t="s">
        <v>4180</v>
      </c>
      <c r="G457" s="25">
        <v>44543</v>
      </c>
      <c r="H457" s="1" t="s">
        <v>3279</v>
      </c>
      <c r="I457" s="14" t="s">
        <v>453</v>
      </c>
      <c r="J457" s="1" t="s">
        <v>3006</v>
      </c>
      <c r="K457" s="14" t="s">
        <v>3007</v>
      </c>
      <c r="L457" s="1" t="s">
        <v>3008</v>
      </c>
      <c r="M457" s="1" t="s">
        <v>3009</v>
      </c>
      <c r="N457" s="1">
        <v>1439</v>
      </c>
      <c r="O457" s="1" t="s">
        <v>976</v>
      </c>
      <c r="P457" s="5">
        <v>198</v>
      </c>
      <c r="Q457" s="5">
        <v>0</v>
      </c>
      <c r="R457" s="5">
        <v>198</v>
      </c>
      <c r="S457" s="5">
        <v>0</v>
      </c>
      <c r="T457" s="5" t="s">
        <v>23</v>
      </c>
      <c r="V457" s="5" t="s">
        <v>453</v>
      </c>
      <c r="AB457"/>
      <c r="AC457"/>
      <c r="AD457"/>
    </row>
    <row r="458" spans="1:30" x14ac:dyDescent="0.25">
      <c r="A458" t="s">
        <v>4176</v>
      </c>
      <c r="B458" t="s">
        <v>4177</v>
      </c>
      <c r="C458" s="9" t="s">
        <v>4178</v>
      </c>
      <c r="D458" s="9" t="s">
        <v>4179</v>
      </c>
      <c r="E458" s="5" t="s">
        <v>3107</v>
      </c>
      <c r="F458" s="1" t="s">
        <v>4180</v>
      </c>
      <c r="G458" s="25">
        <v>44543</v>
      </c>
      <c r="H458" s="1" t="s">
        <v>3909</v>
      </c>
      <c r="I458" s="14" t="s">
        <v>2970</v>
      </c>
      <c r="J458" s="1" t="s">
        <v>3006</v>
      </c>
      <c r="K458" s="14" t="s">
        <v>3007</v>
      </c>
      <c r="L458" s="1" t="s">
        <v>3008</v>
      </c>
      <c r="M458" s="1" t="s">
        <v>3009</v>
      </c>
      <c r="N458" s="1">
        <v>1439</v>
      </c>
      <c r="O458" s="1" t="s">
        <v>976</v>
      </c>
      <c r="P458" s="5">
        <v>198</v>
      </c>
      <c r="Q458" s="5">
        <v>0</v>
      </c>
      <c r="R458" s="5">
        <v>198</v>
      </c>
      <c r="S458" s="5">
        <v>0</v>
      </c>
      <c r="T458" s="5" t="s">
        <v>22</v>
      </c>
      <c r="U458" s="5" t="s">
        <v>2482</v>
      </c>
      <c r="V458" s="5" t="s">
        <v>942</v>
      </c>
      <c r="AB458"/>
      <c r="AC458"/>
      <c r="AD458"/>
    </row>
    <row r="459" spans="1:30" x14ac:dyDescent="0.25">
      <c r="A459" t="s">
        <v>4182</v>
      </c>
      <c r="B459" t="s">
        <v>4183</v>
      </c>
      <c r="C459" s="9" t="s">
        <v>4184</v>
      </c>
      <c r="D459" s="9">
        <v>991362042</v>
      </c>
      <c r="E459" s="5" t="s">
        <v>3107</v>
      </c>
      <c r="F459" s="1" t="s">
        <v>3108</v>
      </c>
      <c r="G459" s="25">
        <v>44536</v>
      </c>
      <c r="H459" s="1" t="s">
        <v>3129</v>
      </c>
      <c r="I459" s="14" t="s">
        <v>2790</v>
      </c>
      <c r="J459" s="1" t="s">
        <v>3006</v>
      </c>
      <c r="K459" s="14" t="s">
        <v>3007</v>
      </c>
      <c r="L459" s="1" t="s">
        <v>3008</v>
      </c>
      <c r="M459" s="1" t="s">
        <v>3016</v>
      </c>
      <c r="N459" s="1">
        <v>1351</v>
      </c>
      <c r="O459" s="1" t="s">
        <v>976</v>
      </c>
      <c r="P459" s="5">
        <v>1784.7</v>
      </c>
      <c r="Q459" s="5">
        <v>0</v>
      </c>
      <c r="R459" s="5">
        <v>1750</v>
      </c>
      <c r="S459" s="5">
        <v>34.700000000000003</v>
      </c>
      <c r="T459" s="5" t="s">
        <v>5574</v>
      </c>
      <c r="U459" s="5" t="s">
        <v>2482</v>
      </c>
      <c r="V459" s="5" t="s">
        <v>246</v>
      </c>
      <c r="AB459"/>
      <c r="AC459"/>
      <c r="AD459"/>
    </row>
    <row r="460" spans="1:30" x14ac:dyDescent="0.25">
      <c r="A460" t="s">
        <v>4185</v>
      </c>
      <c r="B460" t="s">
        <v>4186</v>
      </c>
      <c r="C460" s="9" t="s">
        <v>4187</v>
      </c>
      <c r="D460" s="9" t="s">
        <v>4188</v>
      </c>
      <c r="E460" s="5" t="s">
        <v>3003</v>
      </c>
      <c r="F460" s="1" t="s">
        <v>3004</v>
      </c>
      <c r="G460" s="25">
        <v>44421</v>
      </c>
      <c r="H460" s="1" t="s">
        <v>3027</v>
      </c>
      <c r="I460" s="14" t="s">
        <v>254</v>
      </c>
      <c r="J460" s="1" t="s">
        <v>3006</v>
      </c>
      <c r="K460" s="14" t="s">
        <v>3007</v>
      </c>
      <c r="L460" s="1" t="s">
        <v>3008</v>
      </c>
      <c r="M460" s="1" t="s">
        <v>3009</v>
      </c>
      <c r="N460" s="1">
        <v>765</v>
      </c>
      <c r="O460" s="1" t="s">
        <v>976</v>
      </c>
      <c r="P460" s="5">
        <v>1330</v>
      </c>
      <c r="Q460" s="5">
        <v>0</v>
      </c>
      <c r="R460" s="5">
        <v>1330</v>
      </c>
      <c r="S460" s="5">
        <v>0</v>
      </c>
      <c r="T460" s="5" t="s">
        <v>22</v>
      </c>
      <c r="V460" s="5" t="s">
        <v>254</v>
      </c>
      <c r="AB460"/>
      <c r="AC460"/>
      <c r="AD460"/>
    </row>
    <row r="461" spans="1:30" x14ac:dyDescent="0.25">
      <c r="A461" t="s">
        <v>4189</v>
      </c>
      <c r="B461" t="s">
        <v>4190</v>
      </c>
      <c r="C461" s="9" t="s">
        <v>4191</v>
      </c>
      <c r="D461" s="9">
        <v>941618200</v>
      </c>
      <c r="E461" s="5" t="s">
        <v>3003</v>
      </c>
      <c r="F461" s="1" t="s">
        <v>3004</v>
      </c>
      <c r="G461" s="25">
        <v>44168</v>
      </c>
      <c r="H461" s="1" t="s">
        <v>3258</v>
      </c>
      <c r="I461" s="14" t="s">
        <v>2805</v>
      </c>
      <c r="J461" s="1" t="s">
        <v>3006</v>
      </c>
      <c r="K461" s="14" t="s">
        <v>3007</v>
      </c>
      <c r="L461" s="1" t="s">
        <v>3008</v>
      </c>
      <c r="M461" s="1" t="s">
        <v>3009</v>
      </c>
      <c r="N461" s="1">
        <v>59</v>
      </c>
      <c r="O461" s="1" t="s">
        <v>976</v>
      </c>
      <c r="P461" s="5">
        <v>479.93</v>
      </c>
      <c r="Q461" s="5">
        <v>0</v>
      </c>
      <c r="R461" s="5">
        <v>470</v>
      </c>
      <c r="S461" s="5">
        <v>9.93</v>
      </c>
      <c r="T461" s="5">
        <v>38</v>
      </c>
      <c r="U461" s="5" t="s">
        <v>2443</v>
      </c>
      <c r="V461" s="5" t="s">
        <v>776</v>
      </c>
      <c r="AB461"/>
      <c r="AC461"/>
      <c r="AD461"/>
    </row>
    <row r="462" spans="1:30" x14ac:dyDescent="0.25">
      <c r="A462" t="s">
        <v>4189</v>
      </c>
      <c r="B462" t="s">
        <v>4190</v>
      </c>
      <c r="C462" s="9" t="s">
        <v>4191</v>
      </c>
      <c r="D462" s="9">
        <v>941618200</v>
      </c>
      <c r="E462" s="5" t="s">
        <v>3003</v>
      </c>
      <c r="F462" s="1" t="s">
        <v>3004</v>
      </c>
      <c r="G462" s="25">
        <v>44168</v>
      </c>
      <c r="H462" s="1" t="s">
        <v>4192</v>
      </c>
      <c r="I462" s="14" t="s">
        <v>505</v>
      </c>
      <c r="J462" s="1" t="s">
        <v>3006</v>
      </c>
      <c r="K462" s="14" t="s">
        <v>3007</v>
      </c>
      <c r="L462" s="1" t="s">
        <v>3008</v>
      </c>
      <c r="M462" s="1" t="s">
        <v>3009</v>
      </c>
      <c r="N462" s="1">
        <v>59</v>
      </c>
      <c r="O462" s="1" t="s">
        <v>976</v>
      </c>
      <c r="P462" s="5">
        <v>275.70999999999998</v>
      </c>
      <c r="Q462" s="5">
        <v>0</v>
      </c>
      <c r="R462" s="5">
        <v>270</v>
      </c>
      <c r="S462" s="5">
        <v>5.71</v>
      </c>
      <c r="T462" s="5" t="s">
        <v>23</v>
      </c>
      <c r="V462" s="5" t="s">
        <v>505</v>
      </c>
      <c r="AB462"/>
      <c r="AC462"/>
      <c r="AD462"/>
    </row>
    <row r="463" spans="1:30" x14ac:dyDescent="0.25">
      <c r="A463" t="s">
        <v>4189</v>
      </c>
      <c r="B463" t="s">
        <v>4190</v>
      </c>
      <c r="C463" s="9" t="s">
        <v>4191</v>
      </c>
      <c r="D463" s="9">
        <v>941618200</v>
      </c>
      <c r="E463" s="5" t="s">
        <v>3003</v>
      </c>
      <c r="F463" s="1" t="s">
        <v>3004</v>
      </c>
      <c r="G463" s="25">
        <v>44495</v>
      </c>
      <c r="H463" s="1" t="s">
        <v>3970</v>
      </c>
      <c r="I463" s="14" t="s">
        <v>2968</v>
      </c>
      <c r="J463" s="1" t="s">
        <v>3006</v>
      </c>
      <c r="K463" s="14" t="s">
        <v>3007</v>
      </c>
      <c r="L463" s="1" t="s">
        <v>3008</v>
      </c>
      <c r="M463" s="1" t="s">
        <v>3009</v>
      </c>
      <c r="N463" s="1">
        <v>1118</v>
      </c>
      <c r="O463" s="1" t="s">
        <v>976</v>
      </c>
      <c r="P463" s="5">
        <v>905.92</v>
      </c>
      <c r="Q463" s="5">
        <v>0</v>
      </c>
      <c r="R463" s="5">
        <v>890</v>
      </c>
      <c r="S463" s="5">
        <v>15.92</v>
      </c>
      <c r="T463" s="5" t="s">
        <v>22</v>
      </c>
      <c r="U463" s="5" t="s">
        <v>2437</v>
      </c>
      <c r="V463" s="5" t="s">
        <v>941</v>
      </c>
      <c r="AB463"/>
      <c r="AC463"/>
      <c r="AD463"/>
    </row>
    <row r="464" spans="1:30" x14ac:dyDescent="0.25">
      <c r="A464" t="s">
        <v>4189</v>
      </c>
      <c r="B464" t="s">
        <v>4190</v>
      </c>
      <c r="C464" s="9" t="s">
        <v>4191</v>
      </c>
      <c r="D464" s="9">
        <v>941618200</v>
      </c>
      <c r="E464" s="5" t="s">
        <v>3003</v>
      </c>
      <c r="F464" s="1" t="s">
        <v>3004</v>
      </c>
      <c r="G464" s="25">
        <v>44518</v>
      </c>
      <c r="H464" s="1" t="s">
        <v>4193</v>
      </c>
      <c r="I464" s="14" t="s">
        <v>2805</v>
      </c>
      <c r="J464" s="1" t="s">
        <v>3006</v>
      </c>
      <c r="K464" s="14" t="s">
        <v>3007</v>
      </c>
      <c r="L464" s="1" t="s">
        <v>3008</v>
      </c>
      <c r="M464" s="1" t="s">
        <v>3009</v>
      </c>
      <c r="N464" s="1">
        <v>1224</v>
      </c>
      <c r="O464" s="1" t="s">
        <v>976</v>
      </c>
      <c r="P464" s="5">
        <v>580</v>
      </c>
      <c r="Q464" s="5">
        <v>0</v>
      </c>
      <c r="R464" s="5">
        <v>580</v>
      </c>
      <c r="S464" s="5">
        <v>0</v>
      </c>
      <c r="T464" s="5">
        <v>38</v>
      </c>
      <c r="U464" s="5" t="s">
        <v>2447</v>
      </c>
      <c r="V464" s="5" t="s">
        <v>773</v>
      </c>
      <c r="AB464"/>
      <c r="AC464"/>
      <c r="AD464"/>
    </row>
    <row r="465" spans="1:30" x14ac:dyDescent="0.25">
      <c r="A465" t="s">
        <v>4189</v>
      </c>
      <c r="B465" t="s">
        <v>4190</v>
      </c>
      <c r="C465" s="9" t="s">
        <v>4191</v>
      </c>
      <c r="D465" s="9">
        <v>941618200</v>
      </c>
      <c r="E465" s="5" t="s">
        <v>3003</v>
      </c>
      <c r="F465" s="1" t="s">
        <v>3004</v>
      </c>
      <c r="G465" s="25">
        <v>44518</v>
      </c>
      <c r="H465" s="1" t="s">
        <v>4194</v>
      </c>
      <c r="I465" s="14" t="s">
        <v>2846</v>
      </c>
      <c r="J465" s="1" t="s">
        <v>3006</v>
      </c>
      <c r="K465" s="14" t="s">
        <v>3007</v>
      </c>
      <c r="L465" s="1" t="s">
        <v>3008</v>
      </c>
      <c r="M465" s="1" t="s">
        <v>3009</v>
      </c>
      <c r="N465" s="1">
        <v>1224</v>
      </c>
      <c r="O465" s="1" t="s">
        <v>976</v>
      </c>
      <c r="P465" s="5">
        <v>680</v>
      </c>
      <c r="Q465" s="5">
        <v>0</v>
      </c>
      <c r="R465" s="5">
        <v>680</v>
      </c>
      <c r="S465" s="5">
        <v>0</v>
      </c>
      <c r="T465" s="5" t="s">
        <v>22</v>
      </c>
      <c r="U465" s="5" t="s">
        <v>2447</v>
      </c>
      <c r="V465" s="5" t="s">
        <v>830</v>
      </c>
      <c r="AB465"/>
      <c r="AC465"/>
      <c r="AD465"/>
    </row>
    <row r="466" spans="1:30" x14ac:dyDescent="0.25">
      <c r="A466" t="s">
        <v>4189</v>
      </c>
      <c r="B466" t="s">
        <v>4190</v>
      </c>
      <c r="C466" s="9" t="s">
        <v>4191</v>
      </c>
      <c r="D466" s="9">
        <v>941618200</v>
      </c>
      <c r="E466" s="5" t="s">
        <v>3003</v>
      </c>
      <c r="F466" s="1" t="s">
        <v>3004</v>
      </c>
      <c r="G466" s="25">
        <v>44518</v>
      </c>
      <c r="H466" s="1" t="s">
        <v>4032</v>
      </c>
      <c r="I466" s="14" t="s">
        <v>592</v>
      </c>
      <c r="J466" s="1" t="s">
        <v>3006</v>
      </c>
      <c r="K466" s="14" t="s">
        <v>3007</v>
      </c>
      <c r="L466" s="1" t="s">
        <v>3008</v>
      </c>
      <c r="M466" s="1" t="s">
        <v>3009</v>
      </c>
      <c r="N466" s="1">
        <v>1224</v>
      </c>
      <c r="O466" s="1" t="s">
        <v>976</v>
      </c>
      <c r="P466" s="5">
        <v>790</v>
      </c>
      <c r="Q466" s="5">
        <v>0</v>
      </c>
      <c r="R466" s="5">
        <v>790</v>
      </c>
      <c r="S466" s="5">
        <v>0</v>
      </c>
      <c r="T466" s="5" t="s">
        <v>22</v>
      </c>
      <c r="V466" s="5" t="s">
        <v>592</v>
      </c>
      <c r="AB466"/>
      <c r="AC466"/>
      <c r="AD466"/>
    </row>
    <row r="467" spans="1:30" x14ac:dyDescent="0.25">
      <c r="A467" t="s">
        <v>4195</v>
      </c>
      <c r="B467" t="s">
        <v>4196</v>
      </c>
      <c r="C467" s="9" t="s">
        <v>4197</v>
      </c>
      <c r="D467" s="9" t="s">
        <v>4198</v>
      </c>
      <c r="E467" s="5" t="s">
        <v>3041</v>
      </c>
      <c r="F467" s="1" t="s">
        <v>3042</v>
      </c>
      <c r="G467" s="25">
        <v>44374</v>
      </c>
      <c r="H467" s="1" t="s">
        <v>3027</v>
      </c>
      <c r="I467" s="14" t="s">
        <v>254</v>
      </c>
      <c r="J467" s="1" t="s">
        <v>3006</v>
      </c>
      <c r="K467" s="14" t="s">
        <v>3007</v>
      </c>
      <c r="L467" s="1" t="s">
        <v>3008</v>
      </c>
      <c r="M467" s="1" t="s">
        <v>3009</v>
      </c>
      <c r="N467" s="1">
        <v>553</v>
      </c>
      <c r="O467" s="1" t="s">
        <v>976</v>
      </c>
      <c r="P467" s="5">
        <v>1226.57</v>
      </c>
      <c r="Q467" s="5">
        <v>0</v>
      </c>
      <c r="R467" s="5">
        <v>1200</v>
      </c>
      <c r="S467" s="5">
        <v>26.57</v>
      </c>
      <c r="T467" s="5" t="s">
        <v>22</v>
      </c>
      <c r="V467" s="5" t="s">
        <v>254</v>
      </c>
      <c r="AB467"/>
      <c r="AC467"/>
      <c r="AD467"/>
    </row>
    <row r="468" spans="1:30" x14ac:dyDescent="0.25">
      <c r="A468" t="s">
        <v>4199</v>
      </c>
      <c r="B468" t="s">
        <v>4200</v>
      </c>
      <c r="C468" s="9" t="s">
        <v>4201</v>
      </c>
      <c r="D468" s="9">
        <v>997684868</v>
      </c>
      <c r="E468" s="5" t="s">
        <v>3644</v>
      </c>
      <c r="F468" s="1" t="s">
        <v>3922</v>
      </c>
      <c r="G468" s="25">
        <v>44357</v>
      </c>
      <c r="H468" s="1" t="s">
        <v>3602</v>
      </c>
      <c r="I468" s="14" t="s">
        <v>2823</v>
      </c>
      <c r="J468" s="1" t="s">
        <v>3006</v>
      </c>
      <c r="K468" s="14" t="s">
        <v>3007</v>
      </c>
      <c r="L468" s="1" t="s">
        <v>3008</v>
      </c>
      <c r="M468" s="1" t="s">
        <v>3016</v>
      </c>
      <c r="N468" s="1">
        <v>494</v>
      </c>
      <c r="O468" s="1" t="s">
        <v>976</v>
      </c>
      <c r="P468" s="5">
        <v>281.77</v>
      </c>
      <c r="Q468" s="5">
        <v>0</v>
      </c>
      <c r="R468" s="5">
        <v>230</v>
      </c>
      <c r="S468" s="5">
        <v>51.77</v>
      </c>
      <c r="T468" s="5" t="s">
        <v>23</v>
      </c>
      <c r="U468" s="5" t="s">
        <v>2459</v>
      </c>
      <c r="V468" s="5" t="s">
        <v>804</v>
      </c>
      <c r="AB468"/>
      <c r="AC468"/>
      <c r="AD468"/>
    </row>
    <row r="469" spans="1:30" x14ac:dyDescent="0.25">
      <c r="A469" t="s">
        <v>4199</v>
      </c>
      <c r="B469" t="s">
        <v>4200</v>
      </c>
      <c r="C469" s="9" t="s">
        <v>4201</v>
      </c>
      <c r="D469" s="9">
        <v>997684868</v>
      </c>
      <c r="E469" s="5" t="s">
        <v>3644</v>
      </c>
      <c r="F469" s="1" t="s">
        <v>3922</v>
      </c>
      <c r="G469" s="25">
        <v>44357</v>
      </c>
      <c r="H469" s="1" t="s">
        <v>3234</v>
      </c>
      <c r="I469" s="14" t="s">
        <v>520</v>
      </c>
      <c r="J469" s="1" t="s">
        <v>3006</v>
      </c>
      <c r="K469" s="14" t="s">
        <v>3007</v>
      </c>
      <c r="L469" s="1" t="s">
        <v>3008</v>
      </c>
      <c r="M469" s="1" t="s">
        <v>3016</v>
      </c>
      <c r="N469" s="1">
        <v>499</v>
      </c>
      <c r="O469" s="1" t="s">
        <v>976</v>
      </c>
      <c r="P469" s="5">
        <v>185</v>
      </c>
      <c r="Q469" s="5">
        <v>0</v>
      </c>
      <c r="R469" s="5">
        <v>185</v>
      </c>
      <c r="S469" s="5">
        <v>0</v>
      </c>
      <c r="T469" s="5" t="s">
        <v>24</v>
      </c>
      <c r="V469" s="5" t="s">
        <v>520</v>
      </c>
      <c r="AB469"/>
      <c r="AC469"/>
      <c r="AD469"/>
    </row>
    <row r="470" spans="1:30" x14ac:dyDescent="0.25">
      <c r="A470" t="s">
        <v>4202</v>
      </c>
      <c r="B470" t="s">
        <v>4203</v>
      </c>
      <c r="C470" s="9" t="s">
        <v>4204</v>
      </c>
      <c r="D470" s="9">
        <v>983669992</v>
      </c>
      <c r="E470" s="5" t="s">
        <v>3041</v>
      </c>
      <c r="F470" s="1" t="s">
        <v>3042</v>
      </c>
      <c r="G470" s="25">
        <v>44177</v>
      </c>
      <c r="H470" s="1" t="s">
        <v>4205</v>
      </c>
      <c r="I470" s="14" t="s">
        <v>2868</v>
      </c>
      <c r="J470" s="1" t="s">
        <v>3006</v>
      </c>
      <c r="K470" s="14" t="s">
        <v>3007</v>
      </c>
      <c r="L470" s="1" t="s">
        <v>3008</v>
      </c>
      <c r="M470" s="1" t="s">
        <v>3009</v>
      </c>
      <c r="N470" s="1">
        <v>86</v>
      </c>
      <c r="O470" s="1" t="s">
        <v>976</v>
      </c>
      <c r="P470" s="5">
        <v>302.88</v>
      </c>
      <c r="Q470" s="5">
        <v>0</v>
      </c>
      <c r="R470" s="5">
        <v>285</v>
      </c>
      <c r="S470" s="5">
        <v>17.88</v>
      </c>
      <c r="T470" s="5" t="s">
        <v>23</v>
      </c>
      <c r="U470" s="5" t="s">
        <v>2443</v>
      </c>
      <c r="V470" s="5" t="s">
        <v>870</v>
      </c>
      <c r="AB470"/>
      <c r="AC470"/>
      <c r="AD470"/>
    </row>
    <row r="471" spans="1:30" x14ac:dyDescent="0.25">
      <c r="A471" t="s">
        <v>4202</v>
      </c>
      <c r="B471" t="s">
        <v>4203</v>
      </c>
      <c r="C471" s="9" t="s">
        <v>4204</v>
      </c>
      <c r="D471" s="9">
        <v>983669992</v>
      </c>
      <c r="E471" s="5" t="s">
        <v>3041</v>
      </c>
      <c r="F471" s="1" t="s">
        <v>3042</v>
      </c>
      <c r="G471" s="25">
        <v>44177</v>
      </c>
      <c r="H471" s="1" t="s">
        <v>4206</v>
      </c>
      <c r="I471" s="14" t="s">
        <v>2886</v>
      </c>
      <c r="J471" s="1" t="s">
        <v>3006</v>
      </c>
      <c r="K471" s="14" t="s">
        <v>3007</v>
      </c>
      <c r="L471" s="1" t="s">
        <v>3008</v>
      </c>
      <c r="M471" s="1" t="s">
        <v>3009</v>
      </c>
      <c r="N471" s="1">
        <v>86</v>
      </c>
      <c r="O471" s="1" t="s">
        <v>976</v>
      </c>
      <c r="P471" s="5">
        <v>414.47</v>
      </c>
      <c r="Q471" s="5">
        <v>0</v>
      </c>
      <c r="R471" s="5">
        <v>390</v>
      </c>
      <c r="S471" s="5">
        <v>24.47</v>
      </c>
      <c r="T471" s="5" t="s">
        <v>23</v>
      </c>
      <c r="U471" s="5" t="s">
        <v>2579</v>
      </c>
      <c r="V471" s="5" t="s">
        <v>894</v>
      </c>
      <c r="AB471"/>
      <c r="AC471"/>
      <c r="AD471"/>
    </row>
    <row r="472" spans="1:30" x14ac:dyDescent="0.25">
      <c r="A472" t="s">
        <v>4207</v>
      </c>
      <c r="B472" t="s">
        <v>4208</v>
      </c>
      <c r="C472" s="9" t="s">
        <v>4209</v>
      </c>
      <c r="D472" s="9">
        <v>991719575</v>
      </c>
      <c r="E472" s="5" t="s">
        <v>3133</v>
      </c>
      <c r="F472" s="1" t="s">
        <v>3248</v>
      </c>
      <c r="G472" s="25">
        <v>44544</v>
      </c>
      <c r="H472" s="1" t="s">
        <v>4210</v>
      </c>
      <c r="I472" s="14" t="s">
        <v>257</v>
      </c>
      <c r="J472" s="1" t="s">
        <v>3006</v>
      </c>
      <c r="K472" s="14" t="s">
        <v>3007</v>
      </c>
      <c r="L472" s="1" t="s">
        <v>3008</v>
      </c>
      <c r="M472" s="1" t="s">
        <v>3016</v>
      </c>
      <c r="N472" s="1">
        <v>1446</v>
      </c>
      <c r="O472" s="1" t="s">
        <v>976</v>
      </c>
      <c r="P472" s="5">
        <v>250.75</v>
      </c>
      <c r="Q472" s="5">
        <v>0</v>
      </c>
      <c r="R472" s="5">
        <v>230</v>
      </c>
      <c r="S472" s="5">
        <v>20.75</v>
      </c>
      <c r="T472" s="5" t="s">
        <v>24</v>
      </c>
      <c r="V472" s="5" t="s">
        <v>257</v>
      </c>
      <c r="AB472"/>
      <c r="AC472"/>
      <c r="AD472"/>
    </row>
    <row r="473" spans="1:30" x14ac:dyDescent="0.25">
      <c r="A473" t="s">
        <v>4211</v>
      </c>
      <c r="B473" t="s">
        <v>4212</v>
      </c>
      <c r="C473" s="9" t="s">
        <v>4213</v>
      </c>
      <c r="D473" s="9">
        <v>992142969</v>
      </c>
      <c r="E473" s="5" t="s">
        <v>3133</v>
      </c>
      <c r="F473" s="1" t="s">
        <v>3248</v>
      </c>
      <c r="G473" s="25">
        <v>44181</v>
      </c>
      <c r="H473" s="1" t="s">
        <v>3610</v>
      </c>
      <c r="I473" s="14" t="s">
        <v>2841</v>
      </c>
      <c r="J473" s="1" t="s">
        <v>3006</v>
      </c>
      <c r="K473" s="14" t="s">
        <v>3007</v>
      </c>
      <c r="L473" s="1" t="s">
        <v>3008</v>
      </c>
      <c r="M473" s="1" t="s">
        <v>3009</v>
      </c>
      <c r="N473" s="1">
        <v>105</v>
      </c>
      <c r="O473" s="1" t="s">
        <v>976</v>
      </c>
      <c r="P473" s="5">
        <v>114.94</v>
      </c>
      <c r="Q473" s="5">
        <v>0</v>
      </c>
      <c r="R473" s="5">
        <v>95</v>
      </c>
      <c r="S473" s="5">
        <v>19.940000000000001</v>
      </c>
      <c r="T473" s="5">
        <v>41</v>
      </c>
      <c r="U473" s="5" t="s">
        <v>2482</v>
      </c>
      <c r="V473" s="5" t="s">
        <v>827</v>
      </c>
      <c r="AB473"/>
      <c r="AC473"/>
      <c r="AD473"/>
    </row>
    <row r="474" spans="1:30" x14ac:dyDescent="0.25">
      <c r="A474" t="s">
        <v>4214</v>
      </c>
      <c r="B474" t="s">
        <v>4215</v>
      </c>
      <c r="C474" s="9" t="s">
        <v>4216</v>
      </c>
      <c r="D474" s="9">
        <v>996560040</v>
      </c>
      <c r="E474" s="5" t="s">
        <v>3003</v>
      </c>
      <c r="F474" s="1" t="s">
        <v>4217</v>
      </c>
      <c r="G474" s="25">
        <v>44544</v>
      </c>
      <c r="H474" s="1" t="s">
        <v>3244</v>
      </c>
      <c r="I474" s="14" t="s">
        <v>2791</v>
      </c>
      <c r="J474" s="1" t="s">
        <v>3006</v>
      </c>
      <c r="K474" s="14" t="s">
        <v>3007</v>
      </c>
      <c r="L474" s="1" t="s">
        <v>3008</v>
      </c>
      <c r="M474" s="1" t="s">
        <v>3016</v>
      </c>
      <c r="N474" s="1">
        <v>1453</v>
      </c>
      <c r="O474" s="1" t="s">
        <v>976</v>
      </c>
      <c r="P474" s="5">
        <v>1691.52</v>
      </c>
      <c r="Q474" s="5">
        <v>0</v>
      </c>
      <c r="R474" s="5">
        <v>1665</v>
      </c>
      <c r="S474" s="5">
        <v>26.52</v>
      </c>
      <c r="T474" s="5" t="s">
        <v>22</v>
      </c>
      <c r="U474" s="5" t="s">
        <v>2447</v>
      </c>
      <c r="V474" s="5" t="s">
        <v>762</v>
      </c>
      <c r="AB474"/>
      <c r="AC474"/>
      <c r="AD474"/>
    </row>
    <row r="475" spans="1:30" x14ac:dyDescent="0.25">
      <c r="A475" t="s">
        <v>4218</v>
      </c>
      <c r="B475" t="s">
        <v>4219</v>
      </c>
      <c r="C475" s="9" t="s">
        <v>4220</v>
      </c>
      <c r="D475" s="9" t="s">
        <v>4221</v>
      </c>
      <c r="E475" s="5" t="s">
        <v>3041</v>
      </c>
      <c r="F475" s="1" t="s">
        <v>3042</v>
      </c>
      <c r="G475" s="25">
        <v>44120</v>
      </c>
      <c r="H475" s="1" t="s">
        <v>4037</v>
      </c>
      <c r="I475" s="14" t="s">
        <v>251</v>
      </c>
      <c r="J475" s="1" t="s">
        <v>3006</v>
      </c>
      <c r="K475" s="14" t="s">
        <v>3007</v>
      </c>
      <c r="L475" s="1" t="s">
        <v>3614</v>
      </c>
      <c r="M475" s="1" t="s">
        <v>3009</v>
      </c>
      <c r="N475" s="1">
        <v>32</v>
      </c>
      <c r="O475" s="1" t="s">
        <v>976</v>
      </c>
      <c r="P475" s="5">
        <v>1340</v>
      </c>
      <c r="Q475" s="5">
        <v>0</v>
      </c>
      <c r="R475" s="5">
        <v>1340</v>
      </c>
      <c r="S475" s="5">
        <v>0</v>
      </c>
      <c r="T475" s="5" t="s">
        <v>24</v>
      </c>
      <c r="V475" s="5" t="s">
        <v>251</v>
      </c>
      <c r="AB475"/>
      <c r="AC475"/>
      <c r="AD475"/>
    </row>
    <row r="476" spans="1:30" x14ac:dyDescent="0.25">
      <c r="A476" t="s">
        <v>4222</v>
      </c>
      <c r="B476" t="s">
        <v>4223</v>
      </c>
      <c r="C476" s="9" t="s">
        <v>3306</v>
      </c>
      <c r="D476" s="9" t="s">
        <v>4224</v>
      </c>
      <c r="E476" s="5" t="s">
        <v>3003</v>
      </c>
      <c r="F476" s="1" t="s">
        <v>3004</v>
      </c>
      <c r="G476" s="25">
        <v>44530</v>
      </c>
      <c r="H476" s="1" t="s">
        <v>4225</v>
      </c>
      <c r="I476" s="14" t="s">
        <v>2816</v>
      </c>
      <c r="J476" s="1" t="s">
        <v>3006</v>
      </c>
      <c r="K476" s="14" t="s">
        <v>3007</v>
      </c>
      <c r="L476" s="1" t="s">
        <v>3008</v>
      </c>
      <c r="M476" s="1" t="s">
        <v>3009</v>
      </c>
      <c r="N476" s="1">
        <v>1335</v>
      </c>
      <c r="O476" s="1" t="s">
        <v>976</v>
      </c>
      <c r="P476" s="5">
        <v>460</v>
      </c>
      <c r="Q476" s="5">
        <v>0</v>
      </c>
      <c r="R476" s="5">
        <v>460</v>
      </c>
      <c r="S476" s="5">
        <v>0</v>
      </c>
      <c r="T476" s="5" t="s">
        <v>23</v>
      </c>
      <c r="U476" s="5" t="s">
        <v>2447</v>
      </c>
      <c r="V476" s="5" t="s">
        <v>792</v>
      </c>
      <c r="AB476"/>
      <c r="AC476"/>
      <c r="AD476"/>
    </row>
    <row r="477" spans="1:30" x14ac:dyDescent="0.25">
      <c r="A477" t="s">
        <v>4222</v>
      </c>
      <c r="B477" t="s">
        <v>4223</v>
      </c>
      <c r="C477" s="9" t="s">
        <v>3306</v>
      </c>
      <c r="D477" s="9" t="s">
        <v>4224</v>
      </c>
      <c r="E477" s="5" t="s">
        <v>3003</v>
      </c>
      <c r="F477" s="1" t="s">
        <v>3004</v>
      </c>
      <c r="G477" s="25">
        <v>44530</v>
      </c>
      <c r="H477" s="1" t="s">
        <v>3769</v>
      </c>
      <c r="I477" s="14" t="s">
        <v>1254</v>
      </c>
      <c r="J477" s="1" t="s">
        <v>3006</v>
      </c>
      <c r="K477" s="14" t="s">
        <v>3007</v>
      </c>
      <c r="L477" s="1" t="s">
        <v>3008</v>
      </c>
      <c r="M477" s="1" t="s">
        <v>3009</v>
      </c>
      <c r="N477" s="1">
        <v>1335</v>
      </c>
      <c r="O477" s="1" t="s">
        <v>976</v>
      </c>
      <c r="P477" s="5">
        <v>920</v>
      </c>
      <c r="Q477" s="5">
        <v>0</v>
      </c>
      <c r="R477" s="5">
        <v>920</v>
      </c>
      <c r="S477" s="5">
        <v>0</v>
      </c>
      <c r="T477" s="5" t="s">
        <v>22</v>
      </c>
      <c r="U477" s="5" t="s">
        <v>2443</v>
      </c>
      <c r="V477" s="5" t="s">
        <v>912</v>
      </c>
      <c r="AB477"/>
      <c r="AC477"/>
      <c r="AD477"/>
    </row>
    <row r="478" spans="1:30" x14ac:dyDescent="0.25">
      <c r="A478" t="s">
        <v>4226</v>
      </c>
      <c r="B478" t="s">
        <v>4227</v>
      </c>
      <c r="C478" s="9" t="s">
        <v>4228</v>
      </c>
      <c r="D478" s="9">
        <v>999794723</v>
      </c>
      <c r="E478" s="5" t="s">
        <v>4229</v>
      </c>
      <c r="F478" s="1" t="s">
        <v>4230</v>
      </c>
      <c r="G478" s="25">
        <v>44444</v>
      </c>
      <c r="H478" s="1" t="s">
        <v>3027</v>
      </c>
      <c r="I478" s="14" t="s">
        <v>254</v>
      </c>
      <c r="J478" s="1" t="s">
        <v>3006</v>
      </c>
      <c r="K478" s="14" t="s">
        <v>3007</v>
      </c>
      <c r="L478" s="1" t="s">
        <v>3008</v>
      </c>
      <c r="M478" s="1" t="s">
        <v>3009</v>
      </c>
      <c r="N478" s="1">
        <v>864</v>
      </c>
      <c r="O478" s="1" t="s">
        <v>976</v>
      </c>
      <c r="P478" s="5">
        <v>1250.46</v>
      </c>
      <c r="Q478" s="5">
        <v>133</v>
      </c>
      <c r="R478" s="5">
        <v>1330</v>
      </c>
      <c r="S478" s="5">
        <v>53.46</v>
      </c>
      <c r="T478" s="5" t="s">
        <v>22</v>
      </c>
      <c r="V478" s="5" t="s">
        <v>254</v>
      </c>
      <c r="AB478"/>
      <c r="AC478"/>
      <c r="AD478"/>
    </row>
    <row r="479" spans="1:30" x14ac:dyDescent="0.25">
      <c r="A479" t="s">
        <v>4231</v>
      </c>
      <c r="B479" t="s">
        <v>4232</v>
      </c>
      <c r="C479" s="9" t="s">
        <v>4233</v>
      </c>
      <c r="D479" s="9">
        <v>984270662</v>
      </c>
      <c r="E479" s="5" t="s">
        <v>3187</v>
      </c>
      <c r="F479" s="1" t="s">
        <v>3188</v>
      </c>
      <c r="G479" s="25">
        <v>44415</v>
      </c>
      <c r="H479" s="1" t="s">
        <v>3075</v>
      </c>
      <c r="I479" s="14" t="s">
        <v>2791</v>
      </c>
      <c r="J479" s="1" t="s">
        <v>3006</v>
      </c>
      <c r="K479" s="14" t="s">
        <v>3007</v>
      </c>
      <c r="L479" s="1" t="s">
        <v>3008</v>
      </c>
      <c r="M479" s="1" t="s">
        <v>3009</v>
      </c>
      <c r="N479" s="1">
        <v>749</v>
      </c>
      <c r="O479" s="1" t="s">
        <v>976</v>
      </c>
      <c r="P479" s="5">
        <v>1234.3599999999999</v>
      </c>
      <c r="Q479" s="5">
        <v>133</v>
      </c>
      <c r="R479" s="5">
        <v>1330</v>
      </c>
      <c r="S479" s="5">
        <v>37.36</v>
      </c>
      <c r="T479" s="5" t="s">
        <v>22</v>
      </c>
      <c r="U479" s="5" t="s">
        <v>2443</v>
      </c>
      <c r="V479" s="5" t="s">
        <v>763</v>
      </c>
      <c r="AB479"/>
      <c r="AC479"/>
      <c r="AD479"/>
    </row>
    <row r="480" spans="1:30" x14ac:dyDescent="0.25">
      <c r="A480" t="s">
        <v>4234</v>
      </c>
      <c r="B480" t="s">
        <v>4235</v>
      </c>
      <c r="C480" s="9" t="s">
        <v>4236</v>
      </c>
      <c r="D480" s="9">
        <v>981110504</v>
      </c>
      <c r="E480" s="5" t="s">
        <v>3187</v>
      </c>
      <c r="F480" s="1" t="s">
        <v>3188</v>
      </c>
      <c r="G480" s="25">
        <v>44378</v>
      </c>
      <c r="H480" s="1" t="s">
        <v>3075</v>
      </c>
      <c r="I480" s="14" t="s">
        <v>2791</v>
      </c>
      <c r="J480" s="1" t="s">
        <v>3006</v>
      </c>
      <c r="K480" s="14" t="s">
        <v>3007</v>
      </c>
      <c r="L480" s="1" t="s">
        <v>3008</v>
      </c>
      <c r="M480" s="1" t="s">
        <v>3009</v>
      </c>
      <c r="N480" s="1">
        <v>572</v>
      </c>
      <c r="O480" s="1" t="s">
        <v>976</v>
      </c>
      <c r="P480" s="5">
        <v>1222.74</v>
      </c>
      <c r="Q480" s="5">
        <v>0</v>
      </c>
      <c r="R480" s="5">
        <v>1200</v>
      </c>
      <c r="S480" s="5">
        <v>22.74</v>
      </c>
      <c r="T480" s="5" t="s">
        <v>22</v>
      </c>
      <c r="U480" s="5" t="s">
        <v>2443</v>
      </c>
      <c r="V480" s="5" t="s">
        <v>763</v>
      </c>
      <c r="AB480"/>
      <c r="AC480"/>
      <c r="AD480"/>
    </row>
    <row r="481" spans="1:30" x14ac:dyDescent="0.25">
      <c r="A481" t="s">
        <v>4237</v>
      </c>
      <c r="B481" t="s">
        <v>4238</v>
      </c>
      <c r="C481" s="9" t="s">
        <v>4239</v>
      </c>
      <c r="D481" s="9">
        <v>996085939</v>
      </c>
      <c r="E481" s="5" t="s">
        <v>3003</v>
      </c>
      <c r="F481" s="1" t="s">
        <v>4027</v>
      </c>
      <c r="G481" s="25">
        <v>44578</v>
      </c>
      <c r="H481" s="1" t="s">
        <v>3075</v>
      </c>
      <c r="I481" s="14" t="s">
        <v>2791</v>
      </c>
      <c r="J481" s="1" t="s">
        <v>3006</v>
      </c>
      <c r="K481" s="14" t="s">
        <v>3007</v>
      </c>
      <c r="L481" s="1" t="s">
        <v>3008</v>
      </c>
      <c r="M481" s="1" t="s">
        <v>3009</v>
      </c>
      <c r="N481" s="1">
        <v>1669</v>
      </c>
      <c r="O481" s="1" t="s">
        <v>976</v>
      </c>
      <c r="P481" s="5">
        <v>1521.12</v>
      </c>
      <c r="Q481" s="5">
        <v>166.5</v>
      </c>
      <c r="R481" s="5">
        <v>1665</v>
      </c>
      <c r="S481" s="5">
        <v>22.62</v>
      </c>
      <c r="T481" s="5" t="s">
        <v>22</v>
      </c>
      <c r="U481" s="5" t="s">
        <v>2443</v>
      </c>
      <c r="V481" s="5" t="s">
        <v>763</v>
      </c>
      <c r="AB481"/>
      <c r="AC481"/>
      <c r="AD481"/>
    </row>
    <row r="482" spans="1:30" x14ac:dyDescent="0.25">
      <c r="A482" t="s">
        <v>4240</v>
      </c>
      <c r="B482" t="s">
        <v>4241</v>
      </c>
      <c r="C482" s="9" t="s">
        <v>4242</v>
      </c>
      <c r="D482" s="9">
        <v>998199376</v>
      </c>
      <c r="E482" s="5" t="s">
        <v>3003</v>
      </c>
      <c r="F482" s="1" t="s">
        <v>3004</v>
      </c>
      <c r="G482" s="25">
        <v>44450</v>
      </c>
      <c r="H482" s="1" t="s">
        <v>3594</v>
      </c>
      <c r="I482" s="14" t="s">
        <v>2782</v>
      </c>
      <c r="J482" s="1" t="s">
        <v>3006</v>
      </c>
      <c r="K482" s="14" t="s">
        <v>3007</v>
      </c>
      <c r="L482" s="1" t="s">
        <v>3008</v>
      </c>
      <c r="M482" s="1" t="s">
        <v>3009</v>
      </c>
      <c r="N482" s="1">
        <v>905</v>
      </c>
      <c r="O482" s="1" t="s">
        <v>976</v>
      </c>
      <c r="P482" s="5">
        <v>460</v>
      </c>
      <c r="Q482" s="5">
        <v>0</v>
      </c>
      <c r="R482" s="5">
        <v>460</v>
      </c>
      <c r="S482" s="5">
        <v>0</v>
      </c>
      <c r="T482" s="5" t="s">
        <v>23</v>
      </c>
      <c r="U482" s="5" t="s">
        <v>2443</v>
      </c>
      <c r="V482" s="5" t="s">
        <v>750</v>
      </c>
      <c r="AB482"/>
      <c r="AC482"/>
      <c r="AD482"/>
    </row>
    <row r="483" spans="1:30" x14ac:dyDescent="0.25">
      <c r="A483" t="s">
        <v>4240</v>
      </c>
      <c r="B483" t="s">
        <v>4241</v>
      </c>
      <c r="C483" s="9" t="s">
        <v>4242</v>
      </c>
      <c r="D483" s="9">
        <v>998199376</v>
      </c>
      <c r="E483" s="5" t="s">
        <v>3003</v>
      </c>
      <c r="F483" s="1" t="s">
        <v>3004</v>
      </c>
      <c r="G483" s="25">
        <v>44450</v>
      </c>
      <c r="H483" s="1" t="s">
        <v>4243</v>
      </c>
      <c r="I483" s="14" t="s">
        <v>536</v>
      </c>
      <c r="J483" s="1" t="s">
        <v>3006</v>
      </c>
      <c r="K483" s="14" t="s">
        <v>3007</v>
      </c>
      <c r="L483" s="1" t="s">
        <v>3008</v>
      </c>
      <c r="M483" s="1" t="s">
        <v>3009</v>
      </c>
      <c r="N483" s="1">
        <v>905</v>
      </c>
      <c r="O483" s="1" t="s">
        <v>976</v>
      </c>
      <c r="P483" s="5">
        <v>970</v>
      </c>
      <c r="Q483" s="5">
        <v>0</v>
      </c>
      <c r="R483" s="5">
        <v>970</v>
      </c>
      <c r="S483" s="5">
        <v>0</v>
      </c>
      <c r="T483" s="5" t="s">
        <v>23</v>
      </c>
      <c r="V483" s="5" t="s">
        <v>536</v>
      </c>
      <c r="AB483"/>
      <c r="AC483"/>
      <c r="AD483"/>
    </row>
    <row r="484" spans="1:30" x14ac:dyDescent="0.25">
      <c r="A484" t="s">
        <v>4244</v>
      </c>
      <c r="B484" t="s">
        <v>4245</v>
      </c>
      <c r="C484" s="9" t="s">
        <v>4246</v>
      </c>
      <c r="D484" s="9" t="s">
        <v>4247</v>
      </c>
      <c r="E484" s="5" t="s">
        <v>3003</v>
      </c>
      <c r="F484" s="1" t="s">
        <v>3004</v>
      </c>
      <c r="G484" s="25">
        <v>44566</v>
      </c>
      <c r="H484" s="1" t="s">
        <v>4248</v>
      </c>
      <c r="I484" s="14" t="s">
        <v>2940</v>
      </c>
      <c r="J484" s="1" t="s">
        <v>3006</v>
      </c>
      <c r="K484" s="14" t="s">
        <v>3007</v>
      </c>
      <c r="L484" s="1" t="s">
        <v>3008</v>
      </c>
      <c r="M484" s="1" t="s">
        <v>3009</v>
      </c>
      <c r="N484" s="1">
        <v>1585</v>
      </c>
      <c r="O484" s="1" t="s">
        <v>976</v>
      </c>
      <c r="P484" s="5">
        <v>870</v>
      </c>
      <c r="Q484" s="5">
        <v>0</v>
      </c>
      <c r="R484" s="5">
        <v>870</v>
      </c>
      <c r="S484" s="5">
        <v>0</v>
      </c>
      <c r="T484" s="5">
        <v>38</v>
      </c>
      <c r="U484" s="5" t="s">
        <v>2495</v>
      </c>
      <c r="V484" s="5" t="s">
        <v>924</v>
      </c>
      <c r="AB484"/>
      <c r="AC484"/>
      <c r="AD484"/>
    </row>
    <row r="485" spans="1:30" x14ac:dyDescent="0.25">
      <c r="A485" t="s">
        <v>4249</v>
      </c>
      <c r="B485" t="s">
        <v>4250</v>
      </c>
      <c r="C485" s="9" t="s">
        <v>4251</v>
      </c>
      <c r="D485" s="9">
        <v>992982711</v>
      </c>
      <c r="E485" s="5" t="s">
        <v>3013</v>
      </c>
      <c r="F485" s="1" t="s">
        <v>3067</v>
      </c>
      <c r="G485" s="25">
        <v>44518</v>
      </c>
      <c r="H485" s="1" t="s">
        <v>3015</v>
      </c>
      <c r="I485" s="14" t="s">
        <v>252</v>
      </c>
      <c r="J485" s="1" t="s">
        <v>3006</v>
      </c>
      <c r="K485" s="14" t="s">
        <v>3007</v>
      </c>
      <c r="L485" s="1" t="s">
        <v>3008</v>
      </c>
      <c r="M485" s="1" t="s">
        <v>3009</v>
      </c>
      <c r="N485" s="1">
        <v>1227</v>
      </c>
      <c r="O485" s="1" t="s">
        <v>976</v>
      </c>
      <c r="P485" s="5">
        <v>1269.1199999999999</v>
      </c>
      <c r="Q485" s="5">
        <v>138</v>
      </c>
      <c r="R485" s="5">
        <v>1380</v>
      </c>
      <c r="S485" s="5">
        <v>27.12</v>
      </c>
      <c r="T485" s="5" t="s">
        <v>22</v>
      </c>
      <c r="V485" s="5" t="s">
        <v>252</v>
      </c>
      <c r="AB485"/>
      <c r="AC485"/>
      <c r="AD485"/>
    </row>
    <row r="486" spans="1:30" x14ac:dyDescent="0.25">
      <c r="A486" t="s">
        <v>4252</v>
      </c>
      <c r="B486" t="s">
        <v>4253</v>
      </c>
      <c r="C486" s="9" t="s">
        <v>4254</v>
      </c>
      <c r="D486" s="9">
        <v>994911467</v>
      </c>
      <c r="E486" s="5" t="s">
        <v>3003</v>
      </c>
      <c r="F486" s="1" t="s">
        <v>3004</v>
      </c>
      <c r="G486" s="25">
        <v>44417</v>
      </c>
      <c r="H486" s="1" t="s">
        <v>3743</v>
      </c>
      <c r="I486" s="14" t="s">
        <v>374</v>
      </c>
      <c r="J486" s="1" t="s">
        <v>3006</v>
      </c>
      <c r="K486" s="14" t="s">
        <v>3007</v>
      </c>
      <c r="L486" s="1" t="s">
        <v>3008</v>
      </c>
      <c r="M486" s="1" t="s">
        <v>3016</v>
      </c>
      <c r="N486" s="1">
        <v>753</v>
      </c>
      <c r="O486" s="1" t="s">
        <v>976</v>
      </c>
      <c r="P486" s="5">
        <v>384.02</v>
      </c>
      <c r="Q486" s="5">
        <v>0</v>
      </c>
      <c r="R486" s="5">
        <v>370</v>
      </c>
      <c r="S486" s="5">
        <v>14.02</v>
      </c>
      <c r="T486" s="5" t="s">
        <v>5574</v>
      </c>
      <c r="V486" s="5" t="s">
        <v>374</v>
      </c>
      <c r="AB486"/>
      <c r="AC486"/>
      <c r="AD486"/>
    </row>
    <row r="487" spans="1:30" x14ac:dyDescent="0.25">
      <c r="A487" t="s">
        <v>4255</v>
      </c>
      <c r="B487" t="s">
        <v>4256</v>
      </c>
      <c r="C487" s="9" t="s">
        <v>4257</v>
      </c>
      <c r="D487" s="9">
        <v>993504004</v>
      </c>
      <c r="E487" s="5" t="s">
        <v>4164</v>
      </c>
      <c r="F487" s="1" t="s">
        <v>4258</v>
      </c>
      <c r="G487" s="25">
        <v>44179</v>
      </c>
      <c r="H487" s="1" t="s">
        <v>4259</v>
      </c>
      <c r="I487" s="14" t="s">
        <v>1415</v>
      </c>
      <c r="J487" s="1" t="s">
        <v>3006</v>
      </c>
      <c r="K487" s="14" t="s">
        <v>3007</v>
      </c>
      <c r="L487" s="1" t="s">
        <v>3008</v>
      </c>
      <c r="M487" s="1" t="s">
        <v>3009</v>
      </c>
      <c r="N487" s="1">
        <v>89</v>
      </c>
      <c r="O487" s="1" t="s">
        <v>976</v>
      </c>
      <c r="P487" s="5">
        <v>802.86</v>
      </c>
      <c r="Q487" s="5">
        <v>0</v>
      </c>
      <c r="R487" s="5">
        <v>690</v>
      </c>
      <c r="S487" s="5">
        <v>112.86</v>
      </c>
      <c r="T487" s="5" t="s">
        <v>23</v>
      </c>
      <c r="U487" s="5" t="s">
        <v>2852</v>
      </c>
      <c r="V487" s="5" t="s">
        <v>845</v>
      </c>
      <c r="AB487"/>
      <c r="AC487"/>
      <c r="AD487"/>
    </row>
    <row r="488" spans="1:30" x14ac:dyDescent="0.25">
      <c r="A488" t="s">
        <v>4260</v>
      </c>
      <c r="B488" t="s">
        <v>4261</v>
      </c>
      <c r="C488" s="9" t="s">
        <v>4262</v>
      </c>
      <c r="D488" s="9">
        <v>996727848</v>
      </c>
      <c r="E488" s="5" t="s">
        <v>3003</v>
      </c>
      <c r="F488" s="1" t="s">
        <v>3004</v>
      </c>
      <c r="G488" s="25">
        <v>44550</v>
      </c>
      <c r="H488" s="1" t="s">
        <v>3027</v>
      </c>
      <c r="I488" s="14" t="s">
        <v>254</v>
      </c>
      <c r="J488" s="1" t="s">
        <v>3006</v>
      </c>
      <c r="K488" s="14" t="s">
        <v>3007</v>
      </c>
      <c r="L488" s="1" t="s">
        <v>3008</v>
      </c>
      <c r="M488" s="1" t="s">
        <v>3009</v>
      </c>
      <c r="N488" s="1">
        <v>1500</v>
      </c>
      <c r="O488" s="1" t="s">
        <v>976</v>
      </c>
      <c r="P488" s="5">
        <v>1665</v>
      </c>
      <c r="Q488" s="5">
        <v>0</v>
      </c>
      <c r="R488" s="5">
        <v>1665</v>
      </c>
      <c r="S488" s="5">
        <v>0</v>
      </c>
      <c r="T488" s="5" t="s">
        <v>22</v>
      </c>
      <c r="V488" s="5" t="s">
        <v>254</v>
      </c>
      <c r="AB488"/>
      <c r="AC488"/>
      <c r="AD488"/>
    </row>
    <row r="489" spans="1:30" x14ac:dyDescent="0.25">
      <c r="A489" t="s">
        <v>4260</v>
      </c>
      <c r="B489" t="s">
        <v>4261</v>
      </c>
      <c r="C489" s="9" t="s">
        <v>4262</v>
      </c>
      <c r="D489" s="9">
        <v>996727848</v>
      </c>
      <c r="E489" s="5" t="s">
        <v>3003</v>
      </c>
      <c r="F489" s="1" t="s">
        <v>3004</v>
      </c>
      <c r="G489" s="25">
        <v>44581</v>
      </c>
      <c r="H489" s="1" t="s">
        <v>3075</v>
      </c>
      <c r="I489" s="14" t="s">
        <v>2791</v>
      </c>
      <c r="J489" s="1" t="s">
        <v>3006</v>
      </c>
      <c r="K489" s="14" t="s">
        <v>3007</v>
      </c>
      <c r="L489" s="1" t="s">
        <v>3008</v>
      </c>
      <c r="M489" s="1" t="s">
        <v>3009</v>
      </c>
      <c r="N489" s="1">
        <v>1695</v>
      </c>
      <c r="O489" s="1" t="s">
        <v>976</v>
      </c>
      <c r="P489" s="5">
        <v>1415.25</v>
      </c>
      <c r="Q489" s="5">
        <v>249.75</v>
      </c>
      <c r="R489" s="5">
        <v>1665</v>
      </c>
      <c r="S489" s="5">
        <v>0</v>
      </c>
      <c r="T489" s="5" t="s">
        <v>22</v>
      </c>
      <c r="U489" s="5" t="s">
        <v>2443</v>
      </c>
      <c r="V489" s="5" t="s">
        <v>763</v>
      </c>
      <c r="AB489"/>
      <c r="AC489"/>
      <c r="AD489"/>
    </row>
    <row r="490" spans="1:30" x14ac:dyDescent="0.25">
      <c r="A490" t="s">
        <v>4263</v>
      </c>
      <c r="B490" t="s">
        <v>4264</v>
      </c>
      <c r="C490" s="9" t="s">
        <v>4265</v>
      </c>
      <c r="D490" s="9">
        <v>998104623</v>
      </c>
      <c r="E490" s="5" t="s">
        <v>3003</v>
      </c>
      <c r="F490" s="1" t="s">
        <v>3004</v>
      </c>
      <c r="G490" s="25">
        <v>44410</v>
      </c>
      <c r="H490" s="1" t="s">
        <v>3075</v>
      </c>
      <c r="I490" s="14" t="s">
        <v>2791</v>
      </c>
      <c r="J490" s="1" t="s">
        <v>3006</v>
      </c>
      <c r="K490" s="14" t="s">
        <v>3007</v>
      </c>
      <c r="L490" s="1" t="s">
        <v>3008</v>
      </c>
      <c r="M490" s="1" t="s">
        <v>3009</v>
      </c>
      <c r="N490" s="1">
        <v>726</v>
      </c>
      <c r="O490" s="1" t="s">
        <v>976</v>
      </c>
      <c r="P490" s="5">
        <v>1217.78</v>
      </c>
      <c r="Q490" s="5">
        <v>0</v>
      </c>
      <c r="R490" s="5">
        <v>1200</v>
      </c>
      <c r="S490" s="5">
        <v>17.78</v>
      </c>
      <c r="T490" s="5" t="s">
        <v>22</v>
      </c>
      <c r="U490" s="5" t="s">
        <v>2443</v>
      </c>
      <c r="V490" s="5" t="s">
        <v>763</v>
      </c>
      <c r="AB490"/>
      <c r="AC490"/>
      <c r="AD490"/>
    </row>
    <row r="491" spans="1:30" x14ac:dyDescent="0.25">
      <c r="A491" t="s">
        <v>4266</v>
      </c>
      <c r="B491" t="s">
        <v>4267</v>
      </c>
      <c r="C491" s="9" t="s">
        <v>4268</v>
      </c>
      <c r="D491" s="9" t="s">
        <v>4269</v>
      </c>
      <c r="E491" s="5" t="s">
        <v>3003</v>
      </c>
      <c r="F491" s="1" t="s">
        <v>3004</v>
      </c>
      <c r="G491" s="25">
        <v>44538</v>
      </c>
      <c r="H491" s="1" t="s">
        <v>3075</v>
      </c>
      <c r="I491" s="14" t="s">
        <v>2791</v>
      </c>
      <c r="J491" s="1" t="s">
        <v>3006</v>
      </c>
      <c r="K491" s="14" t="s">
        <v>3007</v>
      </c>
      <c r="L491" s="1" t="s">
        <v>3008</v>
      </c>
      <c r="M491" s="1" t="s">
        <v>3009</v>
      </c>
      <c r="N491" s="1">
        <v>1387</v>
      </c>
      <c r="O491" s="1" t="s">
        <v>976</v>
      </c>
      <c r="P491" s="5">
        <v>1380</v>
      </c>
      <c r="Q491" s="5">
        <v>0</v>
      </c>
      <c r="R491" s="5">
        <v>1380</v>
      </c>
      <c r="S491" s="5">
        <v>0</v>
      </c>
      <c r="T491" s="5" t="s">
        <v>22</v>
      </c>
      <c r="U491" s="5" t="s">
        <v>2443</v>
      </c>
      <c r="V491" s="5" t="s">
        <v>763</v>
      </c>
      <c r="AB491"/>
      <c r="AC491"/>
      <c r="AD491"/>
    </row>
    <row r="492" spans="1:30" x14ac:dyDescent="0.25">
      <c r="A492" t="s">
        <v>4270</v>
      </c>
      <c r="B492" t="s">
        <v>4271</v>
      </c>
      <c r="C492" s="9" t="s">
        <v>4272</v>
      </c>
      <c r="D492" s="9">
        <v>992499968</v>
      </c>
      <c r="E492" s="5" t="s">
        <v>3514</v>
      </c>
      <c r="F492" s="1" t="s">
        <v>4083</v>
      </c>
      <c r="G492" s="25">
        <v>44255</v>
      </c>
      <c r="H492" s="1" t="s">
        <v>3564</v>
      </c>
      <c r="I492" s="14" t="s">
        <v>295</v>
      </c>
      <c r="J492" s="1" t="s">
        <v>3006</v>
      </c>
      <c r="K492" s="14" t="s">
        <v>3007</v>
      </c>
      <c r="L492" s="1" t="s">
        <v>3008</v>
      </c>
      <c r="M492" s="1" t="s">
        <v>3016</v>
      </c>
      <c r="N492" s="1">
        <v>249</v>
      </c>
      <c r="O492" s="1" t="s">
        <v>976</v>
      </c>
      <c r="P492" s="5">
        <v>615</v>
      </c>
      <c r="Q492" s="5">
        <v>0</v>
      </c>
      <c r="R492" s="5">
        <v>615</v>
      </c>
      <c r="S492" s="5">
        <v>0</v>
      </c>
      <c r="T492" s="5" t="s">
        <v>24</v>
      </c>
      <c r="V492" s="5" t="s">
        <v>295</v>
      </c>
      <c r="AB492"/>
      <c r="AC492"/>
      <c r="AD492"/>
    </row>
    <row r="493" spans="1:30" x14ac:dyDescent="0.25">
      <c r="A493" t="s">
        <v>4273</v>
      </c>
      <c r="B493" t="s">
        <v>4274</v>
      </c>
      <c r="C493" s="9" t="s">
        <v>4275</v>
      </c>
      <c r="D493" s="9" t="s">
        <v>4276</v>
      </c>
      <c r="E493" s="5" t="s">
        <v>3003</v>
      </c>
      <c r="F493" s="1" t="s">
        <v>3004</v>
      </c>
      <c r="G493" s="25">
        <v>44469</v>
      </c>
      <c r="H493" s="1" t="s">
        <v>3379</v>
      </c>
      <c r="I493" s="14" t="s">
        <v>302</v>
      </c>
      <c r="J493" s="1" t="s">
        <v>3006</v>
      </c>
      <c r="K493" s="14" t="s">
        <v>3007</v>
      </c>
      <c r="L493" s="1" t="s">
        <v>3008</v>
      </c>
      <c r="M493" s="1" t="s">
        <v>3009</v>
      </c>
      <c r="N493" s="1">
        <v>993</v>
      </c>
      <c r="O493" s="1" t="s">
        <v>976</v>
      </c>
      <c r="P493" s="5">
        <v>0</v>
      </c>
      <c r="Q493" s="5">
        <v>790</v>
      </c>
      <c r="R493" s="5">
        <v>790</v>
      </c>
      <c r="S493" s="5">
        <v>0</v>
      </c>
      <c r="T493" s="5" t="s">
        <v>23</v>
      </c>
      <c r="V493" s="5" t="s">
        <v>302</v>
      </c>
      <c r="AB493"/>
      <c r="AC493"/>
      <c r="AD493"/>
    </row>
    <row r="494" spans="1:30" x14ac:dyDescent="0.25">
      <c r="A494" t="s">
        <v>4277</v>
      </c>
      <c r="B494" t="s">
        <v>4278</v>
      </c>
      <c r="C494" s="9" t="s">
        <v>4279</v>
      </c>
      <c r="D494" s="9" t="s">
        <v>976</v>
      </c>
      <c r="E494" s="5" t="s">
        <v>3003</v>
      </c>
      <c r="F494" s="1" t="s">
        <v>3004</v>
      </c>
      <c r="G494" s="25">
        <v>44331</v>
      </c>
      <c r="H494" s="1" t="s">
        <v>4280</v>
      </c>
      <c r="I494" s="14" t="s">
        <v>558</v>
      </c>
      <c r="J494" s="1" t="s">
        <v>3006</v>
      </c>
      <c r="K494" s="14" t="s">
        <v>3007</v>
      </c>
      <c r="L494" s="1" t="s">
        <v>3008</v>
      </c>
      <c r="M494" s="1" t="s">
        <v>3016</v>
      </c>
      <c r="N494" s="1">
        <v>420</v>
      </c>
      <c r="O494" s="1" t="s">
        <v>976</v>
      </c>
      <c r="P494" s="5">
        <v>180</v>
      </c>
      <c r="Q494" s="5">
        <v>60</v>
      </c>
      <c r="R494" s="5">
        <v>240</v>
      </c>
      <c r="S494" s="5">
        <v>0</v>
      </c>
      <c r="T494" s="5" t="s">
        <v>22</v>
      </c>
      <c r="V494" s="5" t="s">
        <v>558</v>
      </c>
      <c r="AB494"/>
      <c r="AC494"/>
      <c r="AD494"/>
    </row>
    <row r="495" spans="1:30" x14ac:dyDescent="0.25">
      <c r="A495" t="s">
        <v>4281</v>
      </c>
      <c r="B495" t="s">
        <v>4282</v>
      </c>
      <c r="C495" s="9" t="s">
        <v>4283</v>
      </c>
      <c r="D495" s="9" t="s">
        <v>4284</v>
      </c>
      <c r="E495" s="5" t="s">
        <v>3003</v>
      </c>
      <c r="F495" s="1" t="s">
        <v>3004</v>
      </c>
      <c r="G495" s="25">
        <v>44434</v>
      </c>
      <c r="H495" s="1" t="s">
        <v>3027</v>
      </c>
      <c r="I495" s="14" t="s">
        <v>254</v>
      </c>
      <c r="J495" s="1" t="s">
        <v>3006</v>
      </c>
      <c r="K495" s="14" t="s">
        <v>3007</v>
      </c>
      <c r="L495" s="1" t="s">
        <v>3008</v>
      </c>
      <c r="M495" s="1" t="s">
        <v>3016</v>
      </c>
      <c r="N495" s="1">
        <v>824</v>
      </c>
      <c r="O495" s="1" t="s">
        <v>976</v>
      </c>
      <c r="P495" s="5">
        <v>1213</v>
      </c>
      <c r="Q495" s="5">
        <v>133</v>
      </c>
      <c r="R495" s="5">
        <v>1330</v>
      </c>
      <c r="S495" s="5">
        <v>16</v>
      </c>
      <c r="T495" s="5" t="s">
        <v>22</v>
      </c>
      <c r="V495" s="5" t="s">
        <v>254</v>
      </c>
      <c r="AB495"/>
      <c r="AC495"/>
      <c r="AD495"/>
    </row>
    <row r="496" spans="1:30" x14ac:dyDescent="0.25">
      <c r="A496" t="s">
        <v>4285</v>
      </c>
      <c r="B496" t="s">
        <v>4286</v>
      </c>
      <c r="C496" s="9" t="s">
        <v>4287</v>
      </c>
      <c r="D496" s="9">
        <v>967648849</v>
      </c>
      <c r="E496" s="5" t="s">
        <v>3003</v>
      </c>
      <c r="F496" s="1" t="s">
        <v>3004</v>
      </c>
      <c r="G496" s="25">
        <v>44348</v>
      </c>
      <c r="H496" s="1" t="s">
        <v>3027</v>
      </c>
      <c r="I496" s="14" t="s">
        <v>254</v>
      </c>
      <c r="J496" s="1" t="s">
        <v>3006</v>
      </c>
      <c r="K496" s="14" t="s">
        <v>3007</v>
      </c>
      <c r="L496" s="1" t="s">
        <v>3008</v>
      </c>
      <c r="M496" s="1" t="s">
        <v>3009</v>
      </c>
      <c r="N496" s="1">
        <v>460</v>
      </c>
      <c r="O496" s="1" t="s">
        <v>976</v>
      </c>
      <c r="P496" s="5">
        <v>1218.77</v>
      </c>
      <c r="Q496" s="5">
        <v>0</v>
      </c>
      <c r="R496" s="5">
        <v>1200</v>
      </c>
      <c r="S496" s="5">
        <v>18.77</v>
      </c>
      <c r="T496" s="5" t="s">
        <v>22</v>
      </c>
      <c r="V496" s="5" t="s">
        <v>254</v>
      </c>
      <c r="AB496"/>
      <c r="AC496"/>
      <c r="AD496"/>
    </row>
    <row r="497" spans="1:30" x14ac:dyDescent="0.25">
      <c r="A497" t="s">
        <v>4288</v>
      </c>
      <c r="B497" t="s">
        <v>4289</v>
      </c>
      <c r="C497" s="9" t="s">
        <v>4290</v>
      </c>
      <c r="D497" s="9" t="s">
        <v>4291</v>
      </c>
      <c r="E497" s="5" t="s">
        <v>3733</v>
      </c>
      <c r="F497" s="1" t="s">
        <v>4292</v>
      </c>
      <c r="G497" s="25">
        <v>44260</v>
      </c>
      <c r="H497" s="1" t="s">
        <v>3234</v>
      </c>
      <c r="I497" s="14" t="s">
        <v>520</v>
      </c>
      <c r="J497" s="1" t="s">
        <v>3006</v>
      </c>
      <c r="K497" s="14" t="s">
        <v>3007</v>
      </c>
      <c r="L497" s="1" t="s">
        <v>3008</v>
      </c>
      <c r="M497" s="1" t="s">
        <v>3016</v>
      </c>
      <c r="N497" s="1">
        <v>270</v>
      </c>
      <c r="O497" s="1" t="s">
        <v>976</v>
      </c>
      <c r="P497" s="5">
        <v>185</v>
      </c>
      <c r="Q497" s="5">
        <v>0</v>
      </c>
      <c r="R497" s="5">
        <v>185</v>
      </c>
      <c r="S497" s="5">
        <v>0</v>
      </c>
      <c r="T497" s="5" t="s">
        <v>24</v>
      </c>
      <c r="V497" s="5" t="s">
        <v>520</v>
      </c>
      <c r="AB497"/>
      <c r="AC497"/>
      <c r="AD497"/>
    </row>
    <row r="498" spans="1:30" x14ac:dyDescent="0.25">
      <c r="A498" t="s">
        <v>4293</v>
      </c>
      <c r="B498" t="s">
        <v>4294</v>
      </c>
      <c r="C498" s="9" t="s">
        <v>4295</v>
      </c>
      <c r="D498" s="9">
        <v>996663818</v>
      </c>
      <c r="E498" s="5" t="s">
        <v>3041</v>
      </c>
      <c r="F498" s="1" t="s">
        <v>3042</v>
      </c>
      <c r="G498" s="25">
        <v>44506</v>
      </c>
      <c r="H498" s="1" t="s">
        <v>3343</v>
      </c>
      <c r="I498" s="14" t="s">
        <v>253</v>
      </c>
      <c r="J498" s="1" t="s">
        <v>3006</v>
      </c>
      <c r="K498" s="14" t="s">
        <v>3007</v>
      </c>
      <c r="L498" s="1" t="s">
        <v>3008</v>
      </c>
      <c r="M498" s="1" t="s">
        <v>3009</v>
      </c>
      <c r="N498" s="1">
        <v>1166</v>
      </c>
      <c r="O498" s="1" t="s">
        <v>976</v>
      </c>
      <c r="P498" s="5">
        <v>1800.91</v>
      </c>
      <c r="Q498" s="5">
        <v>0</v>
      </c>
      <c r="R498" s="5">
        <v>1770</v>
      </c>
      <c r="S498" s="5">
        <v>30.91</v>
      </c>
      <c r="T498" s="5" t="s">
        <v>24</v>
      </c>
      <c r="V498" s="5" t="s">
        <v>253</v>
      </c>
      <c r="AB498"/>
      <c r="AC498"/>
      <c r="AD498"/>
    </row>
    <row r="499" spans="1:30" x14ac:dyDescent="0.25">
      <c r="A499" t="s">
        <v>4296</v>
      </c>
      <c r="B499" t="s">
        <v>4297</v>
      </c>
      <c r="C499" s="9" t="s">
        <v>4298</v>
      </c>
      <c r="D499" s="9">
        <v>992479219</v>
      </c>
      <c r="E499" s="5" t="s">
        <v>3133</v>
      </c>
      <c r="F499" s="1" t="s">
        <v>4299</v>
      </c>
      <c r="G499" s="25">
        <v>44546</v>
      </c>
      <c r="H499" s="1" t="s">
        <v>3098</v>
      </c>
      <c r="I499" s="14" t="s">
        <v>248</v>
      </c>
      <c r="J499" s="1" t="s">
        <v>3006</v>
      </c>
      <c r="K499" s="14" t="s">
        <v>3007</v>
      </c>
      <c r="L499" s="1" t="s">
        <v>3008</v>
      </c>
      <c r="M499" s="1" t="s">
        <v>3009</v>
      </c>
      <c r="N499" s="1">
        <v>1473</v>
      </c>
      <c r="O499" s="1" t="s">
        <v>976</v>
      </c>
      <c r="P499" s="5">
        <v>1708.79</v>
      </c>
      <c r="Q499" s="5">
        <v>0</v>
      </c>
      <c r="R499" s="5">
        <v>1670</v>
      </c>
      <c r="S499" s="5">
        <v>38.79</v>
      </c>
      <c r="T499" s="5" t="s">
        <v>5574</v>
      </c>
      <c r="V499" s="5" t="s">
        <v>248</v>
      </c>
      <c r="AB499"/>
      <c r="AC499"/>
      <c r="AD499"/>
    </row>
    <row r="500" spans="1:30" x14ac:dyDescent="0.25">
      <c r="A500" t="s">
        <v>4296</v>
      </c>
      <c r="B500" t="s">
        <v>4297</v>
      </c>
      <c r="C500" s="9" t="s">
        <v>4298</v>
      </c>
      <c r="D500" s="9">
        <v>992479219</v>
      </c>
      <c r="E500" s="5" t="s">
        <v>3133</v>
      </c>
      <c r="F500" s="1" t="s">
        <v>4299</v>
      </c>
      <c r="G500" s="25">
        <v>44546</v>
      </c>
      <c r="H500" s="1" t="s">
        <v>4300</v>
      </c>
      <c r="I500" s="14" t="s">
        <v>276</v>
      </c>
      <c r="J500" s="1" t="s">
        <v>3006</v>
      </c>
      <c r="K500" s="14" t="s">
        <v>3007</v>
      </c>
      <c r="L500" s="1" t="s">
        <v>3008</v>
      </c>
      <c r="M500" s="1" t="s">
        <v>3009</v>
      </c>
      <c r="N500" s="1">
        <v>1473</v>
      </c>
      <c r="O500" s="1" t="s">
        <v>976</v>
      </c>
      <c r="P500" s="5">
        <v>849.28</v>
      </c>
      <c r="Q500" s="5">
        <v>0</v>
      </c>
      <c r="R500" s="5">
        <v>830</v>
      </c>
      <c r="S500" s="5">
        <v>19.28</v>
      </c>
      <c r="T500" s="5">
        <v>41</v>
      </c>
      <c r="V500" s="5" t="s">
        <v>276</v>
      </c>
      <c r="AB500"/>
      <c r="AC500"/>
      <c r="AD500"/>
    </row>
    <row r="501" spans="1:30" x14ac:dyDescent="0.25">
      <c r="A501" t="s">
        <v>4296</v>
      </c>
      <c r="B501" t="s">
        <v>4297</v>
      </c>
      <c r="C501" s="9" t="s">
        <v>4298</v>
      </c>
      <c r="D501" s="9">
        <v>992479219</v>
      </c>
      <c r="E501" s="5" t="s">
        <v>3133</v>
      </c>
      <c r="F501" s="1" t="s">
        <v>4299</v>
      </c>
      <c r="G501" s="25">
        <v>44546</v>
      </c>
      <c r="H501" s="1" t="s">
        <v>4301</v>
      </c>
      <c r="I501" s="14" t="s">
        <v>2856</v>
      </c>
      <c r="J501" s="1" t="s">
        <v>3006</v>
      </c>
      <c r="K501" s="14" t="s">
        <v>3007</v>
      </c>
      <c r="L501" s="1" t="s">
        <v>3008</v>
      </c>
      <c r="M501" s="1" t="s">
        <v>3009</v>
      </c>
      <c r="N501" s="1">
        <v>1473</v>
      </c>
      <c r="O501" s="1" t="s">
        <v>976</v>
      </c>
      <c r="P501" s="5">
        <v>695.79</v>
      </c>
      <c r="Q501" s="5">
        <v>0</v>
      </c>
      <c r="R501" s="5">
        <v>680</v>
      </c>
      <c r="S501" s="5">
        <v>15.79</v>
      </c>
      <c r="T501" s="5" t="s">
        <v>23</v>
      </c>
      <c r="U501" s="5" t="s">
        <v>2447</v>
      </c>
      <c r="V501" s="5" t="s">
        <v>851</v>
      </c>
      <c r="AB501"/>
      <c r="AC501"/>
      <c r="AD501"/>
    </row>
    <row r="502" spans="1:30" x14ac:dyDescent="0.25">
      <c r="A502" t="s">
        <v>4302</v>
      </c>
      <c r="B502" t="s">
        <v>4303</v>
      </c>
      <c r="C502" s="9" t="s">
        <v>4304</v>
      </c>
      <c r="D502" s="9">
        <v>968615855</v>
      </c>
      <c r="E502" s="5" t="s">
        <v>3003</v>
      </c>
      <c r="F502" s="1" t="s">
        <v>4305</v>
      </c>
      <c r="G502" s="25">
        <v>44387</v>
      </c>
      <c r="H502" s="1" t="s">
        <v>4306</v>
      </c>
      <c r="I502" s="14" t="s">
        <v>2853</v>
      </c>
      <c r="J502" s="1" t="s">
        <v>3006</v>
      </c>
      <c r="K502" s="14" t="s">
        <v>3007</v>
      </c>
      <c r="L502" s="1" t="s">
        <v>3008</v>
      </c>
      <c r="M502" s="1" t="s">
        <v>3009</v>
      </c>
      <c r="N502" s="1">
        <v>615</v>
      </c>
      <c r="O502" s="1" t="s">
        <v>976</v>
      </c>
      <c r="P502" s="5">
        <v>572.87</v>
      </c>
      <c r="Q502" s="5">
        <v>61.5</v>
      </c>
      <c r="R502" s="5">
        <v>615</v>
      </c>
      <c r="S502" s="5">
        <v>19.37</v>
      </c>
      <c r="T502" s="5" t="s">
        <v>22</v>
      </c>
      <c r="U502" s="5" t="s">
        <v>2447</v>
      </c>
      <c r="V502" s="5" t="s">
        <v>846</v>
      </c>
      <c r="AB502"/>
      <c r="AC502"/>
      <c r="AD502"/>
    </row>
    <row r="503" spans="1:30" x14ac:dyDescent="0.25">
      <c r="A503" t="s">
        <v>4302</v>
      </c>
      <c r="B503" t="s">
        <v>4303</v>
      </c>
      <c r="C503" s="9" t="s">
        <v>4304</v>
      </c>
      <c r="D503" s="9">
        <v>968615855</v>
      </c>
      <c r="E503" s="5" t="s">
        <v>3003</v>
      </c>
      <c r="F503" s="1" t="s">
        <v>4305</v>
      </c>
      <c r="G503" s="25">
        <v>44411</v>
      </c>
      <c r="H503" s="1" t="s">
        <v>4307</v>
      </c>
      <c r="I503" s="14" t="s">
        <v>2930</v>
      </c>
      <c r="J503" s="1" t="s">
        <v>3006</v>
      </c>
      <c r="K503" s="14" t="s">
        <v>3007</v>
      </c>
      <c r="L503" s="1" t="s">
        <v>3008</v>
      </c>
      <c r="M503" s="1" t="s">
        <v>3009</v>
      </c>
      <c r="N503" s="1">
        <v>730</v>
      </c>
      <c r="O503" s="1" t="s">
        <v>976</v>
      </c>
      <c r="P503" s="5">
        <v>533.82000000000005</v>
      </c>
      <c r="Q503" s="5">
        <v>57.5</v>
      </c>
      <c r="R503" s="5">
        <v>575</v>
      </c>
      <c r="S503" s="5">
        <v>16.32</v>
      </c>
      <c r="T503" s="5" t="s">
        <v>23</v>
      </c>
      <c r="U503" s="5" t="s">
        <v>2433</v>
      </c>
      <c r="V503" s="5" t="s">
        <v>921</v>
      </c>
      <c r="AB503"/>
      <c r="AC503"/>
      <c r="AD503"/>
    </row>
    <row r="504" spans="1:30" x14ac:dyDescent="0.25">
      <c r="A504" t="s">
        <v>4308</v>
      </c>
      <c r="B504" t="s">
        <v>4309</v>
      </c>
      <c r="C504" s="9" t="s">
        <v>4310</v>
      </c>
      <c r="D504" s="9">
        <v>992811662</v>
      </c>
      <c r="E504" s="5" t="s">
        <v>3003</v>
      </c>
      <c r="F504" s="1" t="s">
        <v>4311</v>
      </c>
      <c r="G504" s="25">
        <v>44400</v>
      </c>
      <c r="H504" s="1" t="s">
        <v>3510</v>
      </c>
      <c r="I504" s="14" t="s">
        <v>2805</v>
      </c>
      <c r="J504" s="1" t="s">
        <v>3006</v>
      </c>
      <c r="K504" s="14" t="s">
        <v>3007</v>
      </c>
      <c r="L504" s="1" t="s">
        <v>3008</v>
      </c>
      <c r="M504" s="1" t="s">
        <v>3016</v>
      </c>
      <c r="N504" s="1">
        <v>691</v>
      </c>
      <c r="O504" s="1" t="s">
        <v>976</v>
      </c>
      <c r="P504" s="5">
        <v>440.62</v>
      </c>
      <c r="Q504" s="5">
        <v>47</v>
      </c>
      <c r="R504" s="5">
        <v>470</v>
      </c>
      <c r="S504" s="5">
        <v>17.62</v>
      </c>
      <c r="T504" s="5">
        <v>40</v>
      </c>
      <c r="U504" s="5" t="s">
        <v>2443</v>
      </c>
      <c r="V504" s="5" t="s">
        <v>776</v>
      </c>
      <c r="AB504"/>
      <c r="AC504"/>
      <c r="AD504"/>
    </row>
    <row r="505" spans="1:30" x14ac:dyDescent="0.25">
      <c r="A505" t="s">
        <v>4312</v>
      </c>
      <c r="B505" t="s">
        <v>4313</v>
      </c>
      <c r="C505" s="9" t="s">
        <v>4314</v>
      </c>
      <c r="D505" s="9" t="s">
        <v>4315</v>
      </c>
      <c r="E505" s="5" t="s">
        <v>3003</v>
      </c>
      <c r="F505" s="1" t="s">
        <v>4316</v>
      </c>
      <c r="G505" s="25">
        <v>44411</v>
      </c>
      <c r="H505" s="1" t="s">
        <v>3568</v>
      </c>
      <c r="I505" s="14" t="s">
        <v>2829</v>
      </c>
      <c r="J505" s="1" t="s">
        <v>3006</v>
      </c>
      <c r="K505" s="14" t="s">
        <v>3007</v>
      </c>
      <c r="L505" s="1" t="s">
        <v>3008</v>
      </c>
      <c r="M505" s="1" t="s">
        <v>3009</v>
      </c>
      <c r="N505" s="1">
        <v>728</v>
      </c>
      <c r="O505" s="1" t="s">
        <v>976</v>
      </c>
      <c r="P505" s="5">
        <v>1221.95</v>
      </c>
      <c r="Q505" s="5">
        <v>1098</v>
      </c>
      <c r="R505" s="5">
        <v>2300</v>
      </c>
      <c r="S505" s="5">
        <v>19.95</v>
      </c>
      <c r="T505" s="5" t="s">
        <v>23</v>
      </c>
      <c r="U505" s="5" t="s">
        <v>2447</v>
      </c>
      <c r="V505" s="5" t="s">
        <v>811</v>
      </c>
      <c r="AB505"/>
      <c r="AC505"/>
      <c r="AD505"/>
    </row>
    <row r="506" spans="1:30" x14ac:dyDescent="0.25">
      <c r="A506" t="s">
        <v>4312</v>
      </c>
      <c r="B506" t="s">
        <v>4313</v>
      </c>
      <c r="C506" s="9" t="s">
        <v>4314</v>
      </c>
      <c r="D506" s="9" t="s">
        <v>4315</v>
      </c>
      <c r="E506" s="5" t="s">
        <v>3003</v>
      </c>
      <c r="F506" s="1" t="s">
        <v>4316</v>
      </c>
      <c r="G506" s="25">
        <v>44411</v>
      </c>
      <c r="H506" s="1" t="s">
        <v>4307</v>
      </c>
      <c r="I506" s="14" t="s">
        <v>2930</v>
      </c>
      <c r="J506" s="1" t="s">
        <v>3006</v>
      </c>
      <c r="K506" s="14" t="s">
        <v>3007</v>
      </c>
      <c r="L506" s="1" t="s">
        <v>3008</v>
      </c>
      <c r="M506" s="1" t="s">
        <v>3009</v>
      </c>
      <c r="N506" s="1">
        <v>728</v>
      </c>
      <c r="O506" s="1" t="s">
        <v>976</v>
      </c>
      <c r="P506" s="5">
        <v>579.99</v>
      </c>
      <c r="Q506" s="5">
        <v>0</v>
      </c>
      <c r="R506" s="5">
        <v>575</v>
      </c>
      <c r="S506" s="5">
        <v>4.99</v>
      </c>
      <c r="T506" s="5" t="s">
        <v>23</v>
      </c>
      <c r="U506" s="5" t="s">
        <v>2433</v>
      </c>
      <c r="V506" s="5" t="s">
        <v>921</v>
      </c>
      <c r="AB506"/>
      <c r="AC506"/>
      <c r="AD506"/>
    </row>
    <row r="507" spans="1:30" x14ac:dyDescent="0.25">
      <c r="A507" t="s">
        <v>4317</v>
      </c>
      <c r="B507" t="s">
        <v>4318</v>
      </c>
      <c r="C507" s="9" t="s">
        <v>4319</v>
      </c>
      <c r="D507" s="9">
        <v>984981900</v>
      </c>
      <c r="E507" s="5" t="s">
        <v>3003</v>
      </c>
      <c r="F507" s="1" t="s">
        <v>3004</v>
      </c>
      <c r="G507" s="25">
        <v>44178</v>
      </c>
      <c r="H507" s="1" t="s">
        <v>4170</v>
      </c>
      <c r="I507" s="14" t="s">
        <v>2868</v>
      </c>
      <c r="J507" s="1" t="s">
        <v>3006</v>
      </c>
      <c r="K507" s="14" t="s">
        <v>3007</v>
      </c>
      <c r="L507" s="1" t="s">
        <v>3008</v>
      </c>
      <c r="M507" s="1" t="s">
        <v>3016</v>
      </c>
      <c r="N507" s="1">
        <v>88</v>
      </c>
      <c r="O507" s="1" t="s">
        <v>976</v>
      </c>
      <c r="P507" s="5">
        <v>300.73</v>
      </c>
      <c r="Q507" s="5">
        <v>0</v>
      </c>
      <c r="R507" s="5">
        <v>285</v>
      </c>
      <c r="S507" s="5">
        <v>15.73</v>
      </c>
      <c r="T507" s="5" t="s">
        <v>22</v>
      </c>
      <c r="U507" s="5" t="s">
        <v>2443</v>
      </c>
      <c r="V507" s="5" t="s">
        <v>870</v>
      </c>
      <c r="AB507"/>
      <c r="AC507"/>
      <c r="AD507"/>
    </row>
    <row r="508" spans="1:30" x14ac:dyDescent="0.25">
      <c r="A508" t="s">
        <v>4320</v>
      </c>
      <c r="B508" t="s">
        <v>4321</v>
      </c>
      <c r="C508" s="9" t="s">
        <v>4322</v>
      </c>
      <c r="D508" s="9">
        <v>964708234</v>
      </c>
      <c r="E508" s="5" t="s">
        <v>3041</v>
      </c>
      <c r="F508" s="1" t="s">
        <v>3042</v>
      </c>
      <c r="G508" s="25">
        <v>44191</v>
      </c>
      <c r="H508" s="1" t="s">
        <v>3392</v>
      </c>
      <c r="I508" s="14" t="s">
        <v>297</v>
      </c>
      <c r="J508" s="1" t="s">
        <v>3006</v>
      </c>
      <c r="K508" s="14" t="s">
        <v>3007</v>
      </c>
      <c r="L508" s="1" t="s">
        <v>3008</v>
      </c>
      <c r="M508" s="1" t="s">
        <v>3009</v>
      </c>
      <c r="N508" s="1">
        <v>134</v>
      </c>
      <c r="O508" s="1" t="s">
        <v>976</v>
      </c>
      <c r="P508" s="5">
        <v>638.05999999999995</v>
      </c>
      <c r="Q508" s="5">
        <v>0</v>
      </c>
      <c r="R508" s="5">
        <v>615</v>
      </c>
      <c r="S508" s="5">
        <v>23.06</v>
      </c>
      <c r="T508" s="5" t="s">
        <v>23</v>
      </c>
      <c r="V508" s="5" t="s">
        <v>297</v>
      </c>
      <c r="AB508"/>
      <c r="AC508"/>
      <c r="AD508"/>
    </row>
    <row r="509" spans="1:30" x14ac:dyDescent="0.25">
      <c r="A509" t="s">
        <v>4323</v>
      </c>
      <c r="B509" t="s">
        <v>4324</v>
      </c>
      <c r="C509" s="9" t="s">
        <v>4325</v>
      </c>
      <c r="D509" s="9">
        <v>976689252</v>
      </c>
      <c r="E509" s="5" t="s">
        <v>3003</v>
      </c>
      <c r="F509" s="1" t="s">
        <v>3004</v>
      </c>
      <c r="G509" s="25">
        <v>44260</v>
      </c>
      <c r="H509" s="1" t="s">
        <v>4044</v>
      </c>
      <c r="I509" s="14" t="s">
        <v>2805</v>
      </c>
      <c r="J509" s="1" t="s">
        <v>3006</v>
      </c>
      <c r="K509" s="14" t="s">
        <v>3007</v>
      </c>
      <c r="L509" s="1" t="s">
        <v>3008</v>
      </c>
      <c r="M509" s="1" t="s">
        <v>3016</v>
      </c>
      <c r="N509" s="1">
        <v>267</v>
      </c>
      <c r="O509" s="1" t="s">
        <v>976</v>
      </c>
      <c r="P509" s="5">
        <v>481.22</v>
      </c>
      <c r="Q509" s="5">
        <v>0</v>
      </c>
      <c r="R509" s="5">
        <v>470</v>
      </c>
      <c r="S509" s="5">
        <v>11.22</v>
      </c>
      <c r="T509" s="5">
        <v>42</v>
      </c>
      <c r="U509" s="5" t="s">
        <v>2443</v>
      </c>
      <c r="V509" s="5" t="s">
        <v>776</v>
      </c>
      <c r="AB509"/>
      <c r="AC509"/>
      <c r="AD509"/>
    </row>
    <row r="510" spans="1:30" x14ac:dyDescent="0.25">
      <c r="A510" t="s">
        <v>4323</v>
      </c>
      <c r="B510" t="s">
        <v>4324</v>
      </c>
      <c r="C510" s="9" t="s">
        <v>4325</v>
      </c>
      <c r="D510" s="9">
        <v>976689252</v>
      </c>
      <c r="E510" s="5" t="s">
        <v>3003</v>
      </c>
      <c r="F510" s="1" t="s">
        <v>3004</v>
      </c>
      <c r="G510" s="25">
        <v>44260</v>
      </c>
      <c r="H510" s="1" t="s">
        <v>3140</v>
      </c>
      <c r="I510" s="14" t="s">
        <v>314</v>
      </c>
      <c r="J510" s="1" t="s">
        <v>3006</v>
      </c>
      <c r="K510" s="14" t="s">
        <v>3007</v>
      </c>
      <c r="L510" s="1" t="s">
        <v>3008</v>
      </c>
      <c r="M510" s="1" t="s">
        <v>3016</v>
      </c>
      <c r="N510" s="1">
        <v>267</v>
      </c>
      <c r="O510" s="1" t="s">
        <v>976</v>
      </c>
      <c r="P510" s="5">
        <v>481.22</v>
      </c>
      <c r="Q510" s="5">
        <v>0</v>
      </c>
      <c r="R510" s="5">
        <v>470</v>
      </c>
      <c r="S510" s="5">
        <v>11.22</v>
      </c>
      <c r="T510" s="5" t="s">
        <v>23</v>
      </c>
      <c r="V510" s="5" t="s">
        <v>314</v>
      </c>
      <c r="AB510"/>
      <c r="AC510"/>
      <c r="AD510"/>
    </row>
    <row r="511" spans="1:30" x14ac:dyDescent="0.25">
      <c r="A511" t="s">
        <v>4323</v>
      </c>
      <c r="B511" t="s">
        <v>4324</v>
      </c>
      <c r="C511" s="9" t="s">
        <v>4325</v>
      </c>
      <c r="D511" s="9">
        <v>976689252</v>
      </c>
      <c r="E511" s="5" t="s">
        <v>3003</v>
      </c>
      <c r="F511" s="1" t="s">
        <v>3004</v>
      </c>
      <c r="G511" s="25">
        <v>44368</v>
      </c>
      <c r="H511" s="1" t="s">
        <v>4326</v>
      </c>
      <c r="I511" s="14" t="s">
        <v>579</v>
      </c>
      <c r="J511" s="1" t="s">
        <v>3006</v>
      </c>
      <c r="K511" s="14" t="s">
        <v>3007</v>
      </c>
      <c r="L511" s="1" t="s">
        <v>3008</v>
      </c>
      <c r="M511" s="1" t="s">
        <v>3009</v>
      </c>
      <c r="N511" s="1">
        <v>532</v>
      </c>
      <c r="O511" s="1" t="s">
        <v>976</v>
      </c>
      <c r="P511" s="5">
        <v>590.28</v>
      </c>
      <c r="Q511" s="5">
        <v>0</v>
      </c>
      <c r="R511" s="5">
        <v>560</v>
      </c>
      <c r="S511" s="5">
        <v>30.28</v>
      </c>
      <c r="T511" s="5" t="s">
        <v>25</v>
      </c>
      <c r="V511" s="5" t="s">
        <v>579</v>
      </c>
      <c r="AB511"/>
      <c r="AC511"/>
      <c r="AD511"/>
    </row>
    <row r="512" spans="1:30" x14ac:dyDescent="0.25">
      <c r="A512" t="s">
        <v>4327</v>
      </c>
      <c r="B512" t="s">
        <v>4328</v>
      </c>
      <c r="C512" s="9" t="s">
        <v>4329</v>
      </c>
      <c r="D512" s="9">
        <v>995149076</v>
      </c>
      <c r="E512" s="5" t="s">
        <v>3462</v>
      </c>
      <c r="F512" s="1" t="s">
        <v>3463</v>
      </c>
      <c r="G512" s="25">
        <v>44464</v>
      </c>
      <c r="H512" s="1" t="s">
        <v>3866</v>
      </c>
      <c r="I512" s="14" t="s">
        <v>2925</v>
      </c>
      <c r="J512" s="1" t="s">
        <v>3006</v>
      </c>
      <c r="K512" s="14" t="s">
        <v>3007</v>
      </c>
      <c r="L512" s="1" t="s">
        <v>3008</v>
      </c>
      <c r="M512" s="1" t="s">
        <v>3009</v>
      </c>
      <c r="N512" s="1">
        <v>971</v>
      </c>
      <c r="O512" s="1" t="s">
        <v>976</v>
      </c>
      <c r="P512" s="5">
        <v>801</v>
      </c>
      <c r="Q512" s="5">
        <v>89</v>
      </c>
      <c r="R512" s="5">
        <v>890</v>
      </c>
      <c r="S512" s="5">
        <v>0</v>
      </c>
      <c r="T512" s="5" t="s">
        <v>5574</v>
      </c>
      <c r="U512" s="5" t="s">
        <v>2433</v>
      </c>
      <c r="V512" s="5" t="s">
        <v>917</v>
      </c>
      <c r="AB512"/>
      <c r="AC512"/>
      <c r="AD512"/>
    </row>
    <row r="513" spans="1:30" x14ac:dyDescent="0.25">
      <c r="A513" t="s">
        <v>4330</v>
      </c>
      <c r="B513" t="s">
        <v>4331</v>
      </c>
      <c r="C513" s="9" t="s">
        <v>4332</v>
      </c>
      <c r="D513" s="9">
        <v>983192558</v>
      </c>
      <c r="E513" s="5" t="s">
        <v>3187</v>
      </c>
      <c r="F513" s="1" t="s">
        <v>3188</v>
      </c>
      <c r="G513" s="25">
        <v>44456</v>
      </c>
      <c r="H513" s="1" t="s">
        <v>4333</v>
      </c>
      <c r="I513" s="14" t="s">
        <v>2886</v>
      </c>
      <c r="J513" s="1" t="s">
        <v>3006</v>
      </c>
      <c r="K513" s="14" t="s">
        <v>3007</v>
      </c>
      <c r="L513" s="1" t="s">
        <v>3008</v>
      </c>
      <c r="M513" s="1" t="s">
        <v>3009</v>
      </c>
      <c r="N513" s="1">
        <v>933</v>
      </c>
      <c r="O513" s="1" t="s">
        <v>976</v>
      </c>
      <c r="P513" s="5">
        <v>412.74</v>
      </c>
      <c r="Q513" s="5">
        <v>0</v>
      </c>
      <c r="R513" s="5">
        <v>390</v>
      </c>
      <c r="S513" s="5">
        <v>22.74</v>
      </c>
      <c r="T513" s="5" t="s">
        <v>24</v>
      </c>
      <c r="U513" s="5" t="s">
        <v>2579</v>
      </c>
      <c r="V513" s="5" t="s">
        <v>894</v>
      </c>
      <c r="AB513"/>
      <c r="AC513"/>
      <c r="AD513"/>
    </row>
    <row r="514" spans="1:30" x14ac:dyDescent="0.25">
      <c r="A514" t="s">
        <v>4334</v>
      </c>
      <c r="B514" t="s">
        <v>4335</v>
      </c>
      <c r="C514" s="9" t="s">
        <v>4336</v>
      </c>
      <c r="D514" s="9" t="s">
        <v>4337</v>
      </c>
      <c r="E514" s="5" t="s">
        <v>3003</v>
      </c>
      <c r="F514" s="1" t="s">
        <v>3004</v>
      </c>
      <c r="G514" s="25">
        <v>44296</v>
      </c>
      <c r="H514" s="1" t="s">
        <v>3857</v>
      </c>
      <c r="I514" s="14" t="s">
        <v>296</v>
      </c>
      <c r="J514" s="1" t="s">
        <v>3006</v>
      </c>
      <c r="K514" s="14" t="s">
        <v>3007</v>
      </c>
      <c r="L514" s="1" t="s">
        <v>3008</v>
      </c>
      <c r="M514" s="1" t="s">
        <v>3009</v>
      </c>
      <c r="N514" s="1">
        <v>312</v>
      </c>
      <c r="O514" s="1" t="s">
        <v>976</v>
      </c>
      <c r="P514" s="5">
        <v>627.9</v>
      </c>
      <c r="Q514" s="5">
        <v>0</v>
      </c>
      <c r="R514" s="5">
        <v>615</v>
      </c>
      <c r="S514" s="5">
        <v>12.9</v>
      </c>
      <c r="T514" s="5" t="s">
        <v>25</v>
      </c>
      <c r="V514" s="5" t="s">
        <v>296</v>
      </c>
      <c r="AB514"/>
      <c r="AC514"/>
      <c r="AD514"/>
    </row>
    <row r="515" spans="1:30" x14ac:dyDescent="0.25">
      <c r="A515" t="s">
        <v>4334</v>
      </c>
      <c r="B515" t="s">
        <v>4335</v>
      </c>
      <c r="C515" s="9" t="s">
        <v>4336</v>
      </c>
      <c r="D515" s="9" t="s">
        <v>4337</v>
      </c>
      <c r="E515" s="5" t="s">
        <v>3003</v>
      </c>
      <c r="F515" s="1" t="s">
        <v>3004</v>
      </c>
      <c r="G515" s="25">
        <v>44320</v>
      </c>
      <c r="H515" s="1" t="s">
        <v>4338</v>
      </c>
      <c r="I515" s="14" t="s">
        <v>2822</v>
      </c>
      <c r="J515" s="1" t="s">
        <v>3006</v>
      </c>
      <c r="K515" s="14" t="s">
        <v>3007</v>
      </c>
      <c r="L515" s="1" t="s">
        <v>3008</v>
      </c>
      <c r="M515" s="1" t="s">
        <v>3009</v>
      </c>
      <c r="N515" s="1">
        <v>378</v>
      </c>
      <c r="O515" s="1" t="s">
        <v>976</v>
      </c>
      <c r="P515" s="5">
        <v>245</v>
      </c>
      <c r="Q515" s="5">
        <v>0</v>
      </c>
      <c r="R515" s="5">
        <v>245</v>
      </c>
      <c r="S515" s="5">
        <v>0</v>
      </c>
      <c r="T515" s="5" t="s">
        <v>24</v>
      </c>
      <c r="U515" s="5" t="s">
        <v>2482</v>
      </c>
      <c r="V515" s="5" t="s">
        <v>802</v>
      </c>
      <c r="AB515"/>
      <c r="AC515"/>
      <c r="AD515"/>
    </row>
    <row r="516" spans="1:30" x14ac:dyDescent="0.25">
      <c r="A516" t="s">
        <v>4334</v>
      </c>
      <c r="B516" t="s">
        <v>4335</v>
      </c>
      <c r="C516" s="9" t="s">
        <v>4336</v>
      </c>
      <c r="D516" s="9" t="s">
        <v>4337</v>
      </c>
      <c r="E516" s="5" t="s">
        <v>3003</v>
      </c>
      <c r="F516" s="1" t="s">
        <v>3004</v>
      </c>
      <c r="G516" s="25">
        <v>44320</v>
      </c>
      <c r="H516" s="1" t="s">
        <v>3797</v>
      </c>
      <c r="I516" s="14" t="s">
        <v>2870</v>
      </c>
      <c r="J516" s="1" t="s">
        <v>3006</v>
      </c>
      <c r="K516" s="14" t="s">
        <v>3007</v>
      </c>
      <c r="L516" s="1" t="s">
        <v>3008</v>
      </c>
      <c r="M516" s="1" t="s">
        <v>3009</v>
      </c>
      <c r="N516" s="1">
        <v>378</v>
      </c>
      <c r="O516" s="1" t="s">
        <v>976</v>
      </c>
      <c r="P516" s="5">
        <v>390</v>
      </c>
      <c r="Q516" s="5">
        <v>0</v>
      </c>
      <c r="R516" s="5">
        <v>390</v>
      </c>
      <c r="S516" s="5">
        <v>0</v>
      </c>
      <c r="T516" s="5" t="s">
        <v>22</v>
      </c>
      <c r="U516" s="5" t="s">
        <v>2528</v>
      </c>
      <c r="V516" s="5" t="s">
        <v>874</v>
      </c>
      <c r="AB516"/>
      <c r="AC516"/>
      <c r="AD516"/>
    </row>
    <row r="517" spans="1:30" x14ac:dyDescent="0.25">
      <c r="A517" t="s">
        <v>4339</v>
      </c>
      <c r="B517" t="s">
        <v>4340</v>
      </c>
      <c r="C517" s="9" t="s">
        <v>4341</v>
      </c>
      <c r="D517" s="9">
        <v>998866032</v>
      </c>
      <c r="E517" s="5" t="s">
        <v>3644</v>
      </c>
      <c r="F517" s="1" t="s">
        <v>3645</v>
      </c>
      <c r="G517" s="25">
        <v>44523</v>
      </c>
      <c r="H517" s="1" t="s">
        <v>3335</v>
      </c>
      <c r="I517" s="14" t="s">
        <v>499</v>
      </c>
      <c r="J517" s="1" t="s">
        <v>3006</v>
      </c>
      <c r="K517" s="14" t="s">
        <v>3007</v>
      </c>
      <c r="L517" s="1" t="s">
        <v>3008</v>
      </c>
      <c r="M517" s="1" t="s">
        <v>3016</v>
      </c>
      <c r="N517" s="1">
        <v>1259</v>
      </c>
      <c r="O517" s="1" t="s">
        <v>976</v>
      </c>
      <c r="P517" s="5">
        <v>348.83</v>
      </c>
      <c r="Q517" s="5">
        <v>0</v>
      </c>
      <c r="R517" s="5">
        <v>315</v>
      </c>
      <c r="S517" s="5">
        <v>33.83</v>
      </c>
      <c r="T517" s="5" t="s">
        <v>23</v>
      </c>
      <c r="V517" s="5" t="s">
        <v>499</v>
      </c>
      <c r="AB517"/>
      <c r="AC517"/>
      <c r="AD517"/>
    </row>
    <row r="518" spans="1:30" x14ac:dyDescent="0.25">
      <c r="A518" t="s">
        <v>4342</v>
      </c>
      <c r="B518" t="s">
        <v>4343</v>
      </c>
      <c r="C518" s="9" t="s">
        <v>4344</v>
      </c>
      <c r="D518" s="9">
        <v>996522655</v>
      </c>
      <c r="E518" s="5" t="s">
        <v>3514</v>
      </c>
      <c r="F518" s="1" t="s">
        <v>4345</v>
      </c>
      <c r="G518" s="25">
        <v>44550</v>
      </c>
      <c r="H518" s="1" t="s">
        <v>3075</v>
      </c>
      <c r="I518" s="14" t="s">
        <v>2791</v>
      </c>
      <c r="J518" s="1" t="s">
        <v>3006</v>
      </c>
      <c r="K518" s="14" t="s">
        <v>3007</v>
      </c>
      <c r="L518" s="1" t="s">
        <v>3008</v>
      </c>
      <c r="M518" s="1" t="s">
        <v>3016</v>
      </c>
      <c r="N518" s="1">
        <v>1496</v>
      </c>
      <c r="O518" s="1" t="s">
        <v>976</v>
      </c>
      <c r="P518" s="5">
        <v>1538.2</v>
      </c>
      <c r="Q518" s="5">
        <v>166.5</v>
      </c>
      <c r="R518" s="5">
        <v>1665</v>
      </c>
      <c r="S518" s="5">
        <v>39.700000000000003</v>
      </c>
      <c r="T518" s="5" t="s">
        <v>22</v>
      </c>
      <c r="U518" s="5" t="s">
        <v>2443</v>
      </c>
      <c r="V518" s="5" t="s">
        <v>763</v>
      </c>
      <c r="AB518"/>
      <c r="AC518"/>
      <c r="AD518"/>
    </row>
    <row r="519" spans="1:30" x14ac:dyDescent="0.25">
      <c r="A519" t="s">
        <v>4346</v>
      </c>
      <c r="B519" t="s">
        <v>4347</v>
      </c>
      <c r="C519" s="9" t="s">
        <v>4348</v>
      </c>
      <c r="D519" s="9">
        <v>984145718</v>
      </c>
      <c r="E519" s="5" t="s">
        <v>3133</v>
      </c>
      <c r="F519" s="1" t="s">
        <v>4299</v>
      </c>
      <c r="G519" s="25">
        <v>44578</v>
      </c>
      <c r="H519" s="1" t="s">
        <v>3220</v>
      </c>
      <c r="I519" s="14" t="s">
        <v>259</v>
      </c>
      <c r="J519" s="1" t="s">
        <v>3006</v>
      </c>
      <c r="K519" s="14" t="s">
        <v>3007</v>
      </c>
      <c r="L519" s="1" t="s">
        <v>3008</v>
      </c>
      <c r="M519" s="1" t="s">
        <v>3016</v>
      </c>
      <c r="N519" s="1">
        <v>1671</v>
      </c>
      <c r="O519" s="1" t="s">
        <v>976</v>
      </c>
      <c r="P519" s="5">
        <v>261.08999999999997</v>
      </c>
      <c r="Q519" s="5">
        <v>0</v>
      </c>
      <c r="R519" s="5">
        <v>230</v>
      </c>
      <c r="S519" s="5">
        <v>31.09</v>
      </c>
      <c r="T519" s="5" t="s">
        <v>23</v>
      </c>
      <c r="V519" s="5" t="s">
        <v>259</v>
      </c>
      <c r="AB519"/>
      <c r="AC519"/>
      <c r="AD519"/>
    </row>
    <row r="520" spans="1:30" x14ac:dyDescent="0.25">
      <c r="A520" t="s">
        <v>4349</v>
      </c>
      <c r="B520" t="s">
        <v>4350</v>
      </c>
      <c r="C520" s="9" t="s">
        <v>4351</v>
      </c>
      <c r="D520" s="9">
        <v>996675015</v>
      </c>
      <c r="E520" s="5" t="s">
        <v>4229</v>
      </c>
      <c r="F520" s="1" t="s">
        <v>4352</v>
      </c>
      <c r="G520" s="25">
        <v>44564</v>
      </c>
      <c r="H520" s="1" t="s">
        <v>3015</v>
      </c>
      <c r="I520" s="14" t="s">
        <v>252</v>
      </c>
      <c r="J520" s="1" t="s">
        <v>3006</v>
      </c>
      <c r="K520" s="14" t="s">
        <v>3007</v>
      </c>
      <c r="L520" s="1" t="s">
        <v>3008</v>
      </c>
      <c r="M520" s="1" t="s">
        <v>3009</v>
      </c>
      <c r="N520" s="1">
        <v>1566</v>
      </c>
      <c r="O520" s="1" t="s">
        <v>976</v>
      </c>
      <c r="P520" s="5">
        <v>1532.33</v>
      </c>
      <c r="Q520" s="5">
        <v>166.5</v>
      </c>
      <c r="R520" s="5">
        <v>1665</v>
      </c>
      <c r="S520" s="5">
        <v>33.83</v>
      </c>
      <c r="T520" s="5" t="s">
        <v>22</v>
      </c>
      <c r="V520" s="5" t="s">
        <v>252</v>
      </c>
      <c r="AB520"/>
      <c r="AC520"/>
      <c r="AD520"/>
    </row>
    <row r="521" spans="1:30" x14ac:dyDescent="0.25">
      <c r="A521" t="s">
        <v>4349</v>
      </c>
      <c r="B521" t="s">
        <v>4350</v>
      </c>
      <c r="C521" s="9" t="s">
        <v>4351</v>
      </c>
      <c r="D521" s="9">
        <v>996675015</v>
      </c>
      <c r="E521" s="5" t="s">
        <v>4229</v>
      </c>
      <c r="F521" s="1" t="s">
        <v>4352</v>
      </c>
      <c r="G521" s="25">
        <v>44568</v>
      </c>
      <c r="H521" s="1" t="s">
        <v>3238</v>
      </c>
      <c r="I521" s="14" t="s">
        <v>497</v>
      </c>
      <c r="J521" s="1" t="s">
        <v>3006</v>
      </c>
      <c r="K521" s="14" t="s">
        <v>3007</v>
      </c>
      <c r="L521" s="1" t="s">
        <v>3008</v>
      </c>
      <c r="M521" s="1" t="s">
        <v>3016</v>
      </c>
      <c r="N521" s="1">
        <v>1605</v>
      </c>
      <c r="O521" s="1" t="s">
        <v>976</v>
      </c>
      <c r="P521" s="5">
        <v>248.83</v>
      </c>
      <c r="Q521" s="5">
        <v>100</v>
      </c>
      <c r="R521" s="5">
        <v>315</v>
      </c>
      <c r="S521" s="5">
        <v>33.83</v>
      </c>
      <c r="T521" s="5" t="s">
        <v>24</v>
      </c>
      <c r="V521" s="5" t="s">
        <v>497</v>
      </c>
      <c r="AB521"/>
      <c r="AC521"/>
      <c r="AD521"/>
    </row>
    <row r="522" spans="1:30" x14ac:dyDescent="0.25">
      <c r="A522" t="s">
        <v>4353</v>
      </c>
      <c r="B522" t="s">
        <v>4354</v>
      </c>
      <c r="C522" s="9" t="s">
        <v>4355</v>
      </c>
      <c r="D522" s="9" t="s">
        <v>4356</v>
      </c>
      <c r="E522" s="5" t="s">
        <v>3003</v>
      </c>
      <c r="F522" s="1" t="s">
        <v>3004</v>
      </c>
      <c r="G522" s="25">
        <v>44538</v>
      </c>
      <c r="H522" s="1" t="s">
        <v>4357</v>
      </c>
      <c r="I522" s="14" t="s">
        <v>491</v>
      </c>
      <c r="J522" s="1" t="s">
        <v>3006</v>
      </c>
      <c r="K522" s="14" t="s">
        <v>3007</v>
      </c>
      <c r="L522" s="1" t="s">
        <v>3008</v>
      </c>
      <c r="M522" s="1" t="s">
        <v>3016</v>
      </c>
      <c r="N522" s="1">
        <v>1380</v>
      </c>
      <c r="O522" s="1" t="s">
        <v>976</v>
      </c>
      <c r="P522" s="5">
        <v>315</v>
      </c>
      <c r="Q522" s="5">
        <v>0</v>
      </c>
      <c r="R522" s="5">
        <v>315</v>
      </c>
      <c r="S522" s="5">
        <v>0</v>
      </c>
      <c r="T522" s="5" t="s">
        <v>24</v>
      </c>
      <c r="V522" s="5" t="s">
        <v>491</v>
      </c>
      <c r="AB522"/>
      <c r="AC522"/>
      <c r="AD522"/>
    </row>
    <row r="523" spans="1:30" x14ac:dyDescent="0.25">
      <c r="A523" t="s">
        <v>4358</v>
      </c>
      <c r="B523" t="s">
        <v>4359</v>
      </c>
      <c r="C523" s="9" t="s">
        <v>4360</v>
      </c>
      <c r="D523" s="9" t="s">
        <v>976</v>
      </c>
      <c r="E523" s="5" t="s">
        <v>3003</v>
      </c>
      <c r="F523" s="1" t="s">
        <v>3004</v>
      </c>
      <c r="G523" s="25">
        <v>44331</v>
      </c>
      <c r="H523" s="1" t="s">
        <v>3881</v>
      </c>
      <c r="I523" s="14" t="s">
        <v>2777</v>
      </c>
      <c r="J523" s="1" t="s">
        <v>3006</v>
      </c>
      <c r="K523" s="14" t="s">
        <v>3007</v>
      </c>
      <c r="L523" s="1" t="s">
        <v>3008</v>
      </c>
      <c r="M523" s="1" t="s">
        <v>3009</v>
      </c>
      <c r="N523" s="1">
        <v>423</v>
      </c>
      <c r="O523" s="1" t="s">
        <v>976</v>
      </c>
      <c r="P523" s="5">
        <v>360</v>
      </c>
      <c r="Q523" s="5">
        <v>0</v>
      </c>
      <c r="R523" s="5">
        <v>360</v>
      </c>
      <c r="S523" s="5">
        <v>0</v>
      </c>
      <c r="T523" s="5" t="s">
        <v>23</v>
      </c>
      <c r="U523" s="5" t="s">
        <v>2482</v>
      </c>
      <c r="V523" s="5" t="s">
        <v>746</v>
      </c>
      <c r="AB523"/>
      <c r="AC523"/>
      <c r="AD523"/>
    </row>
    <row r="524" spans="1:30" x14ac:dyDescent="0.25">
      <c r="A524" t="s">
        <v>4358</v>
      </c>
      <c r="B524" t="s">
        <v>4359</v>
      </c>
      <c r="C524" s="9" t="s">
        <v>4360</v>
      </c>
      <c r="D524" s="9" t="s">
        <v>976</v>
      </c>
      <c r="E524" s="5" t="s">
        <v>3003</v>
      </c>
      <c r="F524" s="1" t="s">
        <v>3004</v>
      </c>
      <c r="G524" s="25">
        <v>44331</v>
      </c>
      <c r="H524" s="1" t="s">
        <v>4206</v>
      </c>
      <c r="I524" s="14" t="s">
        <v>2886</v>
      </c>
      <c r="J524" s="1" t="s">
        <v>3006</v>
      </c>
      <c r="K524" s="14" t="s">
        <v>3007</v>
      </c>
      <c r="L524" s="1" t="s">
        <v>3008</v>
      </c>
      <c r="M524" s="1" t="s">
        <v>3009</v>
      </c>
      <c r="N524" s="1">
        <v>423</v>
      </c>
      <c r="O524" s="1" t="s">
        <v>976</v>
      </c>
      <c r="P524" s="5">
        <v>390</v>
      </c>
      <c r="Q524" s="5">
        <v>0</v>
      </c>
      <c r="R524" s="5">
        <v>390</v>
      </c>
      <c r="S524" s="5">
        <v>0</v>
      </c>
      <c r="T524" s="5" t="s">
        <v>23</v>
      </c>
      <c r="U524" s="5" t="s">
        <v>2579</v>
      </c>
      <c r="V524" s="5" t="s">
        <v>894</v>
      </c>
      <c r="AB524"/>
      <c r="AC524"/>
      <c r="AD524"/>
    </row>
    <row r="525" spans="1:30" x14ac:dyDescent="0.25">
      <c r="A525" t="s">
        <v>4358</v>
      </c>
      <c r="B525" t="s">
        <v>4359</v>
      </c>
      <c r="C525" s="9" t="s">
        <v>4360</v>
      </c>
      <c r="D525" s="9" t="s">
        <v>976</v>
      </c>
      <c r="E525" s="5" t="s">
        <v>3003</v>
      </c>
      <c r="F525" s="1" t="s">
        <v>3004</v>
      </c>
      <c r="G525" s="25">
        <v>44417</v>
      </c>
      <c r="H525" s="1" t="s">
        <v>3411</v>
      </c>
      <c r="I525" s="14" t="s">
        <v>2802</v>
      </c>
      <c r="J525" s="1" t="s">
        <v>3006</v>
      </c>
      <c r="K525" s="14" t="s">
        <v>3007</v>
      </c>
      <c r="L525" s="1" t="s">
        <v>3008</v>
      </c>
      <c r="M525" s="1" t="s">
        <v>3016</v>
      </c>
      <c r="N525" s="1">
        <v>756</v>
      </c>
      <c r="O525" s="1" t="s">
        <v>976</v>
      </c>
      <c r="P525" s="5">
        <v>1190</v>
      </c>
      <c r="Q525" s="5">
        <v>10</v>
      </c>
      <c r="R525" s="5">
        <v>1200</v>
      </c>
      <c r="S525" s="5">
        <v>0</v>
      </c>
      <c r="T525" s="5" t="s">
        <v>5575</v>
      </c>
      <c r="U525" s="5" t="s">
        <v>2463</v>
      </c>
      <c r="V525" s="5" t="s">
        <v>770</v>
      </c>
      <c r="AB525"/>
      <c r="AC525"/>
      <c r="AD525"/>
    </row>
    <row r="526" spans="1:30" x14ac:dyDescent="0.25">
      <c r="A526" t="s">
        <v>4358</v>
      </c>
      <c r="B526" t="s">
        <v>4359</v>
      </c>
      <c r="C526" s="9" t="s">
        <v>4360</v>
      </c>
      <c r="D526" s="9" t="s">
        <v>976</v>
      </c>
      <c r="E526" s="5" t="s">
        <v>3003</v>
      </c>
      <c r="F526" s="1" t="s">
        <v>3004</v>
      </c>
      <c r="G526" s="25">
        <v>44417</v>
      </c>
      <c r="H526" s="1" t="s">
        <v>4361</v>
      </c>
      <c r="I526" s="14" t="s">
        <v>394</v>
      </c>
      <c r="J526" s="1" t="s">
        <v>3006</v>
      </c>
      <c r="K526" s="14" t="s">
        <v>3007</v>
      </c>
      <c r="L526" s="1" t="s">
        <v>3008</v>
      </c>
      <c r="M526" s="1" t="s">
        <v>3016</v>
      </c>
      <c r="N526" s="1">
        <v>756</v>
      </c>
      <c r="O526" s="1" t="s">
        <v>976</v>
      </c>
      <c r="P526" s="5">
        <v>830</v>
      </c>
      <c r="Q526" s="5">
        <v>0</v>
      </c>
      <c r="R526" s="5">
        <v>830</v>
      </c>
      <c r="S526" s="5">
        <v>0</v>
      </c>
      <c r="T526" s="5">
        <v>38</v>
      </c>
      <c r="V526" s="5" t="s">
        <v>394</v>
      </c>
      <c r="AB526"/>
      <c r="AC526"/>
      <c r="AD526"/>
    </row>
    <row r="527" spans="1:30" x14ac:dyDescent="0.25">
      <c r="A527" t="s">
        <v>4358</v>
      </c>
      <c r="B527" t="s">
        <v>4359</v>
      </c>
      <c r="C527" s="9" t="s">
        <v>4360</v>
      </c>
      <c r="D527" s="9" t="s">
        <v>976</v>
      </c>
      <c r="E527" s="5" t="s">
        <v>3003</v>
      </c>
      <c r="F527" s="1" t="s">
        <v>3004</v>
      </c>
      <c r="G527" s="25">
        <v>44417</v>
      </c>
      <c r="H527" s="1" t="s">
        <v>4362</v>
      </c>
      <c r="I527" s="14" t="s">
        <v>948</v>
      </c>
      <c r="J527" s="1" t="s">
        <v>3006</v>
      </c>
      <c r="K527" s="14" t="s">
        <v>3007</v>
      </c>
      <c r="L527" s="1" t="s">
        <v>3008</v>
      </c>
      <c r="M527" s="1" t="s">
        <v>3016</v>
      </c>
      <c r="N527" s="1">
        <v>756</v>
      </c>
      <c r="O527" s="1" t="s">
        <v>976</v>
      </c>
      <c r="P527" s="5">
        <v>1600</v>
      </c>
      <c r="Q527" s="5">
        <v>0</v>
      </c>
      <c r="R527" s="5">
        <v>1600</v>
      </c>
      <c r="S527" s="5">
        <v>0</v>
      </c>
      <c r="T527" s="5" t="s">
        <v>5575</v>
      </c>
      <c r="V527" s="5" t="s">
        <v>948</v>
      </c>
      <c r="AB527"/>
      <c r="AC527"/>
      <c r="AD527"/>
    </row>
    <row r="528" spans="1:30" x14ac:dyDescent="0.25">
      <c r="A528" t="s">
        <v>4358</v>
      </c>
      <c r="B528" t="s">
        <v>4359</v>
      </c>
      <c r="C528" s="9" t="s">
        <v>4360</v>
      </c>
      <c r="D528" s="9" t="s">
        <v>976</v>
      </c>
      <c r="E528" s="5" t="s">
        <v>3003</v>
      </c>
      <c r="F528" s="1" t="s">
        <v>3004</v>
      </c>
      <c r="G528" s="25">
        <v>44417</v>
      </c>
      <c r="H528" s="1" t="s">
        <v>4363</v>
      </c>
      <c r="I528" s="14" t="s">
        <v>2985</v>
      </c>
      <c r="J528" s="1" t="s">
        <v>3006</v>
      </c>
      <c r="K528" s="14" t="s">
        <v>3007</v>
      </c>
      <c r="L528" s="1" t="s">
        <v>3008</v>
      </c>
      <c r="M528" s="1" t="s">
        <v>3016</v>
      </c>
      <c r="N528" s="1">
        <v>756</v>
      </c>
      <c r="O528" s="1" t="s">
        <v>976</v>
      </c>
      <c r="P528" s="5">
        <v>785</v>
      </c>
      <c r="Q528" s="5">
        <v>0</v>
      </c>
      <c r="R528" s="5">
        <v>785</v>
      </c>
      <c r="S528" s="5">
        <v>0</v>
      </c>
      <c r="T528" s="5" t="s">
        <v>22</v>
      </c>
      <c r="U528" s="5" t="s">
        <v>2447</v>
      </c>
      <c r="V528" s="5" t="s">
        <v>949</v>
      </c>
      <c r="AB528"/>
      <c r="AC528"/>
      <c r="AD528"/>
    </row>
    <row r="529" spans="1:30" x14ac:dyDescent="0.25">
      <c r="A529" t="s">
        <v>4364</v>
      </c>
      <c r="B529" t="s">
        <v>4365</v>
      </c>
      <c r="C529" s="9" t="s">
        <v>4366</v>
      </c>
      <c r="D529" s="9">
        <v>99428585</v>
      </c>
      <c r="E529" s="5" t="s">
        <v>3148</v>
      </c>
      <c r="F529" s="1" t="s">
        <v>3606</v>
      </c>
      <c r="G529" s="25">
        <v>44493</v>
      </c>
      <c r="H529" s="1" t="s">
        <v>3075</v>
      </c>
      <c r="I529" s="14" t="s">
        <v>2791</v>
      </c>
      <c r="J529" s="1" t="s">
        <v>3006</v>
      </c>
      <c r="K529" s="14" t="s">
        <v>3007</v>
      </c>
      <c r="L529" s="1" t="s">
        <v>3008</v>
      </c>
      <c r="M529" s="1" t="s">
        <v>3016</v>
      </c>
      <c r="N529" s="1">
        <v>1088</v>
      </c>
      <c r="O529" s="1" t="s">
        <v>976</v>
      </c>
      <c r="P529" s="5">
        <v>1377.42</v>
      </c>
      <c r="Q529" s="5">
        <v>0</v>
      </c>
      <c r="R529" s="5">
        <v>1330</v>
      </c>
      <c r="S529" s="5">
        <v>47.42</v>
      </c>
      <c r="T529" s="5" t="s">
        <v>22</v>
      </c>
      <c r="U529" s="5" t="s">
        <v>2443</v>
      </c>
      <c r="V529" s="5" t="s">
        <v>763</v>
      </c>
      <c r="AB529"/>
      <c r="AC529"/>
      <c r="AD529"/>
    </row>
    <row r="530" spans="1:30" x14ac:dyDescent="0.25">
      <c r="A530" t="s">
        <v>4367</v>
      </c>
      <c r="B530" t="s">
        <v>4368</v>
      </c>
      <c r="C530" s="9" t="s">
        <v>4369</v>
      </c>
      <c r="D530" s="9" t="s">
        <v>4370</v>
      </c>
      <c r="E530" s="5" t="s">
        <v>3733</v>
      </c>
      <c r="F530" s="1" t="s">
        <v>3808</v>
      </c>
      <c r="G530" s="25">
        <v>44497</v>
      </c>
      <c r="H530" s="1" t="s">
        <v>4371</v>
      </c>
      <c r="I530" s="14" t="s">
        <v>2816</v>
      </c>
      <c r="J530" s="1" t="s">
        <v>3006</v>
      </c>
      <c r="K530" s="14" t="s">
        <v>3007</v>
      </c>
      <c r="L530" s="1" t="s">
        <v>3008</v>
      </c>
      <c r="M530" s="1" t="s">
        <v>3009</v>
      </c>
      <c r="N530" s="1">
        <v>1131</v>
      </c>
      <c r="O530" s="1" t="s">
        <v>976</v>
      </c>
      <c r="P530" s="5">
        <v>391</v>
      </c>
      <c r="Q530" s="5">
        <v>69</v>
      </c>
      <c r="R530" s="5">
        <v>460</v>
      </c>
      <c r="S530" s="5">
        <v>0</v>
      </c>
      <c r="T530" s="5" t="s">
        <v>22</v>
      </c>
      <c r="U530" s="5" t="s">
        <v>2443</v>
      </c>
      <c r="V530" s="5" t="s">
        <v>793</v>
      </c>
      <c r="AB530"/>
      <c r="AC530"/>
      <c r="AD530"/>
    </row>
    <row r="531" spans="1:30" x14ac:dyDescent="0.25">
      <c r="A531" t="s">
        <v>4367</v>
      </c>
      <c r="B531" t="s">
        <v>4368</v>
      </c>
      <c r="C531" s="9" t="s">
        <v>4369</v>
      </c>
      <c r="D531" s="9" t="s">
        <v>4370</v>
      </c>
      <c r="E531" s="5" t="s">
        <v>3733</v>
      </c>
      <c r="F531" s="1" t="s">
        <v>3808</v>
      </c>
      <c r="G531" s="25">
        <v>44497</v>
      </c>
      <c r="H531" s="1" t="s">
        <v>4372</v>
      </c>
      <c r="I531" s="14" t="s">
        <v>382</v>
      </c>
      <c r="J531" s="1" t="s">
        <v>3006</v>
      </c>
      <c r="K531" s="14" t="s">
        <v>3007</v>
      </c>
      <c r="L531" s="1" t="s">
        <v>3008</v>
      </c>
      <c r="M531" s="1" t="s">
        <v>3009</v>
      </c>
      <c r="N531" s="1">
        <v>1131</v>
      </c>
      <c r="O531" s="1" t="s">
        <v>976</v>
      </c>
      <c r="P531" s="5">
        <v>0</v>
      </c>
      <c r="Q531" s="5">
        <v>165</v>
      </c>
      <c r="R531" s="5">
        <v>165</v>
      </c>
      <c r="S531" s="5">
        <v>0</v>
      </c>
      <c r="T531" s="5">
        <v>250</v>
      </c>
      <c r="V531" s="5" t="s">
        <v>382</v>
      </c>
      <c r="AB531"/>
      <c r="AC531"/>
      <c r="AD531"/>
    </row>
    <row r="532" spans="1:30" x14ac:dyDescent="0.25">
      <c r="A532" t="s">
        <v>4373</v>
      </c>
      <c r="B532" t="s">
        <v>4374</v>
      </c>
      <c r="C532" s="9" t="s">
        <v>4375</v>
      </c>
      <c r="D532" s="9" t="s">
        <v>4376</v>
      </c>
      <c r="E532" s="5" t="s">
        <v>3003</v>
      </c>
      <c r="F532" s="1" t="s">
        <v>3004</v>
      </c>
      <c r="G532" s="25">
        <v>44537</v>
      </c>
      <c r="H532" s="1" t="s">
        <v>3027</v>
      </c>
      <c r="I532" s="14" t="s">
        <v>254</v>
      </c>
      <c r="J532" s="1" t="s">
        <v>3006</v>
      </c>
      <c r="K532" s="14" t="s">
        <v>3007</v>
      </c>
      <c r="L532" s="1" t="s">
        <v>3008</v>
      </c>
      <c r="M532" s="1" t="s">
        <v>3016</v>
      </c>
      <c r="N532" s="1">
        <v>1370</v>
      </c>
      <c r="O532" s="1" t="s">
        <v>976</v>
      </c>
      <c r="P532" s="5">
        <v>1242</v>
      </c>
      <c r="Q532" s="5">
        <v>138</v>
      </c>
      <c r="R532" s="5">
        <v>1380</v>
      </c>
      <c r="S532" s="5">
        <v>0</v>
      </c>
      <c r="T532" s="5" t="s">
        <v>22</v>
      </c>
      <c r="V532" s="5" t="s">
        <v>254</v>
      </c>
      <c r="AB532"/>
      <c r="AC532"/>
      <c r="AD532"/>
    </row>
    <row r="533" spans="1:30" x14ac:dyDescent="0.25">
      <c r="A533" t="s">
        <v>4377</v>
      </c>
      <c r="B533" t="s">
        <v>4378</v>
      </c>
      <c r="C533" s="9" t="s">
        <v>4379</v>
      </c>
      <c r="D533" s="9">
        <v>17685257402</v>
      </c>
      <c r="E533" s="5" t="s">
        <v>3003</v>
      </c>
      <c r="F533" s="1" t="s">
        <v>3004</v>
      </c>
      <c r="G533" s="25">
        <v>44320</v>
      </c>
      <c r="H533" s="1" t="s">
        <v>4380</v>
      </c>
      <c r="I533" s="14" t="s">
        <v>1595</v>
      </c>
      <c r="J533" s="1" t="s">
        <v>3006</v>
      </c>
      <c r="K533" s="14" t="s">
        <v>3007</v>
      </c>
      <c r="L533" s="1" t="s">
        <v>3008</v>
      </c>
      <c r="M533" s="1" t="s">
        <v>3009</v>
      </c>
      <c r="N533" s="1">
        <v>382</v>
      </c>
      <c r="O533" s="1" t="s">
        <v>976</v>
      </c>
      <c r="P533" s="5">
        <v>560</v>
      </c>
      <c r="Q533" s="5">
        <v>0</v>
      </c>
      <c r="R533" s="5">
        <v>560</v>
      </c>
      <c r="S533" s="5">
        <v>0</v>
      </c>
      <c r="T533" s="5" t="s">
        <v>25</v>
      </c>
      <c r="U533" s="5" t="s">
        <v>2463</v>
      </c>
      <c r="V533" s="5" t="s">
        <v>877</v>
      </c>
      <c r="AB533"/>
      <c r="AC533"/>
      <c r="AD533"/>
    </row>
    <row r="534" spans="1:30" x14ac:dyDescent="0.25">
      <c r="A534" t="s">
        <v>4381</v>
      </c>
      <c r="B534" t="s">
        <v>4382</v>
      </c>
      <c r="C534" s="9" t="s">
        <v>4383</v>
      </c>
      <c r="D534" s="9" t="s">
        <v>4384</v>
      </c>
      <c r="E534" s="5" t="s">
        <v>3003</v>
      </c>
      <c r="F534" s="1" t="s">
        <v>3004</v>
      </c>
      <c r="G534" s="25">
        <v>44579</v>
      </c>
      <c r="H534" s="1" t="s">
        <v>3828</v>
      </c>
      <c r="I534" s="14" t="s">
        <v>548</v>
      </c>
      <c r="J534" s="1" t="s">
        <v>3006</v>
      </c>
      <c r="K534" s="14" t="s">
        <v>3007</v>
      </c>
      <c r="L534" s="1" t="s">
        <v>3008</v>
      </c>
      <c r="M534" s="1" t="s">
        <v>3016</v>
      </c>
      <c r="N534" s="1">
        <v>1679</v>
      </c>
      <c r="O534" s="1" t="s">
        <v>976</v>
      </c>
      <c r="P534" s="5">
        <v>890</v>
      </c>
      <c r="Q534" s="5">
        <v>0</v>
      </c>
      <c r="R534" s="5">
        <v>890</v>
      </c>
      <c r="S534" s="5">
        <v>0</v>
      </c>
      <c r="T534" s="5" t="s">
        <v>23</v>
      </c>
      <c r="V534" s="5" t="s">
        <v>548</v>
      </c>
      <c r="AB534"/>
      <c r="AC534"/>
      <c r="AD534"/>
    </row>
    <row r="535" spans="1:30" x14ac:dyDescent="0.25">
      <c r="A535" t="s">
        <v>4381</v>
      </c>
      <c r="B535" t="s">
        <v>4382</v>
      </c>
      <c r="C535" s="9" t="s">
        <v>4383</v>
      </c>
      <c r="D535" s="9" t="s">
        <v>4384</v>
      </c>
      <c r="E535" s="5" t="s">
        <v>3003</v>
      </c>
      <c r="F535" s="1" t="s">
        <v>3004</v>
      </c>
      <c r="G535" s="25">
        <v>44579</v>
      </c>
      <c r="H535" s="1" t="s">
        <v>4385</v>
      </c>
      <c r="I535" s="14" t="s">
        <v>2968</v>
      </c>
      <c r="J535" s="1" t="s">
        <v>3006</v>
      </c>
      <c r="K535" s="14" t="s">
        <v>3007</v>
      </c>
      <c r="L535" s="1" t="s">
        <v>3008</v>
      </c>
      <c r="M535" s="1" t="s">
        <v>3016</v>
      </c>
      <c r="N535" s="1">
        <v>1679</v>
      </c>
      <c r="O535" s="1" t="s">
        <v>976</v>
      </c>
      <c r="P535" s="5">
        <v>890</v>
      </c>
      <c r="Q535" s="5">
        <v>0</v>
      </c>
      <c r="R535" s="5">
        <v>890</v>
      </c>
      <c r="S535" s="5">
        <v>0</v>
      </c>
      <c r="T535" s="5" t="s">
        <v>23</v>
      </c>
      <c r="U535" s="5" t="s">
        <v>2437</v>
      </c>
      <c r="V535" s="5" t="s">
        <v>941</v>
      </c>
      <c r="AB535"/>
      <c r="AC535"/>
      <c r="AD535"/>
    </row>
    <row r="536" spans="1:30" x14ac:dyDescent="0.25">
      <c r="A536" t="s">
        <v>4386</v>
      </c>
      <c r="B536" t="s">
        <v>4387</v>
      </c>
      <c r="C536" s="9" t="s">
        <v>4388</v>
      </c>
      <c r="D536" s="9">
        <v>988094302</v>
      </c>
      <c r="E536" s="5" t="s">
        <v>3107</v>
      </c>
      <c r="F536" s="1" t="s">
        <v>4389</v>
      </c>
      <c r="G536" s="25">
        <v>44187</v>
      </c>
      <c r="H536" s="1" t="s">
        <v>4390</v>
      </c>
      <c r="I536" s="14" t="s">
        <v>522</v>
      </c>
      <c r="J536" s="1" t="s">
        <v>3006</v>
      </c>
      <c r="K536" s="14" t="s">
        <v>3007</v>
      </c>
      <c r="L536" s="1" t="s">
        <v>3008</v>
      </c>
      <c r="M536" s="1" t="s">
        <v>3009</v>
      </c>
      <c r="N536" s="1">
        <v>129</v>
      </c>
      <c r="O536" s="1" t="s">
        <v>976</v>
      </c>
      <c r="P536" s="5">
        <v>219.12</v>
      </c>
      <c r="Q536" s="5">
        <v>0</v>
      </c>
      <c r="R536" s="5">
        <v>185</v>
      </c>
      <c r="S536" s="5">
        <v>34.119999999999997</v>
      </c>
      <c r="T536" s="5" t="s">
        <v>23</v>
      </c>
      <c r="V536" s="5" t="s">
        <v>522</v>
      </c>
      <c r="AB536"/>
      <c r="AC536"/>
      <c r="AD536"/>
    </row>
    <row r="537" spans="1:30" x14ac:dyDescent="0.25">
      <c r="A537" t="s">
        <v>4391</v>
      </c>
      <c r="B537" t="s">
        <v>4392</v>
      </c>
      <c r="C537" s="9" t="s">
        <v>4393</v>
      </c>
      <c r="D537" s="9" t="s">
        <v>4394</v>
      </c>
      <c r="E537" s="5" t="s">
        <v>3003</v>
      </c>
      <c r="F537" s="1" t="s">
        <v>3004</v>
      </c>
      <c r="G537" s="25">
        <v>44530</v>
      </c>
      <c r="H537" s="1" t="s">
        <v>3410</v>
      </c>
      <c r="I537" s="14" t="s">
        <v>2792</v>
      </c>
      <c r="J537" s="1" t="s">
        <v>3006</v>
      </c>
      <c r="K537" s="14" t="s">
        <v>3007</v>
      </c>
      <c r="L537" s="1" t="s">
        <v>3008</v>
      </c>
      <c r="M537" s="1" t="s">
        <v>3009</v>
      </c>
      <c r="N537" s="1">
        <v>1340</v>
      </c>
      <c r="O537" s="1" t="s">
        <v>976</v>
      </c>
      <c r="P537" s="5">
        <v>1104</v>
      </c>
      <c r="Q537" s="5">
        <v>276</v>
      </c>
      <c r="R537" s="5">
        <v>1380</v>
      </c>
      <c r="S537" s="5">
        <v>0</v>
      </c>
      <c r="T537" s="5" t="s">
        <v>22</v>
      </c>
      <c r="U537" s="5" t="s">
        <v>2727</v>
      </c>
      <c r="V537" s="5" t="s">
        <v>764</v>
      </c>
      <c r="AB537"/>
      <c r="AC537"/>
      <c r="AD537"/>
    </row>
    <row r="538" spans="1:30" x14ac:dyDescent="0.25">
      <c r="A538" t="s">
        <v>4395</v>
      </c>
      <c r="B538" t="s">
        <v>4396</v>
      </c>
      <c r="C538" s="9" t="s">
        <v>4397</v>
      </c>
      <c r="D538" s="9">
        <v>999850467</v>
      </c>
      <c r="E538" s="5" t="s">
        <v>3003</v>
      </c>
      <c r="F538" s="1" t="s">
        <v>3004</v>
      </c>
      <c r="G538" s="25">
        <v>44468</v>
      </c>
      <c r="H538" s="1" t="s">
        <v>3027</v>
      </c>
      <c r="I538" s="14" t="s">
        <v>254</v>
      </c>
      <c r="J538" s="1" t="s">
        <v>3006</v>
      </c>
      <c r="K538" s="14" t="s">
        <v>3007</v>
      </c>
      <c r="L538" s="1" t="s">
        <v>3008</v>
      </c>
      <c r="M538" s="1" t="s">
        <v>3016</v>
      </c>
      <c r="N538" s="1">
        <v>987</v>
      </c>
      <c r="O538" s="1" t="s">
        <v>976</v>
      </c>
      <c r="P538" s="5">
        <v>1355</v>
      </c>
      <c r="Q538" s="5">
        <v>0</v>
      </c>
      <c r="R538" s="5">
        <v>1330</v>
      </c>
      <c r="S538" s="5">
        <v>25</v>
      </c>
      <c r="T538" s="5" t="s">
        <v>22</v>
      </c>
      <c r="V538" s="5" t="s">
        <v>254</v>
      </c>
      <c r="AB538"/>
      <c r="AC538"/>
      <c r="AD538"/>
    </row>
    <row r="539" spans="1:30" x14ac:dyDescent="0.25">
      <c r="A539" t="s">
        <v>4398</v>
      </c>
      <c r="B539" t="s">
        <v>4399</v>
      </c>
      <c r="C539" s="9" t="s">
        <v>4400</v>
      </c>
      <c r="D539" s="9">
        <v>994803816</v>
      </c>
      <c r="E539" s="5" t="s">
        <v>3041</v>
      </c>
      <c r="F539" s="1" t="s">
        <v>3042</v>
      </c>
      <c r="G539" s="25">
        <v>44391</v>
      </c>
      <c r="H539" s="1" t="s">
        <v>3015</v>
      </c>
      <c r="I539" s="14" t="s">
        <v>252</v>
      </c>
      <c r="J539" s="1" t="s">
        <v>3006</v>
      </c>
      <c r="K539" s="14" t="s">
        <v>3007</v>
      </c>
      <c r="L539" s="1" t="s">
        <v>3008</v>
      </c>
      <c r="M539" s="1" t="s">
        <v>3009</v>
      </c>
      <c r="N539" s="1">
        <v>626</v>
      </c>
      <c r="O539" s="1" t="s">
        <v>976</v>
      </c>
      <c r="P539" s="5">
        <v>1226.57</v>
      </c>
      <c r="Q539" s="5">
        <v>0</v>
      </c>
      <c r="R539" s="5">
        <v>1200</v>
      </c>
      <c r="S539" s="5">
        <v>26.57</v>
      </c>
      <c r="T539" s="5" t="s">
        <v>22</v>
      </c>
      <c r="V539" s="5" t="s">
        <v>252</v>
      </c>
      <c r="AB539"/>
      <c r="AC539"/>
      <c r="AD539"/>
    </row>
    <row r="540" spans="1:30" x14ac:dyDescent="0.25">
      <c r="A540" t="s">
        <v>4401</v>
      </c>
      <c r="B540" t="s">
        <v>4402</v>
      </c>
      <c r="C540" s="9" t="s">
        <v>4403</v>
      </c>
      <c r="D540" s="9">
        <v>999496486</v>
      </c>
      <c r="E540" s="5" t="s">
        <v>3133</v>
      </c>
      <c r="F540" s="1" t="s">
        <v>3248</v>
      </c>
      <c r="G540" s="25">
        <v>44350</v>
      </c>
      <c r="H540" s="1" t="s">
        <v>3154</v>
      </c>
      <c r="I540" s="14" t="s">
        <v>2841</v>
      </c>
      <c r="J540" s="1" t="s">
        <v>3006</v>
      </c>
      <c r="K540" s="14" t="s">
        <v>3007</v>
      </c>
      <c r="L540" s="1" t="s">
        <v>3008</v>
      </c>
      <c r="M540" s="1" t="s">
        <v>3016</v>
      </c>
      <c r="N540" s="1">
        <v>469</v>
      </c>
      <c r="O540" s="1" t="s">
        <v>976</v>
      </c>
      <c r="P540" s="5">
        <v>79.63</v>
      </c>
      <c r="Q540" s="5">
        <v>0</v>
      </c>
      <c r="R540" s="5">
        <v>59.9</v>
      </c>
      <c r="S540" s="5">
        <v>19.73</v>
      </c>
      <c r="T540" s="5">
        <v>39</v>
      </c>
      <c r="U540" s="5" t="s">
        <v>2472</v>
      </c>
      <c r="V540" s="5" t="s">
        <v>826</v>
      </c>
      <c r="AB540"/>
      <c r="AC540"/>
      <c r="AD540"/>
    </row>
    <row r="541" spans="1:30" x14ac:dyDescent="0.25">
      <c r="A541" t="s">
        <v>4404</v>
      </c>
      <c r="B541" t="s">
        <v>4405</v>
      </c>
      <c r="C541" s="9" t="s">
        <v>4406</v>
      </c>
      <c r="D541" s="9" t="s">
        <v>4407</v>
      </c>
      <c r="E541" s="5" t="s">
        <v>3187</v>
      </c>
      <c r="F541" s="1" t="s">
        <v>3188</v>
      </c>
      <c r="G541" s="25">
        <v>44361</v>
      </c>
      <c r="H541" s="1" t="s">
        <v>3027</v>
      </c>
      <c r="I541" s="14" t="s">
        <v>254</v>
      </c>
      <c r="J541" s="1" t="s">
        <v>3006</v>
      </c>
      <c r="K541" s="14" t="s">
        <v>3007</v>
      </c>
      <c r="L541" s="1" t="s">
        <v>3008</v>
      </c>
      <c r="M541" s="1" t="s">
        <v>3009</v>
      </c>
      <c r="N541" s="1">
        <v>508</v>
      </c>
      <c r="O541" s="1" t="s">
        <v>976</v>
      </c>
      <c r="P541" s="5">
        <v>1200</v>
      </c>
      <c r="Q541" s="5">
        <v>0</v>
      </c>
      <c r="R541" s="5">
        <v>1200</v>
      </c>
      <c r="S541" s="5">
        <v>0</v>
      </c>
      <c r="T541" s="5" t="s">
        <v>22</v>
      </c>
      <c r="V541" s="5" t="s">
        <v>254</v>
      </c>
      <c r="AB541"/>
      <c r="AC541"/>
      <c r="AD541"/>
    </row>
    <row r="542" spans="1:30" x14ac:dyDescent="0.25">
      <c r="A542" t="s">
        <v>4408</v>
      </c>
      <c r="B542" t="s">
        <v>4409</v>
      </c>
      <c r="C542" s="9" t="s">
        <v>4410</v>
      </c>
      <c r="D542" s="9">
        <v>981874393</v>
      </c>
      <c r="E542" s="5" t="s">
        <v>3041</v>
      </c>
      <c r="F542" s="1" t="s">
        <v>3042</v>
      </c>
      <c r="G542" s="25">
        <v>44461</v>
      </c>
      <c r="H542" s="1" t="s">
        <v>4411</v>
      </c>
      <c r="I542" s="14" t="s">
        <v>2963</v>
      </c>
      <c r="J542" s="1" t="s">
        <v>3006</v>
      </c>
      <c r="K542" s="14" t="s">
        <v>3007</v>
      </c>
      <c r="L542" s="1" t="s">
        <v>3008</v>
      </c>
      <c r="M542" s="1" t="s">
        <v>3016</v>
      </c>
      <c r="N542" s="1">
        <v>958</v>
      </c>
      <c r="O542" s="1" t="s">
        <v>976</v>
      </c>
      <c r="P542" s="5">
        <v>693</v>
      </c>
      <c r="Q542" s="5">
        <v>77</v>
      </c>
      <c r="R542" s="5">
        <v>770</v>
      </c>
      <c r="S542" s="5">
        <v>0</v>
      </c>
      <c r="T542" s="5">
        <v>43</v>
      </c>
      <c r="U542" s="5" t="s">
        <v>2433</v>
      </c>
      <c r="V542" s="5" t="s">
        <v>935</v>
      </c>
      <c r="AB542"/>
      <c r="AC542"/>
      <c r="AD542"/>
    </row>
    <row r="543" spans="1:30" x14ac:dyDescent="0.25">
      <c r="A543" t="s">
        <v>4412</v>
      </c>
      <c r="B543" t="s">
        <v>4413</v>
      </c>
      <c r="C543" s="9" t="s">
        <v>4414</v>
      </c>
      <c r="D543" s="9" t="s">
        <v>4415</v>
      </c>
      <c r="E543" s="5" t="s">
        <v>3003</v>
      </c>
      <c r="F543" s="1" t="s">
        <v>3004</v>
      </c>
      <c r="G543" s="25">
        <v>44442</v>
      </c>
      <c r="H543" s="1" t="s">
        <v>3594</v>
      </c>
      <c r="I543" s="14" t="s">
        <v>2782</v>
      </c>
      <c r="J543" s="1" t="s">
        <v>3006</v>
      </c>
      <c r="K543" s="14" t="s">
        <v>3007</v>
      </c>
      <c r="L543" s="1" t="s">
        <v>3008</v>
      </c>
      <c r="M543" s="1" t="s">
        <v>3009</v>
      </c>
      <c r="N543" s="1">
        <v>860</v>
      </c>
      <c r="O543" s="1" t="s">
        <v>976</v>
      </c>
      <c r="P543" s="5">
        <v>414</v>
      </c>
      <c r="Q543" s="5">
        <v>46</v>
      </c>
      <c r="R543" s="5">
        <v>460</v>
      </c>
      <c r="S543" s="5">
        <v>0</v>
      </c>
      <c r="T543" s="5" t="s">
        <v>23</v>
      </c>
      <c r="U543" s="5" t="s">
        <v>2443</v>
      </c>
      <c r="V543" s="5" t="s">
        <v>750</v>
      </c>
      <c r="AB543"/>
      <c r="AC543"/>
      <c r="AD543"/>
    </row>
    <row r="544" spans="1:30" x14ac:dyDescent="0.25">
      <c r="A544" t="s">
        <v>4416</v>
      </c>
      <c r="B544" t="s">
        <v>4417</v>
      </c>
      <c r="C544" s="9" t="s">
        <v>4418</v>
      </c>
      <c r="D544" s="9">
        <v>999771077</v>
      </c>
      <c r="E544" s="5" t="s">
        <v>3003</v>
      </c>
      <c r="F544" s="1" t="s">
        <v>4419</v>
      </c>
      <c r="G544" s="25">
        <v>44447</v>
      </c>
      <c r="H544" s="1" t="s">
        <v>3027</v>
      </c>
      <c r="I544" s="14" t="s">
        <v>254</v>
      </c>
      <c r="J544" s="1" t="s">
        <v>3006</v>
      </c>
      <c r="K544" s="14" t="s">
        <v>3007</v>
      </c>
      <c r="L544" s="1" t="s">
        <v>3008</v>
      </c>
      <c r="M544" s="1" t="s">
        <v>3009</v>
      </c>
      <c r="N544" s="1">
        <v>872</v>
      </c>
      <c r="O544" s="1" t="s">
        <v>976</v>
      </c>
      <c r="P544" s="5">
        <v>1217.76</v>
      </c>
      <c r="Q544" s="5">
        <v>133</v>
      </c>
      <c r="R544" s="5">
        <v>1330</v>
      </c>
      <c r="S544" s="5">
        <v>20.76</v>
      </c>
      <c r="T544" s="5" t="s">
        <v>22</v>
      </c>
      <c r="V544" s="5" t="s">
        <v>254</v>
      </c>
      <c r="AB544"/>
      <c r="AC544"/>
      <c r="AD544"/>
    </row>
    <row r="545" spans="1:30" x14ac:dyDescent="0.25">
      <c r="A545" t="s">
        <v>4420</v>
      </c>
      <c r="B545" t="s">
        <v>4421</v>
      </c>
      <c r="C545" s="9" t="s">
        <v>4422</v>
      </c>
      <c r="D545" s="9">
        <v>943960027</v>
      </c>
      <c r="E545" s="5" t="s">
        <v>3003</v>
      </c>
      <c r="F545" s="1" t="s">
        <v>3004</v>
      </c>
      <c r="G545" s="25">
        <v>44460</v>
      </c>
      <c r="H545" s="1" t="s">
        <v>3165</v>
      </c>
      <c r="I545" s="14" t="s">
        <v>2814</v>
      </c>
      <c r="J545" s="1" t="s">
        <v>3006</v>
      </c>
      <c r="K545" s="14" t="s">
        <v>3007</v>
      </c>
      <c r="L545" s="1" t="s">
        <v>3008</v>
      </c>
      <c r="M545" s="1" t="s">
        <v>3009</v>
      </c>
      <c r="N545" s="1">
        <v>948</v>
      </c>
      <c r="O545" s="1" t="s">
        <v>976</v>
      </c>
      <c r="P545" s="5">
        <v>536.41999999999996</v>
      </c>
      <c r="Q545" s="5">
        <v>58.5</v>
      </c>
      <c r="R545" s="5">
        <v>585</v>
      </c>
      <c r="S545" s="5">
        <v>9.92</v>
      </c>
      <c r="T545" s="5" t="s">
        <v>22</v>
      </c>
      <c r="U545" s="5" t="s">
        <v>2482</v>
      </c>
      <c r="V545" s="5" t="s">
        <v>789</v>
      </c>
      <c r="AB545"/>
      <c r="AC545"/>
      <c r="AD545"/>
    </row>
    <row r="546" spans="1:30" x14ac:dyDescent="0.25">
      <c r="A546" t="s">
        <v>4420</v>
      </c>
      <c r="B546" t="s">
        <v>4421</v>
      </c>
      <c r="C546" s="9" t="s">
        <v>4422</v>
      </c>
      <c r="D546" s="9">
        <v>943960027</v>
      </c>
      <c r="E546" s="5" t="s">
        <v>3003</v>
      </c>
      <c r="F546" s="1" t="s">
        <v>3004</v>
      </c>
      <c r="G546" s="25">
        <v>44460</v>
      </c>
      <c r="H546" s="1" t="s">
        <v>3160</v>
      </c>
      <c r="I546" s="14" t="s">
        <v>488</v>
      </c>
      <c r="J546" s="1" t="s">
        <v>3006</v>
      </c>
      <c r="K546" s="14" t="s">
        <v>3007</v>
      </c>
      <c r="L546" s="1" t="s">
        <v>3008</v>
      </c>
      <c r="M546" s="1" t="s">
        <v>3009</v>
      </c>
      <c r="N546" s="1">
        <v>948</v>
      </c>
      <c r="O546" s="1" t="s">
        <v>976</v>
      </c>
      <c r="P546" s="5">
        <v>288.83999999999997</v>
      </c>
      <c r="Q546" s="5">
        <v>31.5</v>
      </c>
      <c r="R546" s="5">
        <v>315</v>
      </c>
      <c r="S546" s="5">
        <v>5.34</v>
      </c>
      <c r="T546" s="5" t="s">
        <v>22</v>
      </c>
      <c r="V546" s="5" t="s">
        <v>488</v>
      </c>
      <c r="AB546"/>
      <c r="AC546"/>
      <c r="AD546"/>
    </row>
    <row r="547" spans="1:30" x14ac:dyDescent="0.25">
      <c r="A547" t="s">
        <v>4420</v>
      </c>
      <c r="B547" t="s">
        <v>4421</v>
      </c>
      <c r="C547" s="9" t="s">
        <v>4422</v>
      </c>
      <c r="D547" s="9">
        <v>943960027</v>
      </c>
      <c r="E547" s="5" t="s">
        <v>3003</v>
      </c>
      <c r="F547" s="1" t="s">
        <v>3004</v>
      </c>
      <c r="G547" s="25">
        <v>44460</v>
      </c>
      <c r="H547" s="1" t="s">
        <v>3206</v>
      </c>
      <c r="I547" s="14" t="s">
        <v>2930</v>
      </c>
      <c r="J547" s="1" t="s">
        <v>3006</v>
      </c>
      <c r="K547" s="14" t="s">
        <v>3007</v>
      </c>
      <c r="L547" s="1" t="s">
        <v>3008</v>
      </c>
      <c r="M547" s="1" t="s">
        <v>3009</v>
      </c>
      <c r="N547" s="1">
        <v>948</v>
      </c>
      <c r="O547" s="1" t="s">
        <v>976</v>
      </c>
      <c r="P547" s="5">
        <v>527.24</v>
      </c>
      <c r="Q547" s="5">
        <v>57.5</v>
      </c>
      <c r="R547" s="5">
        <v>575</v>
      </c>
      <c r="S547" s="5">
        <v>9.74</v>
      </c>
      <c r="T547" s="5" t="s">
        <v>22</v>
      </c>
      <c r="U547" s="5" t="s">
        <v>2447</v>
      </c>
      <c r="V547" s="5" t="s">
        <v>919</v>
      </c>
      <c r="AB547"/>
      <c r="AC547"/>
      <c r="AD547"/>
    </row>
    <row r="548" spans="1:30" x14ac:dyDescent="0.25">
      <c r="A548" t="s">
        <v>4423</v>
      </c>
      <c r="B548" t="s">
        <v>4424</v>
      </c>
      <c r="C548" s="9" t="s">
        <v>4425</v>
      </c>
      <c r="D548" s="9">
        <v>998591791</v>
      </c>
      <c r="E548" s="5" t="s">
        <v>3041</v>
      </c>
      <c r="F548" s="1" t="s">
        <v>3042</v>
      </c>
      <c r="G548" s="25">
        <v>44523</v>
      </c>
      <c r="H548" s="1" t="s">
        <v>4426</v>
      </c>
      <c r="I548" s="14" t="s">
        <v>2850</v>
      </c>
      <c r="J548" s="1" t="s">
        <v>3006</v>
      </c>
      <c r="K548" s="14" t="s">
        <v>3007</v>
      </c>
      <c r="L548" s="1" t="s">
        <v>3008</v>
      </c>
      <c r="M548" s="1" t="s">
        <v>3016</v>
      </c>
      <c r="N548" s="1">
        <v>1258</v>
      </c>
      <c r="O548" s="1" t="s">
        <v>976</v>
      </c>
      <c r="P548" s="5">
        <v>693.39</v>
      </c>
      <c r="Q548" s="5">
        <v>0</v>
      </c>
      <c r="R548" s="5">
        <v>670</v>
      </c>
      <c r="S548" s="5">
        <v>23.39</v>
      </c>
      <c r="T548" s="5" t="s">
        <v>25</v>
      </c>
      <c r="U548" s="5" t="s">
        <v>2447</v>
      </c>
      <c r="V548" s="5" t="s">
        <v>838</v>
      </c>
      <c r="AB548"/>
      <c r="AC548"/>
      <c r="AD548"/>
    </row>
    <row r="549" spans="1:30" x14ac:dyDescent="0.25">
      <c r="A549" t="s">
        <v>4427</v>
      </c>
      <c r="B549" t="s">
        <v>4428</v>
      </c>
      <c r="C549" s="9" t="s">
        <v>4429</v>
      </c>
      <c r="D549" s="9">
        <v>88091093</v>
      </c>
      <c r="E549" s="5" t="s">
        <v>3041</v>
      </c>
      <c r="F549" s="1" t="s">
        <v>4430</v>
      </c>
      <c r="G549" s="25">
        <v>44424</v>
      </c>
      <c r="H549" s="1" t="s">
        <v>4390</v>
      </c>
      <c r="I549" s="14" t="s">
        <v>522</v>
      </c>
      <c r="J549" s="1" t="s">
        <v>3006</v>
      </c>
      <c r="K549" s="14" t="s">
        <v>3007</v>
      </c>
      <c r="L549" s="1" t="s">
        <v>4431</v>
      </c>
      <c r="M549" s="1" t="s">
        <v>976</v>
      </c>
      <c r="N549" s="1">
        <v>774</v>
      </c>
      <c r="O549" s="1" t="s">
        <v>976</v>
      </c>
      <c r="P549" s="5">
        <v>185</v>
      </c>
      <c r="Q549" s="5">
        <v>0</v>
      </c>
      <c r="R549" s="5">
        <v>185</v>
      </c>
      <c r="S549" s="5">
        <v>0</v>
      </c>
      <c r="T549" s="5" t="s">
        <v>23</v>
      </c>
      <c r="V549" s="5" t="s">
        <v>522</v>
      </c>
      <c r="AB549"/>
      <c r="AC549"/>
      <c r="AD549"/>
    </row>
    <row r="550" spans="1:30" x14ac:dyDescent="0.25">
      <c r="A550" t="s">
        <v>4432</v>
      </c>
      <c r="B550" t="s">
        <v>4433</v>
      </c>
      <c r="C550" s="9" t="s">
        <v>4434</v>
      </c>
      <c r="D550" s="9">
        <v>984333881</v>
      </c>
      <c r="E550" s="5" t="s">
        <v>3003</v>
      </c>
      <c r="F550" s="1" t="s">
        <v>3004</v>
      </c>
      <c r="G550" s="25">
        <v>44451</v>
      </c>
      <c r="H550" s="1" t="s">
        <v>3866</v>
      </c>
      <c r="I550" s="14" t="s">
        <v>2925</v>
      </c>
      <c r="J550" s="1" t="s">
        <v>3006</v>
      </c>
      <c r="K550" s="14" t="s">
        <v>3007</v>
      </c>
      <c r="L550" s="1" t="s">
        <v>3008</v>
      </c>
      <c r="M550" s="1" t="s">
        <v>3009</v>
      </c>
      <c r="N550" s="1">
        <v>907</v>
      </c>
      <c r="O550" s="1" t="s">
        <v>976</v>
      </c>
      <c r="P550" s="5">
        <v>816.92</v>
      </c>
      <c r="Q550" s="5">
        <v>89</v>
      </c>
      <c r="R550" s="5">
        <v>890</v>
      </c>
      <c r="S550" s="5">
        <v>15.92</v>
      </c>
      <c r="T550" s="5" t="s">
        <v>5574</v>
      </c>
      <c r="U550" s="5" t="s">
        <v>2433</v>
      </c>
      <c r="V550" s="5" t="s">
        <v>917</v>
      </c>
      <c r="AB550"/>
      <c r="AC550"/>
      <c r="AD550"/>
    </row>
    <row r="551" spans="1:30" x14ac:dyDescent="0.25">
      <c r="A551" t="s">
        <v>4435</v>
      </c>
      <c r="B551" t="s">
        <v>4436</v>
      </c>
      <c r="C551" s="9" t="s">
        <v>4437</v>
      </c>
      <c r="D551" s="9" t="s">
        <v>4438</v>
      </c>
      <c r="E551" s="5" t="s">
        <v>3003</v>
      </c>
      <c r="F551" s="1" t="s">
        <v>3004</v>
      </c>
      <c r="G551" s="25">
        <v>44582</v>
      </c>
      <c r="H551" s="1" t="s">
        <v>3495</v>
      </c>
      <c r="I551" s="14" t="s">
        <v>2966</v>
      </c>
      <c r="J551" s="1" t="s">
        <v>3006</v>
      </c>
      <c r="K551" s="14" t="s">
        <v>3007</v>
      </c>
      <c r="L551" s="1" t="s">
        <v>3008</v>
      </c>
      <c r="M551" s="1" t="s">
        <v>3016</v>
      </c>
      <c r="N551" s="1">
        <v>1707</v>
      </c>
      <c r="O551" s="1" t="s">
        <v>976</v>
      </c>
      <c r="P551" s="5">
        <v>960</v>
      </c>
      <c r="Q551" s="5">
        <v>0</v>
      </c>
      <c r="R551" s="5">
        <v>960</v>
      </c>
      <c r="S551" s="5">
        <v>0</v>
      </c>
      <c r="T551" s="5">
        <v>38</v>
      </c>
      <c r="U551" s="5" t="s">
        <v>2482</v>
      </c>
      <c r="V551" s="5" t="s">
        <v>939</v>
      </c>
      <c r="AB551"/>
      <c r="AC551"/>
      <c r="AD551"/>
    </row>
    <row r="552" spans="1:30" x14ac:dyDescent="0.25">
      <c r="A552" t="s">
        <v>4435</v>
      </c>
      <c r="B552" t="s">
        <v>4436</v>
      </c>
      <c r="C552" s="9" t="s">
        <v>4437</v>
      </c>
      <c r="D552" s="9" t="s">
        <v>4438</v>
      </c>
      <c r="E552" s="5" t="s">
        <v>3003</v>
      </c>
      <c r="F552" s="1" t="s">
        <v>3004</v>
      </c>
      <c r="G552" s="25">
        <v>44582</v>
      </c>
      <c r="H552" s="1" t="s">
        <v>3496</v>
      </c>
      <c r="I552" s="14" t="s">
        <v>2985</v>
      </c>
      <c r="J552" s="1" t="s">
        <v>3006</v>
      </c>
      <c r="K552" s="14" t="s">
        <v>3007</v>
      </c>
      <c r="L552" s="1" t="s">
        <v>3008</v>
      </c>
      <c r="M552" s="1" t="s">
        <v>3016</v>
      </c>
      <c r="N552" s="1">
        <v>1707</v>
      </c>
      <c r="O552" s="1" t="s">
        <v>976</v>
      </c>
      <c r="P552" s="5">
        <v>785</v>
      </c>
      <c r="Q552" s="5">
        <v>0</v>
      </c>
      <c r="R552" s="5">
        <v>785</v>
      </c>
      <c r="S552" s="5">
        <v>0</v>
      </c>
      <c r="T552" s="5" t="s">
        <v>22</v>
      </c>
      <c r="U552" s="5" t="s">
        <v>2482</v>
      </c>
      <c r="V552" s="5" t="s">
        <v>950</v>
      </c>
      <c r="AB552"/>
      <c r="AC552"/>
      <c r="AD552"/>
    </row>
    <row r="553" spans="1:30" x14ac:dyDescent="0.25">
      <c r="A553" t="s">
        <v>4439</v>
      </c>
      <c r="B553" t="s">
        <v>4440</v>
      </c>
      <c r="C553" s="9" t="s">
        <v>4441</v>
      </c>
      <c r="D553" s="9" t="s">
        <v>4442</v>
      </c>
      <c r="E553" s="5" t="s">
        <v>3041</v>
      </c>
      <c r="F553" s="1" t="s">
        <v>3042</v>
      </c>
      <c r="G553" s="25">
        <v>44571</v>
      </c>
      <c r="H553" s="1" t="s">
        <v>4443</v>
      </c>
      <c r="I553" s="14" t="s">
        <v>417</v>
      </c>
      <c r="J553" s="1" t="s">
        <v>3006</v>
      </c>
      <c r="K553" s="14" t="s">
        <v>3007</v>
      </c>
      <c r="L553" s="1" t="s">
        <v>3008</v>
      </c>
      <c r="M553" s="1" t="s">
        <v>3009</v>
      </c>
      <c r="N553" s="1">
        <v>1616</v>
      </c>
      <c r="O553" s="1" t="s">
        <v>976</v>
      </c>
      <c r="P553" s="5">
        <v>897.11</v>
      </c>
      <c r="Q553" s="5">
        <v>0</v>
      </c>
      <c r="R553" s="5">
        <v>870</v>
      </c>
      <c r="S553" s="5">
        <v>27.11</v>
      </c>
      <c r="T553" s="5">
        <v>41</v>
      </c>
      <c r="V553" s="5" t="s">
        <v>417</v>
      </c>
      <c r="AB553"/>
      <c r="AC553"/>
      <c r="AD553"/>
    </row>
    <row r="554" spans="1:30" x14ac:dyDescent="0.25">
      <c r="A554" t="s">
        <v>4444</v>
      </c>
      <c r="B554" t="s">
        <v>4445</v>
      </c>
      <c r="C554" s="9" t="s">
        <v>4446</v>
      </c>
      <c r="D554" s="9">
        <v>984314460</v>
      </c>
      <c r="E554" s="5" t="s">
        <v>3003</v>
      </c>
      <c r="F554" s="1" t="s">
        <v>3004</v>
      </c>
      <c r="G554" s="25">
        <v>44484</v>
      </c>
      <c r="H554" s="1" t="s">
        <v>3725</v>
      </c>
      <c r="I554" s="14" t="s">
        <v>2816</v>
      </c>
      <c r="J554" s="1" t="s">
        <v>3006</v>
      </c>
      <c r="K554" s="14" t="s">
        <v>3007</v>
      </c>
      <c r="L554" s="1" t="s">
        <v>3008</v>
      </c>
      <c r="M554" s="1" t="s">
        <v>3009</v>
      </c>
      <c r="N554" s="1">
        <v>1051</v>
      </c>
      <c r="O554" s="1" t="s">
        <v>976</v>
      </c>
      <c r="P554" s="5">
        <v>460</v>
      </c>
      <c r="Q554" s="5">
        <v>0</v>
      </c>
      <c r="R554" s="5">
        <v>460</v>
      </c>
      <c r="S554" s="5">
        <v>0</v>
      </c>
      <c r="T554" s="5" t="s">
        <v>23</v>
      </c>
      <c r="U554" s="5" t="s">
        <v>2443</v>
      </c>
      <c r="V554" s="5" t="s">
        <v>793</v>
      </c>
      <c r="AB554"/>
      <c r="AC554"/>
      <c r="AD554"/>
    </row>
    <row r="555" spans="1:30" x14ac:dyDescent="0.25">
      <c r="A555" t="s">
        <v>4444</v>
      </c>
      <c r="B555" t="s">
        <v>4445</v>
      </c>
      <c r="C555" s="9" t="s">
        <v>4446</v>
      </c>
      <c r="D555" s="9">
        <v>984314460</v>
      </c>
      <c r="E555" s="5" t="s">
        <v>3003</v>
      </c>
      <c r="F555" s="1" t="s">
        <v>3004</v>
      </c>
      <c r="G555" s="25">
        <v>44484</v>
      </c>
      <c r="H555" s="1" t="s">
        <v>3783</v>
      </c>
      <c r="I555" s="14" t="s">
        <v>1254</v>
      </c>
      <c r="J555" s="1" t="s">
        <v>3006</v>
      </c>
      <c r="K555" s="14" t="s">
        <v>3007</v>
      </c>
      <c r="L555" s="1" t="s">
        <v>3008</v>
      </c>
      <c r="M555" s="1" t="s">
        <v>3009</v>
      </c>
      <c r="N555" s="1">
        <v>1051</v>
      </c>
      <c r="O555" s="1" t="s">
        <v>976</v>
      </c>
      <c r="P555" s="5">
        <v>920</v>
      </c>
      <c r="Q555" s="5">
        <v>0</v>
      </c>
      <c r="R555" s="5">
        <v>920</v>
      </c>
      <c r="S555" s="5">
        <v>0</v>
      </c>
      <c r="T555" s="5" t="s">
        <v>23</v>
      </c>
      <c r="U555" s="5" t="s">
        <v>2443</v>
      </c>
      <c r="V555" s="5" t="s">
        <v>912</v>
      </c>
      <c r="AB555"/>
      <c r="AC555"/>
      <c r="AD555"/>
    </row>
    <row r="556" spans="1:30" x14ac:dyDescent="0.25">
      <c r="A556" t="s">
        <v>4447</v>
      </c>
      <c r="B556" t="s">
        <v>4448</v>
      </c>
      <c r="C556" s="9" t="s">
        <v>4449</v>
      </c>
      <c r="D556" s="9">
        <v>994390206</v>
      </c>
      <c r="E556" s="5" t="s">
        <v>3003</v>
      </c>
      <c r="F556" s="1" t="s">
        <v>3004</v>
      </c>
      <c r="G556" s="25">
        <v>44421</v>
      </c>
      <c r="H556" s="1" t="s">
        <v>4450</v>
      </c>
      <c r="I556" s="14" t="s">
        <v>2850</v>
      </c>
      <c r="J556" s="1" t="s">
        <v>3006</v>
      </c>
      <c r="K556" s="14" t="s">
        <v>3007</v>
      </c>
      <c r="L556" s="1" t="s">
        <v>3008</v>
      </c>
      <c r="M556" s="1" t="s">
        <v>3009</v>
      </c>
      <c r="N556" s="1">
        <v>766</v>
      </c>
      <c r="O556" s="1" t="s">
        <v>976</v>
      </c>
      <c r="P556" s="5">
        <v>670</v>
      </c>
      <c r="Q556" s="5">
        <v>0</v>
      </c>
      <c r="R556" s="5">
        <v>670</v>
      </c>
      <c r="S556" s="5">
        <v>0</v>
      </c>
      <c r="T556" s="5" t="s">
        <v>23</v>
      </c>
      <c r="U556" s="5" t="s">
        <v>2447</v>
      </c>
      <c r="V556" s="5" t="s">
        <v>838</v>
      </c>
      <c r="AB556"/>
      <c r="AC556"/>
      <c r="AD556"/>
    </row>
    <row r="557" spans="1:30" x14ac:dyDescent="0.25">
      <c r="A557" t="s">
        <v>4451</v>
      </c>
      <c r="B557" t="s">
        <v>4452</v>
      </c>
      <c r="C557" s="9" t="s">
        <v>4453</v>
      </c>
      <c r="D557" s="9">
        <v>984289680</v>
      </c>
      <c r="E557" s="5" t="s">
        <v>3003</v>
      </c>
      <c r="F557" s="1" t="s">
        <v>4454</v>
      </c>
      <c r="G557" s="25">
        <v>44520</v>
      </c>
      <c r="H557" s="1" t="s">
        <v>3015</v>
      </c>
      <c r="I557" s="14" t="s">
        <v>252</v>
      </c>
      <c r="J557" s="1" t="s">
        <v>3006</v>
      </c>
      <c r="K557" s="14" t="s">
        <v>3007</v>
      </c>
      <c r="L557" s="1" t="s">
        <v>3008</v>
      </c>
      <c r="M557" s="1" t="s">
        <v>3009</v>
      </c>
      <c r="N557" s="1">
        <v>1242</v>
      </c>
      <c r="O557" s="1" t="s">
        <v>976</v>
      </c>
      <c r="P557" s="5">
        <v>1402.62</v>
      </c>
      <c r="Q557" s="5">
        <v>0</v>
      </c>
      <c r="R557" s="5">
        <v>1380</v>
      </c>
      <c r="S557" s="5">
        <v>22.62</v>
      </c>
      <c r="T557" s="5" t="s">
        <v>22</v>
      </c>
      <c r="V557" s="5" t="s">
        <v>252</v>
      </c>
      <c r="AB557"/>
      <c r="AC557"/>
      <c r="AD557"/>
    </row>
    <row r="558" spans="1:30" x14ac:dyDescent="0.25">
      <c r="A558" t="s">
        <v>4455</v>
      </c>
      <c r="B558" t="s">
        <v>4456</v>
      </c>
      <c r="C558" s="9" t="s">
        <v>4457</v>
      </c>
      <c r="D558" s="9">
        <v>998073575</v>
      </c>
      <c r="E558" s="5" t="s">
        <v>4229</v>
      </c>
      <c r="F558" s="1" t="s">
        <v>4352</v>
      </c>
      <c r="G558" s="25">
        <v>44387</v>
      </c>
      <c r="H558" s="1" t="s">
        <v>3075</v>
      </c>
      <c r="I558" s="14" t="s">
        <v>2791</v>
      </c>
      <c r="J558" s="1" t="s">
        <v>3006</v>
      </c>
      <c r="K558" s="14" t="s">
        <v>3007</v>
      </c>
      <c r="L558" s="1" t="s">
        <v>3008</v>
      </c>
      <c r="M558" s="1" t="s">
        <v>3009</v>
      </c>
      <c r="N558" s="1">
        <v>611</v>
      </c>
      <c r="O558" s="1" t="s">
        <v>976</v>
      </c>
      <c r="P558" s="5">
        <v>1108.29</v>
      </c>
      <c r="Q558" s="5">
        <v>120</v>
      </c>
      <c r="R558" s="5">
        <v>1200</v>
      </c>
      <c r="S558" s="5">
        <v>28.29</v>
      </c>
      <c r="T558" s="5" t="s">
        <v>22</v>
      </c>
      <c r="U558" s="5" t="s">
        <v>2443</v>
      </c>
      <c r="V558" s="5" t="s">
        <v>763</v>
      </c>
      <c r="AB558"/>
      <c r="AC558"/>
      <c r="AD558"/>
    </row>
    <row r="559" spans="1:30" x14ac:dyDescent="0.25">
      <c r="A559" t="s">
        <v>4458</v>
      </c>
      <c r="B559" t="s">
        <v>4459</v>
      </c>
      <c r="C559" s="9" t="s">
        <v>4460</v>
      </c>
      <c r="D559" s="9">
        <v>972426290</v>
      </c>
      <c r="E559" s="5" t="s">
        <v>3041</v>
      </c>
      <c r="F559" s="1" t="s">
        <v>3042</v>
      </c>
      <c r="G559" s="25">
        <v>44210</v>
      </c>
      <c r="H559" s="1" t="s">
        <v>3510</v>
      </c>
      <c r="I559" s="14" t="s">
        <v>2805</v>
      </c>
      <c r="J559" s="1" t="s">
        <v>3006</v>
      </c>
      <c r="K559" s="14" t="s">
        <v>3007</v>
      </c>
      <c r="L559" s="1" t="s">
        <v>3008</v>
      </c>
      <c r="M559" s="1" t="s">
        <v>3009</v>
      </c>
      <c r="N559" s="1">
        <v>155</v>
      </c>
      <c r="O559" s="1" t="s">
        <v>976</v>
      </c>
      <c r="P559" s="5">
        <v>492.19</v>
      </c>
      <c r="Q559" s="5">
        <v>0</v>
      </c>
      <c r="R559" s="5">
        <v>470</v>
      </c>
      <c r="S559" s="5">
        <v>22.19</v>
      </c>
      <c r="T559" s="5">
        <v>40</v>
      </c>
      <c r="U559" s="5" t="s">
        <v>2443</v>
      </c>
      <c r="V559" s="5" t="s">
        <v>776</v>
      </c>
      <c r="AB559"/>
      <c r="AC559"/>
      <c r="AD559"/>
    </row>
    <row r="560" spans="1:30" x14ac:dyDescent="0.25">
      <c r="A560" t="s">
        <v>4461</v>
      </c>
      <c r="B560" t="s">
        <v>4462</v>
      </c>
      <c r="C560" s="9" t="s">
        <v>4463</v>
      </c>
      <c r="D560" s="9">
        <v>951951750</v>
      </c>
      <c r="E560" s="5" t="s">
        <v>3003</v>
      </c>
      <c r="F560" s="1" t="s">
        <v>3004</v>
      </c>
      <c r="G560" s="25">
        <v>44503</v>
      </c>
      <c r="H560" s="1" t="s">
        <v>3027</v>
      </c>
      <c r="I560" s="14" t="s">
        <v>254</v>
      </c>
      <c r="J560" s="1" t="s">
        <v>3006</v>
      </c>
      <c r="K560" s="14" t="s">
        <v>3007</v>
      </c>
      <c r="L560" s="1" t="s">
        <v>3008</v>
      </c>
      <c r="M560" s="1" t="s">
        <v>3009</v>
      </c>
      <c r="N560" s="1">
        <v>1159</v>
      </c>
      <c r="O560" s="1" t="s">
        <v>976</v>
      </c>
      <c r="P560" s="5">
        <v>1402.06</v>
      </c>
      <c r="Q560" s="5">
        <v>0</v>
      </c>
      <c r="R560" s="5">
        <v>1380</v>
      </c>
      <c r="S560" s="5">
        <v>22.06</v>
      </c>
      <c r="T560" s="5" t="s">
        <v>22</v>
      </c>
      <c r="V560" s="5" t="s">
        <v>254</v>
      </c>
      <c r="AB560"/>
      <c r="AC560"/>
      <c r="AD560"/>
    </row>
    <row r="561" spans="1:30" x14ac:dyDescent="0.25">
      <c r="A561" t="s">
        <v>4464</v>
      </c>
      <c r="B561" t="s">
        <v>4465</v>
      </c>
      <c r="C561" s="9" t="s">
        <v>4466</v>
      </c>
      <c r="D561" s="9">
        <v>992197380</v>
      </c>
      <c r="E561" s="5" t="s">
        <v>3041</v>
      </c>
      <c r="F561" s="1" t="s">
        <v>3042</v>
      </c>
      <c r="G561" s="25">
        <v>44405</v>
      </c>
      <c r="H561" s="1" t="s">
        <v>4467</v>
      </c>
      <c r="I561" s="14" t="s">
        <v>432</v>
      </c>
      <c r="J561" s="1" t="s">
        <v>3006</v>
      </c>
      <c r="K561" s="14" t="s">
        <v>3007</v>
      </c>
      <c r="L561" s="1" t="s">
        <v>3008</v>
      </c>
      <c r="M561" s="1" t="s">
        <v>3016</v>
      </c>
      <c r="N561" s="1">
        <v>703</v>
      </c>
      <c r="O561" s="1" t="s">
        <v>976</v>
      </c>
      <c r="P561" s="5">
        <v>1022.89</v>
      </c>
      <c r="Q561" s="5">
        <v>0</v>
      </c>
      <c r="R561" s="5">
        <v>990</v>
      </c>
      <c r="S561" s="5">
        <v>32.89</v>
      </c>
      <c r="T561" s="5">
        <v>44</v>
      </c>
      <c r="V561" s="5" t="s">
        <v>432</v>
      </c>
      <c r="AB561"/>
      <c r="AC561"/>
      <c r="AD561"/>
    </row>
    <row r="562" spans="1:30" x14ac:dyDescent="0.25">
      <c r="A562" t="s">
        <v>4468</v>
      </c>
      <c r="B562" t="s">
        <v>4469</v>
      </c>
      <c r="C562" s="9" t="s">
        <v>4470</v>
      </c>
      <c r="D562" s="9">
        <v>986880405</v>
      </c>
      <c r="E562" s="5" t="s">
        <v>3003</v>
      </c>
      <c r="F562" s="1" t="s">
        <v>3004</v>
      </c>
      <c r="G562" s="25">
        <v>44383</v>
      </c>
      <c r="H562" s="1" t="s">
        <v>4471</v>
      </c>
      <c r="I562" s="14" t="s">
        <v>2805</v>
      </c>
      <c r="J562" s="1" t="s">
        <v>3006</v>
      </c>
      <c r="K562" s="14" t="s">
        <v>3007</v>
      </c>
      <c r="L562" s="1" t="s">
        <v>3008</v>
      </c>
      <c r="M562" s="1" t="s">
        <v>3016</v>
      </c>
      <c r="N562" s="1">
        <v>593</v>
      </c>
      <c r="O562" s="1" t="s">
        <v>976</v>
      </c>
      <c r="P562" s="5">
        <v>489.17</v>
      </c>
      <c r="Q562" s="5">
        <v>0</v>
      </c>
      <c r="R562" s="5">
        <v>470</v>
      </c>
      <c r="S562" s="5">
        <v>19.170000000000002</v>
      </c>
      <c r="T562" s="5">
        <v>46</v>
      </c>
      <c r="U562" s="5" t="s">
        <v>2443</v>
      </c>
      <c r="V562" s="5" t="s">
        <v>776</v>
      </c>
      <c r="AB562"/>
      <c r="AC562"/>
      <c r="AD562"/>
    </row>
    <row r="563" spans="1:30" x14ac:dyDescent="0.25">
      <c r="A563" t="s">
        <v>4472</v>
      </c>
      <c r="B563" t="s">
        <v>4473</v>
      </c>
      <c r="C563" s="9" t="s">
        <v>4474</v>
      </c>
      <c r="D563" s="9" t="s">
        <v>4475</v>
      </c>
      <c r="E563" s="5" t="s">
        <v>3003</v>
      </c>
      <c r="F563" s="1" t="s">
        <v>3004</v>
      </c>
      <c r="G563" s="25">
        <v>44538</v>
      </c>
      <c r="H563" s="1" t="s">
        <v>3027</v>
      </c>
      <c r="I563" s="14" t="s">
        <v>254</v>
      </c>
      <c r="J563" s="1" t="s">
        <v>3006</v>
      </c>
      <c r="K563" s="14" t="s">
        <v>3007</v>
      </c>
      <c r="L563" s="1" t="s">
        <v>3008</v>
      </c>
      <c r="M563" s="1" t="s">
        <v>3009</v>
      </c>
      <c r="N563" s="1">
        <v>1388</v>
      </c>
      <c r="O563" s="1" t="s">
        <v>976</v>
      </c>
      <c r="P563" s="5">
        <v>1380</v>
      </c>
      <c r="Q563" s="5">
        <v>0</v>
      </c>
      <c r="R563" s="5">
        <v>1380</v>
      </c>
      <c r="S563" s="5">
        <v>0</v>
      </c>
      <c r="T563" s="5" t="s">
        <v>22</v>
      </c>
      <c r="V563" s="5" t="s">
        <v>254</v>
      </c>
      <c r="AB563"/>
      <c r="AC563"/>
      <c r="AD563"/>
    </row>
    <row r="564" spans="1:30" x14ac:dyDescent="0.25">
      <c r="A564" t="s">
        <v>4476</v>
      </c>
      <c r="B564" t="s">
        <v>4477</v>
      </c>
      <c r="C564" s="9" t="s">
        <v>4478</v>
      </c>
      <c r="D564" s="9" t="s">
        <v>4479</v>
      </c>
      <c r="E564" s="5" t="s">
        <v>3003</v>
      </c>
      <c r="F564" s="1" t="s">
        <v>3004</v>
      </c>
      <c r="G564" s="25">
        <v>44594</v>
      </c>
      <c r="H564" s="1" t="s">
        <v>4480</v>
      </c>
      <c r="I564" s="14" t="s">
        <v>2866</v>
      </c>
      <c r="J564" s="1" t="s">
        <v>3006</v>
      </c>
      <c r="K564" s="14" t="s">
        <v>3007</v>
      </c>
      <c r="L564" s="1" t="s">
        <v>3008</v>
      </c>
      <c r="M564" s="1" t="s">
        <v>3009</v>
      </c>
      <c r="N564" s="1">
        <v>1752</v>
      </c>
      <c r="O564" s="1" t="s">
        <v>976</v>
      </c>
      <c r="P564" s="5">
        <v>630</v>
      </c>
      <c r="Q564" s="5">
        <v>0</v>
      </c>
      <c r="R564" s="5">
        <v>630</v>
      </c>
      <c r="S564" s="5">
        <v>0</v>
      </c>
      <c r="T564" s="5" t="s">
        <v>24</v>
      </c>
      <c r="U564" s="5" t="s">
        <v>2535</v>
      </c>
      <c r="V564" s="5" t="s">
        <v>868</v>
      </c>
      <c r="AB564"/>
      <c r="AC564"/>
      <c r="AD564"/>
    </row>
    <row r="565" spans="1:30" x14ac:dyDescent="0.25">
      <c r="A565" t="s">
        <v>4481</v>
      </c>
      <c r="B565" t="s">
        <v>4482</v>
      </c>
      <c r="C565" s="9" t="s">
        <v>4483</v>
      </c>
      <c r="D565" s="9">
        <v>983667980</v>
      </c>
      <c r="E565" s="5" t="s">
        <v>3003</v>
      </c>
      <c r="F565" s="1" t="s">
        <v>3004</v>
      </c>
      <c r="G565" s="25">
        <v>44515</v>
      </c>
      <c r="H565" s="1" t="s">
        <v>3109</v>
      </c>
      <c r="I565" s="14" t="s">
        <v>2790</v>
      </c>
      <c r="J565" s="1" t="s">
        <v>3006</v>
      </c>
      <c r="K565" s="14" t="s">
        <v>3007</v>
      </c>
      <c r="L565" s="1" t="s">
        <v>3008</v>
      </c>
      <c r="M565" s="1" t="s">
        <v>3009</v>
      </c>
      <c r="N565" s="1">
        <v>1210</v>
      </c>
      <c r="O565" s="1" t="s">
        <v>976</v>
      </c>
      <c r="P565" s="5">
        <v>1599.28</v>
      </c>
      <c r="Q565" s="5">
        <v>175</v>
      </c>
      <c r="R565" s="5">
        <v>1750</v>
      </c>
      <c r="S565" s="5">
        <v>24.28</v>
      </c>
      <c r="T565" s="5" t="s">
        <v>5574</v>
      </c>
      <c r="U565" s="5" t="s">
        <v>2447</v>
      </c>
      <c r="V565" s="5" t="s">
        <v>244</v>
      </c>
      <c r="AB565"/>
      <c r="AC565"/>
      <c r="AD565"/>
    </row>
    <row r="566" spans="1:30" x14ac:dyDescent="0.25">
      <c r="A566" t="s">
        <v>4484</v>
      </c>
      <c r="B566" t="s">
        <v>4485</v>
      </c>
      <c r="C566" s="9" t="s">
        <v>4486</v>
      </c>
      <c r="D566" s="9" t="s">
        <v>4487</v>
      </c>
      <c r="E566" s="5" t="s">
        <v>3514</v>
      </c>
      <c r="F566" s="1" t="s">
        <v>4488</v>
      </c>
      <c r="G566" s="25">
        <v>44493</v>
      </c>
      <c r="H566" s="1" t="s">
        <v>3075</v>
      </c>
      <c r="I566" s="14" t="s">
        <v>2791</v>
      </c>
      <c r="J566" s="1" t="s">
        <v>3006</v>
      </c>
      <c r="K566" s="14" t="s">
        <v>3007</v>
      </c>
      <c r="L566" s="1" t="s">
        <v>3008</v>
      </c>
      <c r="M566" s="1" t="s">
        <v>3016</v>
      </c>
      <c r="N566" s="1">
        <v>1101</v>
      </c>
      <c r="O566" s="1" t="s">
        <v>976</v>
      </c>
      <c r="P566" s="5">
        <v>1263.5</v>
      </c>
      <c r="Q566" s="5">
        <v>66.5</v>
      </c>
      <c r="R566" s="5">
        <v>1330</v>
      </c>
      <c r="S566" s="5">
        <v>0</v>
      </c>
      <c r="T566" s="5" t="s">
        <v>22</v>
      </c>
      <c r="U566" s="5" t="s">
        <v>2443</v>
      </c>
      <c r="V566" s="5" t="s">
        <v>763</v>
      </c>
      <c r="AB566"/>
      <c r="AC566"/>
      <c r="AD566"/>
    </row>
    <row r="567" spans="1:30" x14ac:dyDescent="0.25">
      <c r="A567" t="s">
        <v>4489</v>
      </c>
      <c r="B567" t="s">
        <v>4490</v>
      </c>
      <c r="C567" s="9" t="s">
        <v>4491</v>
      </c>
      <c r="D567" s="9">
        <v>973681859</v>
      </c>
      <c r="E567" s="5" t="s">
        <v>3003</v>
      </c>
      <c r="F567" s="1" t="s">
        <v>3004</v>
      </c>
      <c r="G567" s="25">
        <v>44398</v>
      </c>
      <c r="H567" s="1" t="s">
        <v>3124</v>
      </c>
      <c r="I567" s="14" t="s">
        <v>541</v>
      </c>
      <c r="J567" s="1" t="s">
        <v>3006</v>
      </c>
      <c r="K567" s="14" t="s">
        <v>3007</v>
      </c>
      <c r="L567" s="1" t="s">
        <v>3008</v>
      </c>
      <c r="M567" s="1" t="s">
        <v>3009</v>
      </c>
      <c r="N567" s="1">
        <v>672</v>
      </c>
      <c r="O567" s="1" t="s">
        <v>976</v>
      </c>
      <c r="P567" s="5">
        <v>454.52</v>
      </c>
      <c r="Q567" s="5">
        <v>49</v>
      </c>
      <c r="R567" s="5">
        <v>490</v>
      </c>
      <c r="S567" s="5">
        <v>13.52</v>
      </c>
      <c r="T567" s="5" t="s">
        <v>22</v>
      </c>
      <c r="V567" s="5" t="s">
        <v>541</v>
      </c>
      <c r="AB567"/>
      <c r="AC567"/>
      <c r="AD567"/>
    </row>
    <row r="568" spans="1:30" x14ac:dyDescent="0.25">
      <c r="A568" t="s">
        <v>4492</v>
      </c>
      <c r="B568" t="s">
        <v>4493</v>
      </c>
      <c r="C568" s="9" t="s">
        <v>4494</v>
      </c>
      <c r="D568" s="9" t="s">
        <v>4495</v>
      </c>
      <c r="E568" s="5" t="s">
        <v>3013</v>
      </c>
      <c r="F568" s="1" t="s">
        <v>3067</v>
      </c>
      <c r="G568" s="25">
        <v>44464</v>
      </c>
      <c r="H568" s="1" t="s">
        <v>3015</v>
      </c>
      <c r="I568" s="14" t="s">
        <v>252</v>
      </c>
      <c r="J568" s="1" t="s">
        <v>3006</v>
      </c>
      <c r="K568" s="14" t="s">
        <v>3007</v>
      </c>
      <c r="L568" s="1" t="s">
        <v>3008</v>
      </c>
      <c r="M568" s="1" t="s">
        <v>3009</v>
      </c>
      <c r="N568" s="1">
        <v>973</v>
      </c>
      <c r="O568" s="1" t="s">
        <v>976</v>
      </c>
      <c r="P568" s="5">
        <v>1219.74</v>
      </c>
      <c r="Q568" s="5">
        <v>133</v>
      </c>
      <c r="R568" s="5">
        <v>1330</v>
      </c>
      <c r="S568" s="5">
        <v>22.74</v>
      </c>
      <c r="T568" s="5" t="s">
        <v>22</v>
      </c>
      <c r="V568" s="5" t="s">
        <v>252</v>
      </c>
      <c r="AB568"/>
      <c r="AC568"/>
      <c r="AD568"/>
    </row>
    <row r="569" spans="1:30" x14ac:dyDescent="0.25">
      <c r="A569" t="s">
        <v>4496</v>
      </c>
      <c r="B569" t="s">
        <v>4497</v>
      </c>
      <c r="C569" s="9" t="s">
        <v>3306</v>
      </c>
      <c r="D569" s="9" t="s">
        <v>4498</v>
      </c>
      <c r="E569" s="5" t="s">
        <v>3003</v>
      </c>
      <c r="F569" s="1" t="s">
        <v>3004</v>
      </c>
      <c r="G569" s="25">
        <v>44518</v>
      </c>
      <c r="H569" s="1" t="s">
        <v>4499</v>
      </c>
      <c r="I569" s="14" t="s">
        <v>547</v>
      </c>
      <c r="J569" s="1" t="s">
        <v>3006</v>
      </c>
      <c r="K569" s="14" t="s">
        <v>3007</v>
      </c>
      <c r="L569" s="1" t="s">
        <v>3008</v>
      </c>
      <c r="M569" s="1" t="s">
        <v>3016</v>
      </c>
      <c r="N569" s="1">
        <v>1226</v>
      </c>
      <c r="O569" s="1" t="s">
        <v>976</v>
      </c>
      <c r="P569" s="5">
        <v>911</v>
      </c>
      <c r="Q569" s="5">
        <v>0</v>
      </c>
      <c r="R569" s="5">
        <v>890</v>
      </c>
      <c r="S569" s="5">
        <v>21</v>
      </c>
      <c r="T569" s="5" t="s">
        <v>24</v>
      </c>
      <c r="V569" s="5" t="s">
        <v>547</v>
      </c>
      <c r="AB569"/>
      <c r="AC569"/>
      <c r="AD569"/>
    </row>
    <row r="570" spans="1:30" x14ac:dyDescent="0.25">
      <c r="A570" t="s">
        <v>4500</v>
      </c>
      <c r="B570" t="s">
        <v>4501</v>
      </c>
      <c r="C570" s="9" t="s">
        <v>4502</v>
      </c>
      <c r="D570" s="9">
        <v>982028082</v>
      </c>
      <c r="E570" s="5" t="s">
        <v>3462</v>
      </c>
      <c r="F570" s="1" t="s">
        <v>3463</v>
      </c>
      <c r="G570" s="25">
        <v>44550</v>
      </c>
      <c r="H570" s="1" t="s">
        <v>4503</v>
      </c>
      <c r="I570" s="14" t="s">
        <v>278</v>
      </c>
      <c r="J570" s="1" t="s">
        <v>3006</v>
      </c>
      <c r="K570" s="14" t="s">
        <v>3007</v>
      </c>
      <c r="L570" s="1" t="s">
        <v>3008</v>
      </c>
      <c r="M570" s="1" t="s">
        <v>3009</v>
      </c>
      <c r="N570" s="1">
        <v>1511</v>
      </c>
      <c r="O570" s="1" t="s">
        <v>976</v>
      </c>
      <c r="P570" s="5">
        <v>895.36</v>
      </c>
      <c r="Q570" s="5">
        <v>0</v>
      </c>
      <c r="R570" s="5">
        <v>830</v>
      </c>
      <c r="S570" s="5">
        <v>65.36</v>
      </c>
      <c r="T570" s="5">
        <v>43</v>
      </c>
      <c r="V570" s="5" t="s">
        <v>278</v>
      </c>
      <c r="AB570"/>
      <c r="AC570"/>
      <c r="AD570"/>
    </row>
    <row r="571" spans="1:30" x14ac:dyDescent="0.25">
      <c r="A571" t="s">
        <v>4504</v>
      </c>
      <c r="B571" t="s">
        <v>4505</v>
      </c>
      <c r="C571" s="9" t="s">
        <v>4506</v>
      </c>
      <c r="D571" s="9">
        <v>991066407</v>
      </c>
      <c r="E571" s="5" t="s">
        <v>3003</v>
      </c>
      <c r="F571" s="1" t="s">
        <v>3004</v>
      </c>
      <c r="G571" s="25">
        <v>44374</v>
      </c>
      <c r="H571" s="1" t="s">
        <v>3170</v>
      </c>
      <c r="I571" s="14" t="s">
        <v>2822</v>
      </c>
      <c r="J571" s="1" t="s">
        <v>3006</v>
      </c>
      <c r="K571" s="14" t="s">
        <v>3007</v>
      </c>
      <c r="L571" s="1" t="s">
        <v>3008</v>
      </c>
      <c r="M571" s="1" t="s">
        <v>3016</v>
      </c>
      <c r="N571" s="1">
        <v>557</v>
      </c>
      <c r="O571" s="1" t="s">
        <v>976</v>
      </c>
      <c r="P571" s="5">
        <v>247.15</v>
      </c>
      <c r="Q571" s="5">
        <v>0</v>
      </c>
      <c r="R571" s="5">
        <v>245</v>
      </c>
      <c r="S571" s="5">
        <v>2.15</v>
      </c>
      <c r="T571" s="5" t="s">
        <v>23</v>
      </c>
      <c r="U571" s="5" t="s">
        <v>2508</v>
      </c>
      <c r="V571" s="5" t="s">
        <v>801</v>
      </c>
      <c r="AB571"/>
      <c r="AC571"/>
      <c r="AD571"/>
    </row>
    <row r="572" spans="1:30" x14ac:dyDescent="0.25">
      <c r="A572" t="s">
        <v>4504</v>
      </c>
      <c r="B572" t="s">
        <v>4505</v>
      </c>
      <c r="C572" s="9" t="s">
        <v>4506</v>
      </c>
      <c r="D572" s="9">
        <v>991066407</v>
      </c>
      <c r="E572" s="5" t="s">
        <v>3003</v>
      </c>
      <c r="F572" s="1" t="s">
        <v>3004</v>
      </c>
      <c r="G572" s="25">
        <v>44374</v>
      </c>
      <c r="H572" s="1" t="s">
        <v>3602</v>
      </c>
      <c r="I572" s="14" t="s">
        <v>2823</v>
      </c>
      <c r="J572" s="1" t="s">
        <v>3006</v>
      </c>
      <c r="K572" s="14" t="s">
        <v>3007</v>
      </c>
      <c r="L572" s="1" t="s">
        <v>3008</v>
      </c>
      <c r="M572" s="1" t="s">
        <v>3016</v>
      </c>
      <c r="N572" s="1">
        <v>557</v>
      </c>
      <c r="O572" s="1" t="s">
        <v>976</v>
      </c>
      <c r="P572" s="5">
        <v>232.03</v>
      </c>
      <c r="Q572" s="5">
        <v>0</v>
      </c>
      <c r="R572" s="5">
        <v>230</v>
      </c>
      <c r="S572" s="5">
        <v>2.0299999999999998</v>
      </c>
      <c r="T572" s="5" t="s">
        <v>23</v>
      </c>
      <c r="U572" s="5" t="s">
        <v>2459</v>
      </c>
      <c r="V572" s="5" t="s">
        <v>804</v>
      </c>
      <c r="AB572"/>
      <c r="AC572"/>
      <c r="AD572"/>
    </row>
    <row r="573" spans="1:30" x14ac:dyDescent="0.25">
      <c r="A573" t="s">
        <v>4504</v>
      </c>
      <c r="B573" t="s">
        <v>4505</v>
      </c>
      <c r="C573" s="9" t="s">
        <v>4506</v>
      </c>
      <c r="D573" s="9">
        <v>991066407</v>
      </c>
      <c r="E573" s="5" t="s">
        <v>3003</v>
      </c>
      <c r="F573" s="1" t="s">
        <v>3004</v>
      </c>
      <c r="G573" s="25">
        <v>44374</v>
      </c>
      <c r="H573" s="1" t="s">
        <v>3220</v>
      </c>
      <c r="I573" s="14" t="s">
        <v>259</v>
      </c>
      <c r="J573" s="1" t="s">
        <v>3006</v>
      </c>
      <c r="K573" s="14" t="s">
        <v>3007</v>
      </c>
      <c r="L573" s="1" t="s">
        <v>3008</v>
      </c>
      <c r="M573" s="1" t="s">
        <v>3016</v>
      </c>
      <c r="N573" s="1">
        <v>557</v>
      </c>
      <c r="O573" s="1" t="s">
        <v>976</v>
      </c>
      <c r="P573" s="5">
        <v>232.02</v>
      </c>
      <c r="Q573" s="5">
        <v>0</v>
      </c>
      <c r="R573" s="5">
        <v>230</v>
      </c>
      <c r="S573" s="5">
        <v>2.02</v>
      </c>
      <c r="T573" s="5" t="s">
        <v>23</v>
      </c>
      <c r="V573" s="5" t="s">
        <v>259</v>
      </c>
      <c r="AB573"/>
      <c r="AC573"/>
      <c r="AD573"/>
    </row>
    <row r="574" spans="1:30" x14ac:dyDescent="0.25">
      <c r="A574" t="s">
        <v>4504</v>
      </c>
      <c r="B574" t="s">
        <v>4505</v>
      </c>
      <c r="C574" s="9" t="s">
        <v>4506</v>
      </c>
      <c r="D574" s="9">
        <v>991066407</v>
      </c>
      <c r="E574" s="5" t="s">
        <v>3003</v>
      </c>
      <c r="F574" s="1" t="s">
        <v>3004</v>
      </c>
      <c r="G574" s="25">
        <v>44374</v>
      </c>
      <c r="H574" s="1" t="s">
        <v>3805</v>
      </c>
      <c r="I574" s="14" t="s">
        <v>487</v>
      </c>
      <c r="J574" s="1" t="s">
        <v>3006</v>
      </c>
      <c r="K574" s="14" t="s">
        <v>3007</v>
      </c>
      <c r="L574" s="1" t="s">
        <v>3008</v>
      </c>
      <c r="M574" s="1" t="s">
        <v>3016</v>
      </c>
      <c r="N574" s="1">
        <v>557</v>
      </c>
      <c r="O574" s="1" t="s">
        <v>976</v>
      </c>
      <c r="P574" s="5">
        <v>292.54000000000002</v>
      </c>
      <c r="Q574" s="5">
        <v>0</v>
      </c>
      <c r="R574" s="5">
        <v>290</v>
      </c>
      <c r="S574" s="5">
        <v>2.54</v>
      </c>
      <c r="T574" s="5" t="s">
        <v>23</v>
      </c>
      <c r="V574" s="5" t="s">
        <v>487</v>
      </c>
      <c r="AB574"/>
      <c r="AC574"/>
      <c r="AD574"/>
    </row>
    <row r="575" spans="1:30" x14ac:dyDescent="0.25">
      <c r="A575" t="s">
        <v>4504</v>
      </c>
      <c r="B575" t="s">
        <v>4505</v>
      </c>
      <c r="C575" s="9" t="s">
        <v>4506</v>
      </c>
      <c r="D575" s="9">
        <v>991066407</v>
      </c>
      <c r="E575" s="5" t="s">
        <v>3003</v>
      </c>
      <c r="F575" s="1" t="s">
        <v>3004</v>
      </c>
      <c r="G575" s="25">
        <v>44374</v>
      </c>
      <c r="H575" s="1" t="s">
        <v>3335</v>
      </c>
      <c r="I575" s="14" t="s">
        <v>499</v>
      </c>
      <c r="J575" s="1" t="s">
        <v>3006</v>
      </c>
      <c r="K575" s="14" t="s">
        <v>3007</v>
      </c>
      <c r="L575" s="1" t="s">
        <v>3008</v>
      </c>
      <c r="M575" s="1" t="s">
        <v>3016</v>
      </c>
      <c r="N575" s="1">
        <v>557</v>
      </c>
      <c r="O575" s="1" t="s">
        <v>976</v>
      </c>
      <c r="P575" s="5">
        <v>292.54000000000002</v>
      </c>
      <c r="Q575" s="5">
        <v>0</v>
      </c>
      <c r="R575" s="5">
        <v>290</v>
      </c>
      <c r="S575" s="5">
        <v>2.54</v>
      </c>
      <c r="T575" s="5" t="s">
        <v>23</v>
      </c>
      <c r="V575" s="5" t="s">
        <v>499</v>
      </c>
      <c r="AB575"/>
      <c r="AC575"/>
      <c r="AD575"/>
    </row>
    <row r="576" spans="1:30" x14ac:dyDescent="0.25">
      <c r="A576" t="s">
        <v>4504</v>
      </c>
      <c r="B576" t="s">
        <v>4505</v>
      </c>
      <c r="C576" s="9" t="s">
        <v>4506</v>
      </c>
      <c r="D576" s="9">
        <v>991066407</v>
      </c>
      <c r="E576" s="5" t="s">
        <v>3003</v>
      </c>
      <c r="F576" s="1" t="s">
        <v>3004</v>
      </c>
      <c r="G576" s="25">
        <v>44374</v>
      </c>
      <c r="H576" s="1" t="s">
        <v>4390</v>
      </c>
      <c r="I576" s="14" t="s">
        <v>522</v>
      </c>
      <c r="J576" s="1" t="s">
        <v>3006</v>
      </c>
      <c r="K576" s="14" t="s">
        <v>3007</v>
      </c>
      <c r="L576" s="1" t="s">
        <v>3008</v>
      </c>
      <c r="M576" s="1" t="s">
        <v>3016</v>
      </c>
      <c r="N576" s="1">
        <v>557</v>
      </c>
      <c r="O576" s="1" t="s">
        <v>976</v>
      </c>
      <c r="P576" s="5">
        <v>186.62</v>
      </c>
      <c r="Q576" s="5">
        <v>0</v>
      </c>
      <c r="R576" s="5">
        <v>185</v>
      </c>
      <c r="S576" s="5">
        <v>1.62</v>
      </c>
      <c r="T576" s="5" t="s">
        <v>23</v>
      </c>
      <c r="V576" s="5" t="s">
        <v>522</v>
      </c>
      <c r="AB576"/>
      <c r="AC576"/>
      <c r="AD576"/>
    </row>
    <row r="577" spans="1:30" x14ac:dyDescent="0.25">
      <c r="A577" t="s">
        <v>4504</v>
      </c>
      <c r="B577" t="s">
        <v>4505</v>
      </c>
      <c r="C577" s="9" t="s">
        <v>4506</v>
      </c>
      <c r="D577" s="9">
        <v>991066407</v>
      </c>
      <c r="E577" s="5" t="s">
        <v>3003</v>
      </c>
      <c r="F577" s="1" t="s">
        <v>3004</v>
      </c>
      <c r="G577" s="25">
        <v>44481</v>
      </c>
      <c r="H577" s="1" t="s">
        <v>3219</v>
      </c>
      <c r="I577" s="14" t="s">
        <v>2772</v>
      </c>
      <c r="J577" s="1" t="s">
        <v>3006</v>
      </c>
      <c r="K577" s="14" t="s">
        <v>3007</v>
      </c>
      <c r="L577" s="1" t="s">
        <v>3008</v>
      </c>
      <c r="M577" s="1" t="s">
        <v>3016</v>
      </c>
      <c r="N577" s="1">
        <v>1036</v>
      </c>
      <c r="O577" s="1" t="s">
        <v>976</v>
      </c>
      <c r="P577" s="5">
        <v>399.18</v>
      </c>
      <c r="Q577" s="5">
        <v>0</v>
      </c>
      <c r="R577" s="5">
        <v>390</v>
      </c>
      <c r="S577" s="5">
        <v>9.18</v>
      </c>
      <c r="T577" s="5" t="s">
        <v>22</v>
      </c>
      <c r="U577" s="5" t="s">
        <v>2508</v>
      </c>
      <c r="V577" s="5" t="s">
        <v>735</v>
      </c>
      <c r="AB577"/>
      <c r="AC577"/>
      <c r="AD577"/>
    </row>
    <row r="578" spans="1:30" x14ac:dyDescent="0.25">
      <c r="A578" t="s">
        <v>4504</v>
      </c>
      <c r="B578" t="s">
        <v>4505</v>
      </c>
      <c r="C578" s="9" t="s">
        <v>4506</v>
      </c>
      <c r="D578" s="9">
        <v>991066407</v>
      </c>
      <c r="E578" s="5" t="s">
        <v>3003</v>
      </c>
      <c r="F578" s="1" t="s">
        <v>3004</v>
      </c>
      <c r="G578" s="25">
        <v>44481</v>
      </c>
      <c r="H578" s="1" t="s">
        <v>4507</v>
      </c>
      <c r="I578" s="14" t="s">
        <v>2777</v>
      </c>
      <c r="J578" s="1" t="s">
        <v>3006</v>
      </c>
      <c r="K578" s="14" t="s">
        <v>3007</v>
      </c>
      <c r="L578" s="1" t="s">
        <v>3008</v>
      </c>
      <c r="M578" s="1" t="s">
        <v>3016</v>
      </c>
      <c r="N578" s="1">
        <v>1036</v>
      </c>
      <c r="O578" s="1" t="s">
        <v>976</v>
      </c>
      <c r="P578" s="5">
        <v>368.47</v>
      </c>
      <c r="Q578" s="5">
        <v>0</v>
      </c>
      <c r="R578" s="5">
        <v>360</v>
      </c>
      <c r="S578" s="5">
        <v>8.4700000000000006</v>
      </c>
      <c r="T578" s="5" t="s">
        <v>22</v>
      </c>
      <c r="U578" s="5" t="s">
        <v>2482</v>
      </c>
      <c r="V578" s="5" t="s">
        <v>746</v>
      </c>
      <c r="AB578"/>
      <c r="AC578"/>
      <c r="AD578"/>
    </row>
    <row r="579" spans="1:30" x14ac:dyDescent="0.25">
      <c r="A579" t="s">
        <v>4504</v>
      </c>
      <c r="B579" t="s">
        <v>4505</v>
      </c>
      <c r="C579" s="9" t="s">
        <v>4506</v>
      </c>
      <c r="D579" s="9">
        <v>991066407</v>
      </c>
      <c r="E579" s="5" t="s">
        <v>3003</v>
      </c>
      <c r="F579" s="1" t="s">
        <v>3004</v>
      </c>
      <c r="G579" s="25">
        <v>44481</v>
      </c>
      <c r="H579" s="1" t="s">
        <v>4508</v>
      </c>
      <c r="I579" s="14" t="s">
        <v>509</v>
      </c>
      <c r="J579" s="1" t="s">
        <v>3006</v>
      </c>
      <c r="K579" s="14" t="s">
        <v>3007</v>
      </c>
      <c r="L579" s="1" t="s">
        <v>3008</v>
      </c>
      <c r="M579" s="1" t="s">
        <v>3016</v>
      </c>
      <c r="N579" s="1">
        <v>1036</v>
      </c>
      <c r="O579" s="1" t="s">
        <v>976</v>
      </c>
      <c r="P579" s="5">
        <v>189.35</v>
      </c>
      <c r="Q579" s="5">
        <v>0</v>
      </c>
      <c r="R579" s="5">
        <v>185</v>
      </c>
      <c r="S579" s="5">
        <v>4.3499999999999996</v>
      </c>
      <c r="T579" s="5" t="s">
        <v>22</v>
      </c>
      <c r="V579" s="5" t="s">
        <v>509</v>
      </c>
      <c r="AB579"/>
      <c r="AC579"/>
      <c r="AD579"/>
    </row>
    <row r="580" spans="1:30" x14ac:dyDescent="0.25">
      <c r="A580" t="s">
        <v>4509</v>
      </c>
      <c r="B580" t="s">
        <v>4510</v>
      </c>
      <c r="C580" s="9" t="s">
        <v>4511</v>
      </c>
      <c r="D580" s="9" t="s">
        <v>4512</v>
      </c>
      <c r="E580" s="5" t="s">
        <v>3003</v>
      </c>
      <c r="F580" s="1" t="s">
        <v>3004</v>
      </c>
      <c r="G580" s="25">
        <v>44545</v>
      </c>
      <c r="H580" s="1" t="s">
        <v>4513</v>
      </c>
      <c r="I580" s="14" t="s">
        <v>593</v>
      </c>
      <c r="J580" s="1" t="s">
        <v>3006</v>
      </c>
      <c r="K580" s="14" t="s">
        <v>3007</v>
      </c>
      <c r="L580" s="1" t="s">
        <v>3008</v>
      </c>
      <c r="M580" s="1" t="s">
        <v>3016</v>
      </c>
      <c r="N580" s="1">
        <v>1467</v>
      </c>
      <c r="O580" s="1" t="s">
        <v>976</v>
      </c>
      <c r="P580" s="5">
        <v>790</v>
      </c>
      <c r="Q580" s="5">
        <v>0</v>
      </c>
      <c r="R580" s="5">
        <v>790</v>
      </c>
      <c r="S580" s="5">
        <v>0</v>
      </c>
      <c r="T580" s="5" t="s">
        <v>21</v>
      </c>
      <c r="V580" s="5" t="s">
        <v>593</v>
      </c>
      <c r="AB580"/>
      <c r="AC580"/>
      <c r="AD580"/>
    </row>
    <row r="581" spans="1:30" x14ac:dyDescent="0.25">
      <c r="A581" t="s">
        <v>4509</v>
      </c>
      <c r="B581" t="s">
        <v>4510</v>
      </c>
      <c r="C581" s="9" t="s">
        <v>4511</v>
      </c>
      <c r="D581" s="9" t="s">
        <v>4512</v>
      </c>
      <c r="E581" s="5" t="s">
        <v>3003</v>
      </c>
      <c r="F581" s="1" t="s">
        <v>3004</v>
      </c>
      <c r="G581" s="25">
        <v>44545</v>
      </c>
      <c r="H581" s="1" t="s">
        <v>4514</v>
      </c>
      <c r="I581" s="14" t="s">
        <v>2865</v>
      </c>
      <c r="J581" s="1" t="s">
        <v>3006</v>
      </c>
      <c r="K581" s="14" t="s">
        <v>3007</v>
      </c>
      <c r="L581" s="1" t="s">
        <v>3008</v>
      </c>
      <c r="M581" s="1" t="s">
        <v>3016</v>
      </c>
      <c r="N581" s="1">
        <v>1467</v>
      </c>
      <c r="O581" s="1" t="s">
        <v>976</v>
      </c>
      <c r="P581" s="5">
        <v>590</v>
      </c>
      <c r="Q581" s="5">
        <v>80</v>
      </c>
      <c r="R581" s="5">
        <v>670</v>
      </c>
      <c r="S581" s="5">
        <v>0</v>
      </c>
      <c r="T581" s="5" t="s">
        <v>21</v>
      </c>
      <c r="U581" s="5" t="s">
        <v>2482</v>
      </c>
      <c r="V581" s="5" t="s">
        <v>866</v>
      </c>
      <c r="AB581"/>
      <c r="AC581"/>
      <c r="AD581"/>
    </row>
    <row r="582" spans="1:30" x14ac:dyDescent="0.25">
      <c r="A582" t="s">
        <v>4515</v>
      </c>
      <c r="B582" t="s">
        <v>4516</v>
      </c>
      <c r="C582" s="9" t="s">
        <v>4517</v>
      </c>
      <c r="D582" s="9" t="s">
        <v>4518</v>
      </c>
      <c r="E582" s="5" t="s">
        <v>3003</v>
      </c>
      <c r="F582" s="1" t="s">
        <v>3004</v>
      </c>
      <c r="G582" s="25">
        <v>44596</v>
      </c>
      <c r="H582" s="1" t="s">
        <v>4519</v>
      </c>
      <c r="I582" s="14" t="s">
        <v>2891</v>
      </c>
      <c r="J582" s="1" t="s">
        <v>3006</v>
      </c>
      <c r="K582" s="14" t="s">
        <v>3007</v>
      </c>
      <c r="L582" s="1" t="s">
        <v>3008</v>
      </c>
      <c r="M582" s="1" t="s">
        <v>3009</v>
      </c>
      <c r="N582" s="1">
        <v>1763</v>
      </c>
      <c r="O582" s="1" t="s">
        <v>976</v>
      </c>
      <c r="P582" s="5">
        <v>992</v>
      </c>
      <c r="Q582" s="5">
        <v>248</v>
      </c>
      <c r="R582" s="5">
        <v>1240</v>
      </c>
      <c r="S582" s="5">
        <v>0</v>
      </c>
      <c r="T582" s="5" t="s">
        <v>23</v>
      </c>
      <c r="U582" s="5" t="s">
        <v>2447</v>
      </c>
      <c r="V582" s="5" t="s">
        <v>899</v>
      </c>
      <c r="AB582"/>
      <c r="AC582"/>
      <c r="AD582"/>
    </row>
    <row r="583" spans="1:30" x14ac:dyDescent="0.25">
      <c r="A583" t="s">
        <v>4515</v>
      </c>
      <c r="B583" t="s">
        <v>4516</v>
      </c>
      <c r="C583" s="9" t="s">
        <v>4517</v>
      </c>
      <c r="D583" s="9" t="s">
        <v>4518</v>
      </c>
      <c r="E583" s="5" t="s">
        <v>3003</v>
      </c>
      <c r="F583" s="1" t="s">
        <v>3004</v>
      </c>
      <c r="G583" s="25">
        <v>44596</v>
      </c>
      <c r="H583" s="1" t="s">
        <v>3557</v>
      </c>
      <c r="I583" s="14" t="s">
        <v>2930</v>
      </c>
      <c r="J583" s="1" t="s">
        <v>3006</v>
      </c>
      <c r="K583" s="14" t="s">
        <v>3007</v>
      </c>
      <c r="L583" s="1" t="s">
        <v>3008</v>
      </c>
      <c r="M583" s="1" t="s">
        <v>3009</v>
      </c>
      <c r="N583" s="1">
        <v>1763</v>
      </c>
      <c r="O583" s="1" t="s">
        <v>976</v>
      </c>
      <c r="P583" s="5">
        <v>520</v>
      </c>
      <c r="Q583" s="5">
        <v>130</v>
      </c>
      <c r="R583" s="5">
        <v>650</v>
      </c>
      <c r="S583" s="5">
        <v>0</v>
      </c>
      <c r="T583" s="5" t="s">
        <v>24</v>
      </c>
      <c r="U583" s="5" t="s">
        <v>2443</v>
      </c>
      <c r="V583" s="5" t="s">
        <v>920</v>
      </c>
      <c r="AB583"/>
      <c r="AC583"/>
      <c r="AD583"/>
    </row>
    <row r="584" spans="1:30" x14ac:dyDescent="0.25">
      <c r="A584" t="s">
        <v>4520</v>
      </c>
      <c r="B584" t="s">
        <v>4521</v>
      </c>
      <c r="C584" s="9" t="s">
        <v>4522</v>
      </c>
      <c r="D584" s="9" t="s">
        <v>4523</v>
      </c>
      <c r="E584" s="5" t="s">
        <v>3003</v>
      </c>
      <c r="F584" s="1" t="s">
        <v>3004</v>
      </c>
      <c r="G584" s="25">
        <v>44493</v>
      </c>
      <c r="H584" s="1" t="s">
        <v>3075</v>
      </c>
      <c r="I584" s="14" t="s">
        <v>2791</v>
      </c>
      <c r="J584" s="1" t="s">
        <v>3006</v>
      </c>
      <c r="K584" s="14" t="s">
        <v>3007</v>
      </c>
      <c r="L584" s="1" t="s">
        <v>3008</v>
      </c>
      <c r="M584" s="1" t="s">
        <v>3009</v>
      </c>
      <c r="N584" s="1">
        <v>1089</v>
      </c>
      <c r="O584" s="1" t="s">
        <v>976</v>
      </c>
      <c r="P584" s="5">
        <v>1197</v>
      </c>
      <c r="Q584" s="5">
        <v>133</v>
      </c>
      <c r="R584" s="5">
        <v>1330</v>
      </c>
      <c r="S584" s="5">
        <v>0</v>
      </c>
      <c r="T584" s="5" t="s">
        <v>22</v>
      </c>
      <c r="U584" s="5" t="s">
        <v>2443</v>
      </c>
      <c r="V584" s="5" t="s">
        <v>763</v>
      </c>
      <c r="AB584"/>
      <c r="AC584"/>
      <c r="AD584"/>
    </row>
    <row r="585" spans="1:30" x14ac:dyDescent="0.25">
      <c r="A585" t="s">
        <v>4524</v>
      </c>
      <c r="B585" t="s">
        <v>4525</v>
      </c>
      <c r="C585" s="9" t="s">
        <v>4526</v>
      </c>
      <c r="D585" s="9">
        <v>982333635</v>
      </c>
      <c r="E585" s="5" t="s">
        <v>3041</v>
      </c>
      <c r="F585" s="1" t="s">
        <v>3042</v>
      </c>
      <c r="G585" s="25">
        <v>44493</v>
      </c>
      <c r="H585" s="1" t="s">
        <v>3027</v>
      </c>
      <c r="I585" s="14" t="s">
        <v>254</v>
      </c>
      <c r="J585" s="1" t="s">
        <v>3006</v>
      </c>
      <c r="K585" s="14" t="s">
        <v>3007</v>
      </c>
      <c r="L585" s="1" t="s">
        <v>3008</v>
      </c>
      <c r="M585" s="1" t="s">
        <v>3009</v>
      </c>
      <c r="N585" s="1">
        <v>1094</v>
      </c>
      <c r="O585" s="1" t="s">
        <v>976</v>
      </c>
      <c r="P585" s="5">
        <v>1357.12</v>
      </c>
      <c r="Q585" s="5">
        <v>0</v>
      </c>
      <c r="R585" s="5">
        <v>1330</v>
      </c>
      <c r="S585" s="5">
        <v>27.12</v>
      </c>
      <c r="T585" s="5" t="s">
        <v>22</v>
      </c>
      <c r="V585" s="5" t="s">
        <v>254</v>
      </c>
      <c r="AB585"/>
      <c r="AC585"/>
      <c r="AD585"/>
    </row>
    <row r="586" spans="1:30" x14ac:dyDescent="0.25">
      <c r="A586" t="s">
        <v>4527</v>
      </c>
      <c r="B586" t="s">
        <v>4528</v>
      </c>
      <c r="C586" s="9" t="s">
        <v>4529</v>
      </c>
      <c r="D586" s="9">
        <v>966169056</v>
      </c>
      <c r="E586" s="5" t="s">
        <v>3041</v>
      </c>
      <c r="F586" s="1" t="s">
        <v>3042</v>
      </c>
      <c r="G586" s="25">
        <v>44358</v>
      </c>
      <c r="H586" s="1" t="s">
        <v>4530</v>
      </c>
      <c r="I586" s="14" t="s">
        <v>2841</v>
      </c>
      <c r="J586" s="1" t="s">
        <v>3006</v>
      </c>
      <c r="K586" s="14" t="s">
        <v>3007</v>
      </c>
      <c r="L586" s="1" t="s">
        <v>3008</v>
      </c>
      <c r="M586" s="1" t="s">
        <v>3016</v>
      </c>
      <c r="N586" s="1">
        <v>500</v>
      </c>
      <c r="O586" s="1" t="s">
        <v>976</v>
      </c>
      <c r="P586" s="5">
        <v>80.709999999999994</v>
      </c>
      <c r="Q586" s="5">
        <v>0</v>
      </c>
      <c r="R586" s="5">
        <v>59.9</v>
      </c>
      <c r="S586" s="5">
        <v>20.81</v>
      </c>
      <c r="T586" s="5">
        <v>35</v>
      </c>
      <c r="U586" s="5" t="s">
        <v>2472</v>
      </c>
      <c r="V586" s="5" t="s">
        <v>826</v>
      </c>
      <c r="AB586"/>
      <c r="AC586"/>
      <c r="AD586"/>
    </row>
    <row r="587" spans="1:30" x14ac:dyDescent="0.25">
      <c r="A587" t="s">
        <v>4531</v>
      </c>
      <c r="B587" t="s">
        <v>4532</v>
      </c>
      <c r="C587" s="9" t="s">
        <v>4533</v>
      </c>
      <c r="D587" s="9">
        <v>11989195799</v>
      </c>
      <c r="E587" s="5" t="s">
        <v>3003</v>
      </c>
      <c r="F587" s="1" t="s">
        <v>3004</v>
      </c>
      <c r="G587" s="25">
        <v>44433</v>
      </c>
      <c r="H587" s="1" t="s">
        <v>4534</v>
      </c>
      <c r="I587" s="14" t="s">
        <v>372</v>
      </c>
      <c r="J587" s="1" t="s">
        <v>3006</v>
      </c>
      <c r="K587" s="14" t="s">
        <v>3007</v>
      </c>
      <c r="L587" s="1" t="s">
        <v>3008</v>
      </c>
      <c r="M587" s="1" t="s">
        <v>3009</v>
      </c>
      <c r="N587" s="1">
        <v>813</v>
      </c>
      <c r="O587" s="1" t="s">
        <v>976</v>
      </c>
      <c r="P587" s="5">
        <v>290.57</v>
      </c>
      <c r="Q587" s="5">
        <v>494.43</v>
      </c>
      <c r="R587" s="5">
        <v>785</v>
      </c>
      <c r="S587" s="5">
        <v>0</v>
      </c>
      <c r="T587" s="5" t="s">
        <v>23</v>
      </c>
      <c r="V587" s="5" t="s">
        <v>372</v>
      </c>
      <c r="AB587"/>
      <c r="AC587"/>
      <c r="AD587"/>
    </row>
    <row r="588" spans="1:30" x14ac:dyDescent="0.25">
      <c r="A588" t="s">
        <v>4531</v>
      </c>
      <c r="B588" t="s">
        <v>4532</v>
      </c>
      <c r="C588" s="9" t="s">
        <v>4533</v>
      </c>
      <c r="D588" s="9">
        <v>11989195799</v>
      </c>
      <c r="E588" s="5" t="s">
        <v>3003</v>
      </c>
      <c r="F588" s="1" t="s">
        <v>3004</v>
      </c>
      <c r="G588" s="25">
        <v>44433</v>
      </c>
      <c r="H588" s="1" t="s">
        <v>4535</v>
      </c>
      <c r="I588" s="14" t="s">
        <v>552</v>
      </c>
      <c r="J588" s="1" t="s">
        <v>3006</v>
      </c>
      <c r="K588" s="14" t="s">
        <v>3007</v>
      </c>
      <c r="L588" s="1" t="s">
        <v>3008</v>
      </c>
      <c r="M588" s="1" t="s">
        <v>3009</v>
      </c>
      <c r="N588" s="1">
        <v>813</v>
      </c>
      <c r="O588" s="1" t="s">
        <v>976</v>
      </c>
      <c r="P588" s="5">
        <v>329.43</v>
      </c>
      <c r="Q588" s="5">
        <v>560.57000000000005</v>
      </c>
      <c r="R588" s="5">
        <v>890</v>
      </c>
      <c r="S588" s="5">
        <v>0</v>
      </c>
      <c r="T588" s="5" t="s">
        <v>22</v>
      </c>
      <c r="V588" s="5" t="s">
        <v>552</v>
      </c>
      <c r="AB588"/>
      <c r="AC588"/>
      <c r="AD588"/>
    </row>
    <row r="589" spans="1:30" x14ac:dyDescent="0.25">
      <c r="A589" t="s">
        <v>4536</v>
      </c>
      <c r="B589" t="s">
        <v>4537</v>
      </c>
      <c r="C589" s="9" t="s">
        <v>4538</v>
      </c>
      <c r="D589" s="9">
        <v>998751814</v>
      </c>
      <c r="E589" s="5" t="s">
        <v>3003</v>
      </c>
      <c r="F589" s="1" t="s">
        <v>3004</v>
      </c>
      <c r="G589" s="25">
        <v>44536</v>
      </c>
      <c r="H589" s="1" t="s">
        <v>3027</v>
      </c>
      <c r="I589" s="14" t="s">
        <v>254</v>
      </c>
      <c r="J589" s="1" t="s">
        <v>3006</v>
      </c>
      <c r="K589" s="14" t="s">
        <v>3007</v>
      </c>
      <c r="L589" s="1" t="s">
        <v>3008</v>
      </c>
      <c r="M589" s="1" t="s">
        <v>3016</v>
      </c>
      <c r="N589" s="1">
        <v>1357</v>
      </c>
      <c r="O589" s="1" t="s">
        <v>976</v>
      </c>
      <c r="P589" s="5">
        <v>1258</v>
      </c>
      <c r="Q589" s="5">
        <v>138</v>
      </c>
      <c r="R589" s="5">
        <v>1380</v>
      </c>
      <c r="S589" s="5">
        <v>16</v>
      </c>
      <c r="T589" s="5" t="s">
        <v>22</v>
      </c>
      <c r="V589" s="5" t="s">
        <v>254</v>
      </c>
      <c r="AB589"/>
      <c r="AC589"/>
      <c r="AD589"/>
    </row>
    <row r="590" spans="1:30" x14ac:dyDescent="0.25">
      <c r="A590" t="s">
        <v>4539</v>
      </c>
      <c r="B590" t="s">
        <v>4540</v>
      </c>
      <c r="C590" s="9" t="s">
        <v>4541</v>
      </c>
      <c r="D590" s="9">
        <v>975340292</v>
      </c>
      <c r="E590" s="5" t="s">
        <v>3041</v>
      </c>
      <c r="F590" s="1" t="s">
        <v>3042</v>
      </c>
      <c r="G590" s="25">
        <v>44568</v>
      </c>
      <c r="H590" s="1" t="s">
        <v>3075</v>
      </c>
      <c r="I590" s="14" t="s">
        <v>2791</v>
      </c>
      <c r="J590" s="1" t="s">
        <v>3006</v>
      </c>
      <c r="K590" s="14" t="s">
        <v>3007</v>
      </c>
      <c r="L590" s="1" t="s">
        <v>3008</v>
      </c>
      <c r="M590" s="1" t="s">
        <v>3009</v>
      </c>
      <c r="N590" s="1">
        <v>1603</v>
      </c>
      <c r="O590" s="1" t="s">
        <v>976</v>
      </c>
      <c r="P590" s="5">
        <v>1696.88</v>
      </c>
      <c r="Q590" s="5">
        <v>0</v>
      </c>
      <c r="R590" s="5">
        <v>1665</v>
      </c>
      <c r="S590" s="5">
        <v>31.88</v>
      </c>
      <c r="T590" s="5" t="s">
        <v>22</v>
      </c>
      <c r="U590" s="5" t="s">
        <v>2443</v>
      </c>
      <c r="V590" s="5" t="s">
        <v>763</v>
      </c>
      <c r="AB590"/>
      <c r="AC590"/>
      <c r="AD590"/>
    </row>
    <row r="591" spans="1:30" x14ac:dyDescent="0.25">
      <c r="A591" t="s">
        <v>4542</v>
      </c>
      <c r="B591" t="s">
        <v>4543</v>
      </c>
      <c r="C591" s="9" t="s">
        <v>4544</v>
      </c>
      <c r="D591" s="9">
        <v>994476833</v>
      </c>
      <c r="E591" s="5" t="s">
        <v>3003</v>
      </c>
      <c r="F591" s="1" t="s">
        <v>3004</v>
      </c>
      <c r="G591" s="25">
        <v>44452</v>
      </c>
      <c r="H591" s="1" t="s">
        <v>3027</v>
      </c>
      <c r="I591" s="14" t="s">
        <v>254</v>
      </c>
      <c r="J591" s="1" t="s">
        <v>3006</v>
      </c>
      <c r="K591" s="14" t="s">
        <v>3007</v>
      </c>
      <c r="L591" s="1" t="s">
        <v>3008</v>
      </c>
      <c r="M591" s="1" t="s">
        <v>3009</v>
      </c>
      <c r="N591" s="1">
        <v>910</v>
      </c>
      <c r="O591" s="1" t="s">
        <v>976</v>
      </c>
      <c r="P591" s="5">
        <v>1197</v>
      </c>
      <c r="Q591" s="5">
        <v>133</v>
      </c>
      <c r="R591" s="5">
        <v>1330</v>
      </c>
      <c r="S591" s="5">
        <v>0</v>
      </c>
      <c r="T591" s="5" t="s">
        <v>22</v>
      </c>
      <c r="V591" s="5" t="s">
        <v>254</v>
      </c>
      <c r="AB591"/>
      <c r="AC591"/>
      <c r="AD591"/>
    </row>
    <row r="592" spans="1:30" x14ac:dyDescent="0.25">
      <c r="A592" t="s">
        <v>4545</v>
      </c>
      <c r="B592" t="s">
        <v>4546</v>
      </c>
      <c r="C592" s="9" t="s">
        <v>4547</v>
      </c>
      <c r="D592" s="9">
        <v>997261806</v>
      </c>
      <c r="E592" s="5" t="s">
        <v>3041</v>
      </c>
      <c r="F592" s="1" t="s">
        <v>3042</v>
      </c>
      <c r="G592" s="25">
        <v>44184</v>
      </c>
      <c r="H592" s="1" t="s">
        <v>4548</v>
      </c>
      <c r="I592" s="14" t="s">
        <v>2880</v>
      </c>
      <c r="J592" s="1" t="s">
        <v>3006</v>
      </c>
      <c r="K592" s="14" t="s">
        <v>3007</v>
      </c>
      <c r="L592" s="1" t="s">
        <v>3008</v>
      </c>
      <c r="M592" s="1" t="s">
        <v>3016</v>
      </c>
      <c r="N592" s="1">
        <v>121</v>
      </c>
      <c r="O592" s="1" t="s">
        <v>976</v>
      </c>
      <c r="P592" s="5">
        <v>607.88</v>
      </c>
      <c r="Q592" s="5">
        <v>0</v>
      </c>
      <c r="R592" s="5">
        <v>585</v>
      </c>
      <c r="S592" s="5">
        <v>22.88</v>
      </c>
      <c r="T592" s="5" t="s">
        <v>22</v>
      </c>
      <c r="U592" s="5" t="s">
        <v>2482</v>
      </c>
      <c r="V592" s="5" t="s">
        <v>888</v>
      </c>
      <c r="AB592"/>
      <c r="AC592"/>
      <c r="AD592"/>
    </row>
    <row r="593" spans="1:30" x14ac:dyDescent="0.25">
      <c r="A593" t="s">
        <v>4549</v>
      </c>
      <c r="B593" t="s">
        <v>4550</v>
      </c>
      <c r="C593" s="9" t="s">
        <v>4551</v>
      </c>
      <c r="D593" s="9">
        <v>981859971</v>
      </c>
      <c r="E593" s="5" t="s">
        <v>3187</v>
      </c>
      <c r="F593" s="1" t="s">
        <v>3188</v>
      </c>
      <c r="G593" s="25">
        <v>44180</v>
      </c>
      <c r="H593" s="1" t="s">
        <v>3397</v>
      </c>
      <c r="I593" s="14" t="s">
        <v>2768</v>
      </c>
      <c r="J593" s="1" t="s">
        <v>3006</v>
      </c>
      <c r="K593" s="14" t="s">
        <v>3007</v>
      </c>
      <c r="L593" s="1" t="s">
        <v>3008</v>
      </c>
      <c r="M593" s="1" t="s">
        <v>3016</v>
      </c>
      <c r="N593" s="1">
        <v>94</v>
      </c>
      <c r="O593" s="1" t="s">
        <v>976</v>
      </c>
      <c r="P593" s="5">
        <v>599</v>
      </c>
      <c r="Q593" s="5">
        <v>0</v>
      </c>
      <c r="R593" s="5">
        <v>599</v>
      </c>
      <c r="S593" s="5">
        <v>0</v>
      </c>
      <c r="T593" s="5" t="s">
        <v>23</v>
      </c>
      <c r="U593" s="5" t="s">
        <v>2482</v>
      </c>
      <c r="V593" s="5" t="s">
        <v>726</v>
      </c>
      <c r="AB593"/>
      <c r="AC593"/>
      <c r="AD593"/>
    </row>
    <row r="594" spans="1:30" x14ac:dyDescent="0.25">
      <c r="A594" t="s">
        <v>4549</v>
      </c>
      <c r="B594" t="s">
        <v>4550</v>
      </c>
      <c r="C594" s="9" t="s">
        <v>4551</v>
      </c>
      <c r="D594" s="9">
        <v>981859971</v>
      </c>
      <c r="E594" s="5" t="s">
        <v>3187</v>
      </c>
      <c r="F594" s="1" t="s">
        <v>3188</v>
      </c>
      <c r="G594" s="25">
        <v>44180</v>
      </c>
      <c r="H594" s="1" t="s">
        <v>3633</v>
      </c>
      <c r="I594" s="14" t="s">
        <v>2771</v>
      </c>
      <c r="J594" s="1" t="s">
        <v>3006</v>
      </c>
      <c r="K594" s="14" t="s">
        <v>3007</v>
      </c>
      <c r="L594" s="1" t="s">
        <v>3008</v>
      </c>
      <c r="M594" s="1" t="s">
        <v>3016</v>
      </c>
      <c r="N594" s="1">
        <v>94</v>
      </c>
      <c r="O594" s="1" t="s">
        <v>976</v>
      </c>
      <c r="P594" s="5">
        <v>270</v>
      </c>
      <c r="Q594" s="5">
        <v>0</v>
      </c>
      <c r="R594" s="5">
        <v>270</v>
      </c>
      <c r="S594" s="5">
        <v>0</v>
      </c>
      <c r="T594" s="5" t="s">
        <v>23</v>
      </c>
      <c r="U594" s="5" t="s">
        <v>2443</v>
      </c>
      <c r="V594" s="5" t="s">
        <v>734</v>
      </c>
      <c r="AB594"/>
      <c r="AC594"/>
      <c r="AD594"/>
    </row>
    <row r="595" spans="1:30" x14ac:dyDescent="0.25">
      <c r="A595" t="s">
        <v>4549</v>
      </c>
      <c r="B595" t="s">
        <v>4550</v>
      </c>
      <c r="C595" s="9" t="s">
        <v>4551</v>
      </c>
      <c r="D595" s="9">
        <v>981859971</v>
      </c>
      <c r="E595" s="5" t="s">
        <v>3187</v>
      </c>
      <c r="F595" s="1" t="s">
        <v>3188</v>
      </c>
      <c r="G595" s="25">
        <v>44180</v>
      </c>
      <c r="H595" s="1" t="s">
        <v>3183</v>
      </c>
      <c r="I595" s="14" t="s">
        <v>2803</v>
      </c>
      <c r="J595" s="1" t="s">
        <v>3006</v>
      </c>
      <c r="K595" s="14" t="s">
        <v>3007</v>
      </c>
      <c r="L595" s="1" t="s">
        <v>3008</v>
      </c>
      <c r="M595" s="1" t="s">
        <v>3016</v>
      </c>
      <c r="N595" s="1">
        <v>94</v>
      </c>
      <c r="O595" s="1" t="s">
        <v>976</v>
      </c>
      <c r="P595" s="5">
        <v>770</v>
      </c>
      <c r="Q595" s="5">
        <v>0</v>
      </c>
      <c r="R595" s="5">
        <v>770</v>
      </c>
      <c r="S595" s="5">
        <v>0</v>
      </c>
      <c r="T595" s="5" t="s">
        <v>23</v>
      </c>
      <c r="U595" s="5" t="s">
        <v>2463</v>
      </c>
      <c r="V595" s="5" t="s">
        <v>771</v>
      </c>
      <c r="AB595"/>
      <c r="AC595"/>
      <c r="AD595"/>
    </row>
    <row r="596" spans="1:30" x14ac:dyDescent="0.25">
      <c r="A596" t="s">
        <v>4549</v>
      </c>
      <c r="B596" t="s">
        <v>4550</v>
      </c>
      <c r="C596" s="9" t="s">
        <v>4551</v>
      </c>
      <c r="D596" s="9">
        <v>981859971</v>
      </c>
      <c r="E596" s="5" t="s">
        <v>3187</v>
      </c>
      <c r="F596" s="1" t="s">
        <v>3188</v>
      </c>
      <c r="G596" s="25">
        <v>44180</v>
      </c>
      <c r="H596" s="1" t="s">
        <v>3589</v>
      </c>
      <c r="I596" s="14" t="s">
        <v>561</v>
      </c>
      <c r="J596" s="1" t="s">
        <v>3006</v>
      </c>
      <c r="K596" s="14" t="s">
        <v>3007</v>
      </c>
      <c r="L596" s="1" t="s">
        <v>3008</v>
      </c>
      <c r="M596" s="1" t="s">
        <v>3016</v>
      </c>
      <c r="N596" s="1">
        <v>94</v>
      </c>
      <c r="O596" s="1" t="s">
        <v>976</v>
      </c>
      <c r="P596" s="5">
        <v>770</v>
      </c>
      <c r="Q596" s="5">
        <v>0</v>
      </c>
      <c r="R596" s="5">
        <v>770</v>
      </c>
      <c r="S596" s="5">
        <v>0</v>
      </c>
      <c r="T596" s="5" t="s">
        <v>23</v>
      </c>
      <c r="V596" s="5" t="s">
        <v>561</v>
      </c>
      <c r="AB596"/>
      <c r="AC596"/>
      <c r="AD596"/>
    </row>
    <row r="597" spans="1:30" x14ac:dyDescent="0.25">
      <c r="A597" t="s">
        <v>4549</v>
      </c>
      <c r="B597" t="s">
        <v>4550</v>
      </c>
      <c r="C597" s="9" t="s">
        <v>4551</v>
      </c>
      <c r="D597" s="9">
        <v>981859971</v>
      </c>
      <c r="E597" s="5" t="s">
        <v>3187</v>
      </c>
      <c r="F597" s="1" t="s">
        <v>3188</v>
      </c>
      <c r="G597" s="25">
        <v>44180</v>
      </c>
      <c r="H597" s="1" t="s">
        <v>4552</v>
      </c>
      <c r="I597" s="14" t="s">
        <v>507</v>
      </c>
      <c r="J597" s="1" t="s">
        <v>3006</v>
      </c>
      <c r="K597" s="14" t="s">
        <v>3007</v>
      </c>
      <c r="L597" s="1" t="s">
        <v>3008</v>
      </c>
      <c r="M597" s="1" t="s">
        <v>3016</v>
      </c>
      <c r="N597" s="1">
        <v>94</v>
      </c>
      <c r="O597" s="1" t="s">
        <v>976</v>
      </c>
      <c r="P597" s="5">
        <v>185</v>
      </c>
      <c r="Q597" s="5">
        <v>0</v>
      </c>
      <c r="R597" s="5">
        <v>185</v>
      </c>
      <c r="S597" s="5">
        <v>0</v>
      </c>
      <c r="T597" s="5" t="s">
        <v>24</v>
      </c>
      <c r="V597" s="5" t="s">
        <v>507</v>
      </c>
      <c r="AB597"/>
      <c r="AC597"/>
      <c r="AD597"/>
    </row>
    <row r="598" spans="1:30" x14ac:dyDescent="0.25">
      <c r="A598" t="s">
        <v>4549</v>
      </c>
      <c r="B598" t="s">
        <v>4550</v>
      </c>
      <c r="C598" s="9" t="s">
        <v>4551</v>
      </c>
      <c r="D598" s="9">
        <v>981859971</v>
      </c>
      <c r="E598" s="5" t="s">
        <v>3187</v>
      </c>
      <c r="F598" s="1" t="s">
        <v>3188</v>
      </c>
      <c r="G598" s="25">
        <v>44180</v>
      </c>
      <c r="H598" s="1" t="s">
        <v>4553</v>
      </c>
      <c r="I598" s="14" t="s">
        <v>510</v>
      </c>
      <c r="J598" s="1" t="s">
        <v>3006</v>
      </c>
      <c r="K598" s="14" t="s">
        <v>3007</v>
      </c>
      <c r="L598" s="1" t="s">
        <v>3008</v>
      </c>
      <c r="M598" s="1" t="s">
        <v>3016</v>
      </c>
      <c r="N598" s="1">
        <v>94</v>
      </c>
      <c r="O598" s="1" t="s">
        <v>976</v>
      </c>
      <c r="P598" s="5">
        <v>185</v>
      </c>
      <c r="Q598" s="5">
        <v>0</v>
      </c>
      <c r="R598" s="5">
        <v>185</v>
      </c>
      <c r="S598" s="5">
        <v>0</v>
      </c>
      <c r="T598" s="5" t="s">
        <v>24</v>
      </c>
      <c r="V598" s="5" t="s">
        <v>510</v>
      </c>
      <c r="AB598"/>
      <c r="AC598"/>
      <c r="AD598"/>
    </row>
    <row r="599" spans="1:30" x14ac:dyDescent="0.25">
      <c r="A599" t="s">
        <v>4549</v>
      </c>
      <c r="B599" t="s">
        <v>4550</v>
      </c>
      <c r="C599" s="9" t="s">
        <v>4551</v>
      </c>
      <c r="D599" s="9">
        <v>981859971</v>
      </c>
      <c r="E599" s="5" t="s">
        <v>3187</v>
      </c>
      <c r="F599" s="1" t="s">
        <v>3188</v>
      </c>
      <c r="G599" s="25">
        <v>44180</v>
      </c>
      <c r="H599" s="1" t="s">
        <v>3870</v>
      </c>
      <c r="I599" s="14" t="s">
        <v>323</v>
      </c>
      <c r="J599" s="1" t="s">
        <v>3006</v>
      </c>
      <c r="K599" s="14" t="s">
        <v>3007</v>
      </c>
      <c r="L599" s="1" t="s">
        <v>3008</v>
      </c>
      <c r="M599" s="1" t="s">
        <v>3016</v>
      </c>
      <c r="N599" s="1">
        <v>94</v>
      </c>
      <c r="O599" s="1" t="s">
        <v>976</v>
      </c>
      <c r="P599" s="5">
        <v>980</v>
      </c>
      <c r="Q599" s="5">
        <v>0</v>
      </c>
      <c r="R599" s="5">
        <v>980</v>
      </c>
      <c r="S599" s="5">
        <v>0</v>
      </c>
      <c r="T599" s="5" t="s">
        <v>23</v>
      </c>
      <c r="V599" s="5" t="s">
        <v>323</v>
      </c>
      <c r="AB599"/>
      <c r="AC599"/>
      <c r="AD599"/>
    </row>
    <row r="600" spans="1:30" x14ac:dyDescent="0.25">
      <c r="A600" t="s">
        <v>4549</v>
      </c>
      <c r="B600" t="s">
        <v>4550</v>
      </c>
      <c r="C600" s="9" t="s">
        <v>4551</v>
      </c>
      <c r="D600" s="9">
        <v>981859971</v>
      </c>
      <c r="E600" s="5" t="s">
        <v>3187</v>
      </c>
      <c r="F600" s="1" t="s">
        <v>3188</v>
      </c>
      <c r="G600" s="25">
        <v>44180</v>
      </c>
      <c r="H600" s="1" t="s">
        <v>4554</v>
      </c>
      <c r="I600" s="14" t="s">
        <v>2870</v>
      </c>
      <c r="J600" s="1" t="s">
        <v>3006</v>
      </c>
      <c r="K600" s="14" t="s">
        <v>3007</v>
      </c>
      <c r="L600" s="1" t="s">
        <v>3008</v>
      </c>
      <c r="M600" s="1" t="s">
        <v>3016</v>
      </c>
      <c r="N600" s="1">
        <v>94</v>
      </c>
      <c r="O600" s="1" t="s">
        <v>976</v>
      </c>
      <c r="P600" s="5">
        <v>330</v>
      </c>
      <c r="Q600" s="5">
        <v>0</v>
      </c>
      <c r="R600" s="5">
        <v>330</v>
      </c>
      <c r="S600" s="5">
        <v>0</v>
      </c>
      <c r="T600" s="5" t="s">
        <v>24</v>
      </c>
      <c r="U600" s="5" t="s">
        <v>2528</v>
      </c>
      <c r="V600" s="5" t="s">
        <v>874</v>
      </c>
      <c r="AB600"/>
      <c r="AC600"/>
      <c r="AD600"/>
    </row>
    <row r="601" spans="1:30" x14ac:dyDescent="0.25">
      <c r="A601" t="s">
        <v>4549</v>
      </c>
      <c r="B601" t="s">
        <v>4550</v>
      </c>
      <c r="C601" s="9" t="s">
        <v>4551</v>
      </c>
      <c r="D601" s="9">
        <v>981859971</v>
      </c>
      <c r="E601" s="5" t="s">
        <v>3187</v>
      </c>
      <c r="F601" s="1" t="s">
        <v>3188</v>
      </c>
      <c r="G601" s="25">
        <v>44545</v>
      </c>
      <c r="H601" s="1" t="s">
        <v>3098</v>
      </c>
      <c r="I601" s="14" t="s">
        <v>248</v>
      </c>
      <c r="J601" s="1" t="s">
        <v>3006</v>
      </c>
      <c r="K601" s="14" t="s">
        <v>3007</v>
      </c>
      <c r="L601" s="1" t="s">
        <v>3008</v>
      </c>
      <c r="M601" s="1" t="s">
        <v>3016</v>
      </c>
      <c r="N601" s="1">
        <v>1458</v>
      </c>
      <c r="O601" s="1" t="s">
        <v>976</v>
      </c>
      <c r="P601" s="5">
        <v>1726.97</v>
      </c>
      <c r="Q601" s="5">
        <v>0</v>
      </c>
      <c r="R601" s="5">
        <v>1670</v>
      </c>
      <c r="S601" s="5">
        <v>56.97</v>
      </c>
      <c r="T601" s="5" t="s">
        <v>5574</v>
      </c>
      <c r="V601" s="5" t="s">
        <v>248</v>
      </c>
      <c r="AB601"/>
      <c r="AC601"/>
      <c r="AD601"/>
    </row>
    <row r="602" spans="1:30" x14ac:dyDescent="0.25">
      <c r="A602" t="s">
        <v>4549</v>
      </c>
      <c r="B602" t="s">
        <v>4550</v>
      </c>
      <c r="C602" s="9" t="s">
        <v>4551</v>
      </c>
      <c r="D602" s="9">
        <v>981859971</v>
      </c>
      <c r="E602" s="5" t="s">
        <v>3187</v>
      </c>
      <c r="F602" s="1" t="s">
        <v>3188</v>
      </c>
      <c r="G602" s="25">
        <v>44545</v>
      </c>
      <c r="H602" s="1" t="s">
        <v>4372</v>
      </c>
      <c r="I602" s="14" t="s">
        <v>382</v>
      </c>
      <c r="J602" s="1" t="s">
        <v>3006</v>
      </c>
      <c r="K602" s="14" t="s">
        <v>3007</v>
      </c>
      <c r="L602" s="1" t="s">
        <v>3008</v>
      </c>
      <c r="M602" s="1" t="s">
        <v>3016</v>
      </c>
      <c r="N602" s="1">
        <v>1458</v>
      </c>
      <c r="O602" s="1" t="s">
        <v>976</v>
      </c>
      <c r="P602" s="5">
        <v>170.63</v>
      </c>
      <c r="Q602" s="5">
        <v>0</v>
      </c>
      <c r="R602" s="5">
        <v>165</v>
      </c>
      <c r="S602" s="5">
        <v>5.63</v>
      </c>
      <c r="T602" s="5">
        <v>250</v>
      </c>
      <c r="V602" s="5" t="s">
        <v>382</v>
      </c>
      <c r="AB602"/>
      <c r="AC602"/>
      <c r="AD602"/>
    </row>
    <row r="603" spans="1:30" x14ac:dyDescent="0.25">
      <c r="A603" t="s">
        <v>4555</v>
      </c>
      <c r="B603" t="s">
        <v>4556</v>
      </c>
      <c r="C603" s="9" t="s">
        <v>4557</v>
      </c>
      <c r="D603" s="9">
        <v>997399588</v>
      </c>
      <c r="E603" s="5" t="s">
        <v>3003</v>
      </c>
      <c r="F603" s="1" t="s">
        <v>3004</v>
      </c>
      <c r="G603" s="25">
        <v>44496</v>
      </c>
      <c r="H603" s="1" t="s">
        <v>3075</v>
      </c>
      <c r="I603" s="14" t="s">
        <v>2791</v>
      </c>
      <c r="J603" s="1" t="s">
        <v>3006</v>
      </c>
      <c r="K603" s="14" t="s">
        <v>3007</v>
      </c>
      <c r="L603" s="1" t="s">
        <v>3008</v>
      </c>
      <c r="M603" s="1" t="s">
        <v>3016</v>
      </c>
      <c r="N603" s="1">
        <v>1126</v>
      </c>
      <c r="O603" s="1" t="s">
        <v>976</v>
      </c>
      <c r="P603" s="5">
        <v>1264.06</v>
      </c>
      <c r="Q603" s="5">
        <v>138</v>
      </c>
      <c r="R603" s="5">
        <v>1380</v>
      </c>
      <c r="S603" s="5">
        <v>22.06</v>
      </c>
      <c r="T603" s="5" t="s">
        <v>22</v>
      </c>
      <c r="U603" s="5" t="s">
        <v>2443</v>
      </c>
      <c r="V603" s="5" t="s">
        <v>763</v>
      </c>
      <c r="AB603"/>
      <c r="AC603"/>
      <c r="AD603"/>
    </row>
    <row r="604" spans="1:30" x14ac:dyDescent="0.25">
      <c r="A604" t="s">
        <v>4558</v>
      </c>
      <c r="B604" t="s">
        <v>4559</v>
      </c>
      <c r="C604" s="9" t="s">
        <v>4560</v>
      </c>
      <c r="D604" s="9">
        <v>992164238</v>
      </c>
      <c r="E604" s="5" t="s">
        <v>3514</v>
      </c>
      <c r="F604" s="1" t="s">
        <v>3680</v>
      </c>
      <c r="G604" s="25">
        <v>44544</v>
      </c>
      <c r="H604" s="1" t="s">
        <v>3031</v>
      </c>
      <c r="I604" s="14" t="s">
        <v>2888</v>
      </c>
      <c r="J604" s="1" t="s">
        <v>3006</v>
      </c>
      <c r="K604" s="14" t="s">
        <v>3007</v>
      </c>
      <c r="L604" s="1" t="s">
        <v>3008</v>
      </c>
      <c r="M604" s="1" t="s">
        <v>3016</v>
      </c>
      <c r="N604" s="1">
        <v>1448</v>
      </c>
      <c r="O604" s="1" t="s">
        <v>976</v>
      </c>
      <c r="P604" s="5">
        <v>254.42</v>
      </c>
      <c r="Q604" s="5">
        <v>23</v>
      </c>
      <c r="R604" s="5">
        <v>230</v>
      </c>
      <c r="S604" s="5">
        <v>47.42</v>
      </c>
      <c r="T604" s="5" t="s">
        <v>22</v>
      </c>
      <c r="U604" s="5" t="s">
        <v>2579</v>
      </c>
      <c r="V604" s="5" t="s">
        <v>896</v>
      </c>
      <c r="AB604"/>
      <c r="AC604"/>
      <c r="AD604"/>
    </row>
    <row r="605" spans="1:30" x14ac:dyDescent="0.25">
      <c r="A605" t="s">
        <v>4561</v>
      </c>
      <c r="B605" t="s">
        <v>4562</v>
      </c>
      <c r="C605" s="9" t="s">
        <v>4563</v>
      </c>
      <c r="D605" s="9" t="s">
        <v>4564</v>
      </c>
      <c r="E605" s="5" t="s">
        <v>3148</v>
      </c>
      <c r="F605" s="1" t="s">
        <v>3149</v>
      </c>
      <c r="G605" s="25">
        <v>44337</v>
      </c>
      <c r="H605" s="1" t="s">
        <v>4565</v>
      </c>
      <c r="I605" s="14" t="s">
        <v>2963</v>
      </c>
      <c r="J605" s="1" t="s">
        <v>3006</v>
      </c>
      <c r="K605" s="14" t="s">
        <v>3007</v>
      </c>
      <c r="L605" s="1" t="s">
        <v>3008</v>
      </c>
      <c r="M605" s="1" t="s">
        <v>3016</v>
      </c>
      <c r="N605" s="1">
        <v>439</v>
      </c>
      <c r="O605" s="1" t="s">
        <v>976</v>
      </c>
      <c r="P605" s="5">
        <v>822.06</v>
      </c>
      <c r="Q605" s="5">
        <v>0</v>
      </c>
      <c r="R605" s="5">
        <v>770</v>
      </c>
      <c r="S605" s="5">
        <v>52.06</v>
      </c>
      <c r="T605" s="5">
        <v>42</v>
      </c>
      <c r="U605" s="5" t="s">
        <v>2443</v>
      </c>
      <c r="V605" s="5" t="s">
        <v>934</v>
      </c>
      <c r="AB605"/>
      <c r="AC605"/>
      <c r="AD605"/>
    </row>
    <row r="606" spans="1:30" x14ac:dyDescent="0.25">
      <c r="A606" t="s">
        <v>4566</v>
      </c>
      <c r="B606" t="s">
        <v>4567</v>
      </c>
      <c r="C606" s="9" t="s">
        <v>4568</v>
      </c>
      <c r="D606" s="9">
        <v>984140076</v>
      </c>
      <c r="E606" s="5" t="s">
        <v>3003</v>
      </c>
      <c r="F606" s="1" t="s">
        <v>3801</v>
      </c>
      <c r="G606" s="25">
        <v>44313</v>
      </c>
      <c r="H606" s="1" t="s">
        <v>4569</v>
      </c>
      <c r="I606" s="14" t="s">
        <v>2814</v>
      </c>
      <c r="J606" s="1" t="s">
        <v>3006</v>
      </c>
      <c r="K606" s="14" t="s">
        <v>3007</v>
      </c>
      <c r="L606" s="1" t="s">
        <v>3008</v>
      </c>
      <c r="M606" s="1" t="s">
        <v>3016</v>
      </c>
      <c r="N606" s="1">
        <v>360</v>
      </c>
      <c r="O606" s="1" t="s">
        <v>976</v>
      </c>
      <c r="P606" s="5">
        <v>575</v>
      </c>
      <c r="Q606" s="5">
        <v>0</v>
      </c>
      <c r="R606" s="5">
        <v>575</v>
      </c>
      <c r="S606" s="5">
        <v>0</v>
      </c>
      <c r="T606" s="5" t="s">
        <v>22</v>
      </c>
      <c r="U606" s="5" t="s">
        <v>2472</v>
      </c>
      <c r="V606" s="5" t="s">
        <v>788</v>
      </c>
      <c r="AB606"/>
      <c r="AC606"/>
      <c r="AD606"/>
    </row>
    <row r="607" spans="1:30" x14ac:dyDescent="0.25">
      <c r="A607" t="s">
        <v>4570</v>
      </c>
      <c r="B607" t="s">
        <v>4571</v>
      </c>
      <c r="C607" s="9" t="s">
        <v>4572</v>
      </c>
      <c r="D607" s="9" t="s">
        <v>4573</v>
      </c>
      <c r="E607" s="5" t="s">
        <v>3003</v>
      </c>
      <c r="F607" s="1" t="s">
        <v>3004</v>
      </c>
      <c r="G607" s="25">
        <v>44235</v>
      </c>
      <c r="H607" s="1" t="s">
        <v>3782</v>
      </c>
      <c r="I607" s="14" t="s">
        <v>2913</v>
      </c>
      <c r="J607" s="1" t="s">
        <v>3006</v>
      </c>
      <c r="K607" s="14" t="s">
        <v>3007</v>
      </c>
      <c r="L607" s="1" t="s">
        <v>3008</v>
      </c>
      <c r="M607" s="1" t="s">
        <v>3016</v>
      </c>
      <c r="N607" s="1">
        <v>209</v>
      </c>
      <c r="O607" s="1" t="s">
        <v>976</v>
      </c>
      <c r="P607" s="5">
        <v>1055</v>
      </c>
      <c r="Q607" s="5">
        <v>0</v>
      </c>
      <c r="R607" s="5">
        <v>1055</v>
      </c>
      <c r="S607" s="5">
        <v>0</v>
      </c>
      <c r="T607" s="5" t="s">
        <v>23</v>
      </c>
      <c r="U607" s="5" t="s">
        <v>2482</v>
      </c>
      <c r="V607" s="5" t="s">
        <v>909</v>
      </c>
      <c r="AB607"/>
      <c r="AC607"/>
      <c r="AD607"/>
    </row>
    <row r="608" spans="1:30" x14ac:dyDescent="0.25">
      <c r="A608" t="s">
        <v>4574</v>
      </c>
      <c r="B608" t="s">
        <v>4575</v>
      </c>
      <c r="C608" s="9" t="s">
        <v>4576</v>
      </c>
      <c r="D608" s="9">
        <v>945411222</v>
      </c>
      <c r="E608" s="5" t="s">
        <v>3003</v>
      </c>
      <c r="F608" s="1" t="s">
        <v>3004</v>
      </c>
      <c r="G608" s="25">
        <v>44306</v>
      </c>
      <c r="H608" s="1" t="s">
        <v>3469</v>
      </c>
      <c r="I608" s="14" t="s">
        <v>2806</v>
      </c>
      <c r="J608" s="1" t="s">
        <v>3006</v>
      </c>
      <c r="K608" s="14" t="s">
        <v>3007</v>
      </c>
      <c r="L608" s="1" t="s">
        <v>3008</v>
      </c>
      <c r="M608" s="1" t="s">
        <v>3016</v>
      </c>
      <c r="N608" s="1">
        <v>331</v>
      </c>
      <c r="O608" s="1" t="s">
        <v>976</v>
      </c>
      <c r="P608" s="5">
        <v>470</v>
      </c>
      <c r="Q608" s="5">
        <v>0</v>
      </c>
      <c r="R608" s="5">
        <v>470</v>
      </c>
      <c r="S608" s="5">
        <v>0</v>
      </c>
      <c r="T608" s="5">
        <v>40</v>
      </c>
      <c r="U608" s="5" t="s">
        <v>2482</v>
      </c>
      <c r="V608" s="5" t="s">
        <v>777</v>
      </c>
      <c r="AB608"/>
      <c r="AC608"/>
      <c r="AD608"/>
    </row>
    <row r="609" spans="1:30" x14ac:dyDescent="0.25">
      <c r="A609" t="s">
        <v>4577</v>
      </c>
      <c r="B609" t="s">
        <v>4578</v>
      </c>
      <c r="C609" s="9" t="s">
        <v>4579</v>
      </c>
      <c r="D609" s="9">
        <v>819815988300</v>
      </c>
      <c r="E609" s="5" t="s">
        <v>3644</v>
      </c>
      <c r="F609" s="1" t="s">
        <v>3645</v>
      </c>
      <c r="G609" s="25">
        <v>44385</v>
      </c>
      <c r="H609" s="1" t="s">
        <v>3155</v>
      </c>
      <c r="I609" s="14" t="s">
        <v>2841</v>
      </c>
      <c r="J609" s="1" t="s">
        <v>3006</v>
      </c>
      <c r="K609" s="14" t="s">
        <v>3007</v>
      </c>
      <c r="L609" s="1" t="s">
        <v>3008</v>
      </c>
      <c r="M609" s="1" t="s">
        <v>3016</v>
      </c>
      <c r="N609" s="1">
        <v>608</v>
      </c>
      <c r="O609" s="1" t="s">
        <v>976</v>
      </c>
      <c r="P609" s="5">
        <v>95.9</v>
      </c>
      <c r="Q609" s="5">
        <v>0</v>
      </c>
      <c r="R609" s="5">
        <v>59.9</v>
      </c>
      <c r="S609" s="5">
        <v>36</v>
      </c>
      <c r="T609" s="5">
        <v>43</v>
      </c>
      <c r="U609" s="5" t="s">
        <v>2482</v>
      </c>
      <c r="V609" s="5" t="s">
        <v>827</v>
      </c>
      <c r="AB609"/>
      <c r="AC609"/>
      <c r="AD609"/>
    </row>
    <row r="610" spans="1:30" x14ac:dyDescent="0.25">
      <c r="A610" t="s">
        <v>4580</v>
      </c>
      <c r="B610" t="s">
        <v>4581</v>
      </c>
      <c r="C610" s="9" t="s">
        <v>4582</v>
      </c>
      <c r="D610" s="9">
        <v>991219504</v>
      </c>
      <c r="E610" s="5" t="s">
        <v>4229</v>
      </c>
      <c r="F610" s="1" t="s">
        <v>4352</v>
      </c>
      <c r="G610" s="25">
        <v>44275</v>
      </c>
      <c r="H610" s="1" t="s">
        <v>3564</v>
      </c>
      <c r="I610" s="14" t="s">
        <v>295</v>
      </c>
      <c r="J610" s="1" t="s">
        <v>3006</v>
      </c>
      <c r="K610" s="14" t="s">
        <v>3007</v>
      </c>
      <c r="L610" s="1" t="s">
        <v>3008</v>
      </c>
      <c r="M610" s="1" t="s">
        <v>3009</v>
      </c>
      <c r="N610" s="1">
        <v>283</v>
      </c>
      <c r="O610" s="1" t="s">
        <v>976</v>
      </c>
      <c r="P610" s="5">
        <v>687.96</v>
      </c>
      <c r="Q610" s="5">
        <v>0</v>
      </c>
      <c r="R610" s="5">
        <v>615</v>
      </c>
      <c r="S610" s="5">
        <v>72.959999999999994</v>
      </c>
      <c r="T610" s="5" t="s">
        <v>24</v>
      </c>
      <c r="V610" s="5" t="s">
        <v>295</v>
      </c>
      <c r="AB610"/>
      <c r="AC610"/>
      <c r="AD610"/>
    </row>
    <row r="611" spans="1:30" x14ac:dyDescent="0.25">
      <c r="A611" t="s">
        <v>4583</v>
      </c>
      <c r="B611" t="s">
        <v>4584</v>
      </c>
      <c r="C611" s="9" t="s">
        <v>4585</v>
      </c>
      <c r="D611" s="9">
        <v>999493073</v>
      </c>
      <c r="E611" s="5" t="s">
        <v>3003</v>
      </c>
      <c r="F611" s="1" t="s">
        <v>3004</v>
      </c>
      <c r="G611" s="25">
        <v>44397</v>
      </c>
      <c r="H611" s="1" t="s">
        <v>3027</v>
      </c>
      <c r="I611" s="14" t="s">
        <v>254</v>
      </c>
      <c r="J611" s="1" t="s">
        <v>3006</v>
      </c>
      <c r="K611" s="14" t="s">
        <v>3007</v>
      </c>
      <c r="L611" s="1" t="s">
        <v>3008</v>
      </c>
      <c r="M611" s="1" t="s">
        <v>3016</v>
      </c>
      <c r="N611" s="1">
        <v>662</v>
      </c>
      <c r="O611" s="1" t="s">
        <v>976</v>
      </c>
      <c r="P611" s="5">
        <v>1097.78</v>
      </c>
      <c r="Q611" s="5">
        <v>120</v>
      </c>
      <c r="R611" s="5">
        <v>1200</v>
      </c>
      <c r="S611" s="5">
        <v>17.78</v>
      </c>
      <c r="T611" s="5" t="s">
        <v>22</v>
      </c>
      <c r="V611" s="5" t="s">
        <v>254</v>
      </c>
      <c r="AB611"/>
      <c r="AC611"/>
      <c r="AD611"/>
    </row>
    <row r="612" spans="1:30" x14ac:dyDescent="0.25">
      <c r="A612" t="s">
        <v>4586</v>
      </c>
      <c r="B612" t="s">
        <v>4587</v>
      </c>
      <c r="C612" s="9" t="s">
        <v>4588</v>
      </c>
      <c r="D612" s="9">
        <v>983829841</v>
      </c>
      <c r="E612" s="5" t="s">
        <v>3003</v>
      </c>
      <c r="F612" s="1" t="s">
        <v>3004</v>
      </c>
      <c r="G612" s="25">
        <v>44394</v>
      </c>
      <c r="H612" s="1" t="s">
        <v>4589</v>
      </c>
      <c r="I612" s="14" t="s">
        <v>537</v>
      </c>
      <c r="J612" s="1" t="s">
        <v>3006</v>
      </c>
      <c r="K612" s="14" t="s">
        <v>3007</v>
      </c>
      <c r="L612" s="1" t="s">
        <v>3008</v>
      </c>
      <c r="M612" s="1" t="s">
        <v>3009</v>
      </c>
      <c r="N612" s="1">
        <v>641</v>
      </c>
      <c r="O612" s="1" t="s">
        <v>976</v>
      </c>
      <c r="P612" s="5">
        <v>889.4</v>
      </c>
      <c r="Q612" s="5">
        <v>97</v>
      </c>
      <c r="R612" s="5">
        <v>970</v>
      </c>
      <c r="S612" s="5">
        <v>16.399999999999999</v>
      </c>
      <c r="T612" s="5" t="s">
        <v>22</v>
      </c>
      <c r="V612" s="5" t="s">
        <v>537</v>
      </c>
      <c r="AB612"/>
      <c r="AC612"/>
      <c r="AD612"/>
    </row>
    <row r="613" spans="1:30" x14ac:dyDescent="0.25">
      <c r="A613" t="s">
        <v>4590</v>
      </c>
      <c r="B613" t="s">
        <v>4591</v>
      </c>
      <c r="C613" s="9" t="s">
        <v>4592</v>
      </c>
      <c r="D613" s="9">
        <v>975698938</v>
      </c>
      <c r="E613" s="5" t="s">
        <v>3003</v>
      </c>
      <c r="F613" s="1" t="s">
        <v>3004</v>
      </c>
      <c r="G613" s="25">
        <v>44253</v>
      </c>
      <c r="H613" s="1" t="s">
        <v>3392</v>
      </c>
      <c r="I613" s="14" t="s">
        <v>297</v>
      </c>
      <c r="J613" s="1" t="s">
        <v>3006</v>
      </c>
      <c r="K613" s="14" t="s">
        <v>3007</v>
      </c>
      <c r="L613" s="1" t="s">
        <v>3008</v>
      </c>
      <c r="M613" s="1" t="s">
        <v>3009</v>
      </c>
      <c r="N613" s="1">
        <v>232</v>
      </c>
      <c r="O613" s="1" t="s">
        <v>976</v>
      </c>
      <c r="P613" s="5">
        <v>615</v>
      </c>
      <c r="Q613" s="5">
        <v>0</v>
      </c>
      <c r="R613" s="5">
        <v>615</v>
      </c>
      <c r="S613" s="5">
        <v>0</v>
      </c>
      <c r="T613" s="5" t="s">
        <v>23</v>
      </c>
      <c r="V613" s="5" t="s">
        <v>297</v>
      </c>
      <c r="AB613"/>
      <c r="AC613"/>
      <c r="AD613"/>
    </row>
    <row r="614" spans="1:30" x14ac:dyDescent="0.25">
      <c r="A614" t="s">
        <v>4593</v>
      </c>
      <c r="B614" t="s">
        <v>4594</v>
      </c>
      <c r="C614" s="9" t="s">
        <v>4595</v>
      </c>
      <c r="D614" s="9">
        <v>999008097</v>
      </c>
      <c r="E614" s="5" t="s">
        <v>3107</v>
      </c>
      <c r="F614" s="1" t="s">
        <v>3108</v>
      </c>
      <c r="G614" s="25">
        <v>44509</v>
      </c>
      <c r="H614" s="1" t="s">
        <v>4596</v>
      </c>
      <c r="I614" s="14" t="s">
        <v>2823</v>
      </c>
      <c r="J614" s="1" t="s">
        <v>3006</v>
      </c>
      <c r="K614" s="14" t="s">
        <v>3007</v>
      </c>
      <c r="L614" s="1" t="s">
        <v>3008</v>
      </c>
      <c r="M614" s="1" t="s">
        <v>3016</v>
      </c>
      <c r="N614" s="1">
        <v>1177</v>
      </c>
      <c r="O614" s="1" t="s">
        <v>976</v>
      </c>
      <c r="P614" s="5">
        <v>232.37</v>
      </c>
      <c r="Q614" s="5">
        <v>23</v>
      </c>
      <c r="R614" s="5">
        <v>230</v>
      </c>
      <c r="S614" s="5">
        <v>25.37</v>
      </c>
      <c r="T614" s="5" t="s">
        <v>24</v>
      </c>
      <c r="U614" s="5" t="s">
        <v>2459</v>
      </c>
      <c r="V614" s="5" t="s">
        <v>804</v>
      </c>
      <c r="AB614"/>
      <c r="AC614"/>
      <c r="AD614"/>
    </row>
    <row r="615" spans="1:30" x14ac:dyDescent="0.25">
      <c r="A615" t="s">
        <v>4597</v>
      </c>
      <c r="B615" t="s">
        <v>4598</v>
      </c>
      <c r="C615" s="9" t="s">
        <v>4599</v>
      </c>
      <c r="D615" s="9">
        <v>998040053</v>
      </c>
      <c r="E615" s="5" t="s">
        <v>3133</v>
      </c>
      <c r="F615" s="1" t="s">
        <v>4299</v>
      </c>
      <c r="G615" s="25">
        <v>44476</v>
      </c>
      <c r="H615" s="1" t="s">
        <v>3109</v>
      </c>
      <c r="I615" s="14" t="s">
        <v>2790</v>
      </c>
      <c r="J615" s="1" t="s">
        <v>3006</v>
      </c>
      <c r="K615" s="14" t="s">
        <v>3007</v>
      </c>
      <c r="L615" s="1" t="s">
        <v>3008</v>
      </c>
      <c r="M615" s="1" t="s">
        <v>3009</v>
      </c>
      <c r="N615" s="1">
        <v>1009</v>
      </c>
      <c r="O615" s="1" t="s">
        <v>976</v>
      </c>
      <c r="P615" s="5">
        <v>1788.4</v>
      </c>
      <c r="Q615" s="5">
        <v>0</v>
      </c>
      <c r="R615" s="5">
        <v>1750</v>
      </c>
      <c r="S615" s="5">
        <v>38.4</v>
      </c>
      <c r="T615" s="5" t="s">
        <v>5574</v>
      </c>
      <c r="U615" s="5" t="s">
        <v>2447</v>
      </c>
      <c r="V615" s="5" t="s">
        <v>244</v>
      </c>
      <c r="AB615"/>
      <c r="AC615"/>
      <c r="AD615"/>
    </row>
    <row r="616" spans="1:30" x14ac:dyDescent="0.25">
      <c r="A616" t="s">
        <v>4600</v>
      </c>
      <c r="B616" t="s">
        <v>4601</v>
      </c>
      <c r="C616" s="9" t="s">
        <v>4602</v>
      </c>
      <c r="D616" s="9">
        <v>991015464</v>
      </c>
      <c r="E616" s="5" t="s">
        <v>3187</v>
      </c>
      <c r="F616" s="1" t="s">
        <v>3188</v>
      </c>
      <c r="G616" s="25">
        <v>44415</v>
      </c>
      <c r="H616" s="1" t="s">
        <v>4603</v>
      </c>
      <c r="I616" s="14" t="s">
        <v>261</v>
      </c>
      <c r="J616" s="1" t="s">
        <v>3006</v>
      </c>
      <c r="K616" s="14" t="s">
        <v>3007</v>
      </c>
      <c r="L616" s="1" t="s">
        <v>3008</v>
      </c>
      <c r="M616" s="1" t="s">
        <v>3016</v>
      </c>
      <c r="N616" s="1">
        <v>748</v>
      </c>
      <c r="O616" s="1" t="s">
        <v>976</v>
      </c>
      <c r="P616" s="5">
        <v>229.74</v>
      </c>
      <c r="Q616" s="5">
        <v>23</v>
      </c>
      <c r="R616" s="5">
        <v>230</v>
      </c>
      <c r="S616" s="5">
        <v>22.74</v>
      </c>
      <c r="T616" s="5" t="s">
        <v>21</v>
      </c>
      <c r="V616" s="5" t="s">
        <v>261</v>
      </c>
      <c r="AB616"/>
      <c r="AC616"/>
      <c r="AD616"/>
    </row>
    <row r="617" spans="1:30" x14ac:dyDescent="0.25">
      <c r="A617" t="s">
        <v>4604</v>
      </c>
      <c r="B617" t="s">
        <v>4605</v>
      </c>
      <c r="C617" s="9" t="s">
        <v>4606</v>
      </c>
      <c r="D617" s="9" t="s">
        <v>4607</v>
      </c>
      <c r="E617" s="5" t="s">
        <v>3003</v>
      </c>
      <c r="F617" s="1" t="s">
        <v>3004</v>
      </c>
      <c r="G617" s="25">
        <v>44320</v>
      </c>
      <c r="H617" s="1" t="s">
        <v>3027</v>
      </c>
      <c r="I617" s="14" t="s">
        <v>254</v>
      </c>
      <c r="J617" s="1" t="s">
        <v>3006</v>
      </c>
      <c r="K617" s="14" t="s">
        <v>3007</v>
      </c>
      <c r="L617" s="1" t="s">
        <v>3008</v>
      </c>
      <c r="M617" s="1" t="s">
        <v>3009</v>
      </c>
      <c r="N617" s="1">
        <v>383</v>
      </c>
      <c r="O617" s="1" t="s">
        <v>976</v>
      </c>
      <c r="P617" s="5">
        <v>1114.71</v>
      </c>
      <c r="Q617" s="5">
        <v>0</v>
      </c>
      <c r="R617" s="5">
        <v>1100</v>
      </c>
      <c r="S617" s="5">
        <v>14.71</v>
      </c>
      <c r="T617" s="5" t="s">
        <v>22</v>
      </c>
      <c r="V617" s="5" t="s">
        <v>254</v>
      </c>
      <c r="AB617"/>
      <c r="AC617"/>
      <c r="AD617"/>
    </row>
    <row r="618" spans="1:30" x14ac:dyDescent="0.25">
      <c r="A618" t="s">
        <v>4604</v>
      </c>
      <c r="B618" t="s">
        <v>4605</v>
      </c>
      <c r="C618" s="9" t="s">
        <v>4606</v>
      </c>
      <c r="D618" s="9" t="s">
        <v>4607</v>
      </c>
      <c r="E618" s="5" t="s">
        <v>3003</v>
      </c>
      <c r="F618" s="1" t="s">
        <v>3004</v>
      </c>
      <c r="G618" s="25">
        <v>44525</v>
      </c>
      <c r="H618" s="1" t="s">
        <v>3267</v>
      </c>
      <c r="I618" s="14" t="s">
        <v>396</v>
      </c>
      <c r="J618" s="1" t="s">
        <v>3006</v>
      </c>
      <c r="K618" s="14" t="s">
        <v>3007</v>
      </c>
      <c r="L618" s="1" t="s">
        <v>3008</v>
      </c>
      <c r="M618" s="1" t="s">
        <v>3009</v>
      </c>
      <c r="N618" s="1">
        <v>1291</v>
      </c>
      <c r="O618" s="1" t="s">
        <v>976</v>
      </c>
      <c r="P618" s="5">
        <v>887.95</v>
      </c>
      <c r="Q618" s="5">
        <v>0</v>
      </c>
      <c r="R618" s="5">
        <v>870</v>
      </c>
      <c r="S618" s="5">
        <v>17.95</v>
      </c>
      <c r="T618" s="5">
        <v>40</v>
      </c>
      <c r="V618" s="5" t="s">
        <v>396</v>
      </c>
      <c r="AB618"/>
      <c r="AC618"/>
      <c r="AD618"/>
    </row>
    <row r="619" spans="1:30" x14ac:dyDescent="0.25">
      <c r="A619" t="s">
        <v>4608</v>
      </c>
      <c r="B619" t="s">
        <v>4609</v>
      </c>
      <c r="C619" s="9" t="s">
        <v>4610</v>
      </c>
      <c r="D619" s="9">
        <v>983483773</v>
      </c>
      <c r="E619" s="5" t="s">
        <v>3107</v>
      </c>
      <c r="F619" s="1" t="s">
        <v>3108</v>
      </c>
      <c r="G619" s="25">
        <v>44493</v>
      </c>
      <c r="H619" s="1" t="s">
        <v>3027</v>
      </c>
      <c r="I619" s="14" t="s">
        <v>254</v>
      </c>
      <c r="J619" s="1" t="s">
        <v>3006</v>
      </c>
      <c r="K619" s="14" t="s">
        <v>3007</v>
      </c>
      <c r="L619" s="1" t="s">
        <v>3008</v>
      </c>
      <c r="M619" s="1" t="s">
        <v>3009</v>
      </c>
      <c r="N619" s="1">
        <v>1100</v>
      </c>
      <c r="O619" s="1" t="s">
        <v>976</v>
      </c>
      <c r="P619" s="5">
        <v>1393.86</v>
      </c>
      <c r="Q619" s="5">
        <v>0</v>
      </c>
      <c r="R619" s="5">
        <v>1330</v>
      </c>
      <c r="S619" s="5">
        <v>63.86</v>
      </c>
      <c r="T619" s="5" t="s">
        <v>22</v>
      </c>
      <c r="V619" s="5" t="s">
        <v>254</v>
      </c>
      <c r="AB619"/>
      <c r="AC619"/>
      <c r="AD619"/>
    </row>
    <row r="620" spans="1:30" x14ac:dyDescent="0.25">
      <c r="A620" t="s">
        <v>4611</v>
      </c>
      <c r="B620" t="s">
        <v>4612</v>
      </c>
      <c r="C620" s="9" t="s">
        <v>4613</v>
      </c>
      <c r="D620" s="9">
        <v>976249509</v>
      </c>
      <c r="E620" s="5" t="s">
        <v>3041</v>
      </c>
      <c r="F620" s="1" t="s">
        <v>3042</v>
      </c>
      <c r="G620" s="25">
        <v>44493</v>
      </c>
      <c r="H620" s="1" t="s">
        <v>3027</v>
      </c>
      <c r="I620" s="14" t="s">
        <v>254</v>
      </c>
      <c r="J620" s="1" t="s">
        <v>3006</v>
      </c>
      <c r="K620" s="14" t="s">
        <v>3007</v>
      </c>
      <c r="L620" s="1" t="s">
        <v>3008</v>
      </c>
      <c r="M620" s="1" t="s">
        <v>3009</v>
      </c>
      <c r="N620" s="1">
        <v>1096</v>
      </c>
      <c r="O620" s="1" t="s">
        <v>976</v>
      </c>
      <c r="P620" s="5">
        <v>1357.12</v>
      </c>
      <c r="Q620" s="5">
        <v>0</v>
      </c>
      <c r="R620" s="5">
        <v>1330</v>
      </c>
      <c r="S620" s="5">
        <v>27.12</v>
      </c>
      <c r="T620" s="5" t="s">
        <v>22</v>
      </c>
      <c r="V620" s="5" t="s">
        <v>254</v>
      </c>
      <c r="AB620"/>
      <c r="AC620"/>
      <c r="AD620"/>
    </row>
    <row r="621" spans="1:30" x14ac:dyDescent="0.25">
      <c r="A621" t="s">
        <v>4614</v>
      </c>
      <c r="B621" t="s">
        <v>4615</v>
      </c>
      <c r="C621" s="9" t="s">
        <v>4616</v>
      </c>
      <c r="D621" s="9">
        <v>992002242</v>
      </c>
      <c r="E621" s="5" t="s">
        <v>3041</v>
      </c>
      <c r="F621" s="1" t="s">
        <v>3042</v>
      </c>
      <c r="G621" s="25">
        <v>44536</v>
      </c>
      <c r="H621" s="1" t="s">
        <v>3027</v>
      </c>
      <c r="I621" s="14" t="s">
        <v>254</v>
      </c>
      <c r="J621" s="1" t="s">
        <v>3006</v>
      </c>
      <c r="K621" s="14" t="s">
        <v>3007</v>
      </c>
      <c r="L621" s="1" t="s">
        <v>3008</v>
      </c>
      <c r="M621" s="1" t="s">
        <v>3009</v>
      </c>
      <c r="N621" s="1">
        <v>1356</v>
      </c>
      <c r="O621" s="1" t="s">
        <v>976</v>
      </c>
      <c r="P621" s="5">
        <v>1265.19</v>
      </c>
      <c r="Q621" s="5">
        <v>138</v>
      </c>
      <c r="R621" s="5">
        <v>1380</v>
      </c>
      <c r="S621" s="5">
        <v>23.19</v>
      </c>
      <c r="T621" s="5" t="s">
        <v>22</v>
      </c>
      <c r="V621" s="5" t="s">
        <v>254</v>
      </c>
      <c r="AB621"/>
      <c r="AC621"/>
      <c r="AD621"/>
    </row>
    <row r="622" spans="1:30" x14ac:dyDescent="0.25">
      <c r="A622" t="s">
        <v>4614</v>
      </c>
      <c r="B622" t="s">
        <v>4615</v>
      </c>
      <c r="C622" s="9" t="s">
        <v>4616</v>
      </c>
      <c r="D622" s="9">
        <v>992002242</v>
      </c>
      <c r="E622" s="5" t="s">
        <v>3041</v>
      </c>
      <c r="F622" s="1" t="s">
        <v>3042</v>
      </c>
      <c r="G622" s="25">
        <v>44536</v>
      </c>
      <c r="H622" s="1" t="s">
        <v>4617</v>
      </c>
      <c r="I622" s="14" t="s">
        <v>2940</v>
      </c>
      <c r="J622" s="1" t="s">
        <v>3006</v>
      </c>
      <c r="K622" s="14" t="s">
        <v>3007</v>
      </c>
      <c r="L622" s="1" t="s">
        <v>3008</v>
      </c>
      <c r="M622" s="1" t="s">
        <v>3009</v>
      </c>
      <c r="N622" s="1">
        <v>1356</v>
      </c>
      <c r="O622" s="1" t="s">
        <v>976</v>
      </c>
      <c r="P622" s="5">
        <v>797.62</v>
      </c>
      <c r="Q622" s="5">
        <v>87</v>
      </c>
      <c r="R622" s="5">
        <v>870</v>
      </c>
      <c r="S622" s="5">
        <v>14.62</v>
      </c>
      <c r="T622" s="5">
        <v>34</v>
      </c>
      <c r="U622" s="5" t="s">
        <v>2495</v>
      </c>
      <c r="V622" s="5" t="s">
        <v>924</v>
      </c>
      <c r="AB622"/>
      <c r="AC622"/>
      <c r="AD622"/>
    </row>
    <row r="623" spans="1:30" x14ac:dyDescent="0.25">
      <c r="A623" t="s">
        <v>4618</v>
      </c>
      <c r="B623" t="s">
        <v>4619</v>
      </c>
      <c r="C623" s="9" t="s">
        <v>4620</v>
      </c>
      <c r="D623" s="9">
        <v>997575020</v>
      </c>
      <c r="E623" s="5" t="s">
        <v>3003</v>
      </c>
      <c r="F623" s="1" t="s">
        <v>3801</v>
      </c>
      <c r="G623" s="25">
        <v>44397</v>
      </c>
      <c r="H623" s="1" t="s">
        <v>3027</v>
      </c>
      <c r="I623" s="14" t="s">
        <v>254</v>
      </c>
      <c r="J623" s="1" t="s">
        <v>3006</v>
      </c>
      <c r="K623" s="14" t="s">
        <v>3007</v>
      </c>
      <c r="L623" s="1" t="s">
        <v>3008</v>
      </c>
      <c r="M623" s="1" t="s">
        <v>3009</v>
      </c>
      <c r="N623" s="1">
        <v>664</v>
      </c>
      <c r="O623" s="1" t="s">
        <v>976</v>
      </c>
      <c r="P623" s="5">
        <v>1099.17</v>
      </c>
      <c r="Q623" s="5">
        <v>120</v>
      </c>
      <c r="R623" s="5">
        <v>1200</v>
      </c>
      <c r="S623" s="5">
        <v>19.170000000000002</v>
      </c>
      <c r="T623" s="5" t="s">
        <v>22</v>
      </c>
      <c r="V623" s="5" t="s">
        <v>254</v>
      </c>
      <c r="AB623"/>
      <c r="AC623"/>
      <c r="AD623"/>
    </row>
    <row r="624" spans="1:30" x14ac:dyDescent="0.25">
      <c r="A624" t="s">
        <v>4621</v>
      </c>
      <c r="B624" t="s">
        <v>4622</v>
      </c>
      <c r="C624" s="9" t="s">
        <v>4623</v>
      </c>
      <c r="D624" s="9">
        <v>992645334</v>
      </c>
      <c r="E624" s="5" t="s">
        <v>3003</v>
      </c>
      <c r="F624" s="1" t="s">
        <v>3004</v>
      </c>
      <c r="G624" s="25">
        <v>44544</v>
      </c>
      <c r="H624" s="1" t="s">
        <v>3075</v>
      </c>
      <c r="I624" s="14" t="s">
        <v>2791</v>
      </c>
      <c r="J624" s="1" t="s">
        <v>3006</v>
      </c>
      <c r="K624" s="14" t="s">
        <v>3007</v>
      </c>
      <c r="L624" s="1" t="s">
        <v>3008</v>
      </c>
      <c r="M624" s="1" t="s">
        <v>3009</v>
      </c>
      <c r="N624" s="1">
        <v>1451</v>
      </c>
      <c r="O624" s="1" t="s">
        <v>976</v>
      </c>
      <c r="P624" s="5">
        <v>1520.29</v>
      </c>
      <c r="Q624" s="5">
        <v>166.5</v>
      </c>
      <c r="R624" s="5">
        <v>1665</v>
      </c>
      <c r="S624" s="5">
        <v>21.79</v>
      </c>
      <c r="T624" s="5" t="s">
        <v>22</v>
      </c>
      <c r="U624" s="5" t="s">
        <v>2443</v>
      </c>
      <c r="V624" s="5" t="s">
        <v>763</v>
      </c>
      <c r="AB624"/>
      <c r="AC624"/>
      <c r="AD624"/>
    </row>
    <row r="625" spans="1:30" x14ac:dyDescent="0.25">
      <c r="A625" t="s">
        <v>4624</v>
      </c>
      <c r="B625" t="s">
        <v>4625</v>
      </c>
      <c r="C625" s="9" t="s">
        <v>4626</v>
      </c>
      <c r="D625" s="9">
        <v>982119207</v>
      </c>
      <c r="E625" s="5" t="s">
        <v>3133</v>
      </c>
      <c r="F625" s="1" t="s">
        <v>4627</v>
      </c>
      <c r="G625" s="25">
        <v>44142</v>
      </c>
      <c r="H625" s="1" t="s">
        <v>3469</v>
      </c>
      <c r="I625" s="14" t="s">
        <v>2806</v>
      </c>
      <c r="J625" s="1" t="s">
        <v>3006</v>
      </c>
      <c r="K625" s="14" t="s">
        <v>3007</v>
      </c>
      <c r="L625" s="1" t="s">
        <v>3008</v>
      </c>
      <c r="M625" s="1" t="s">
        <v>3009</v>
      </c>
      <c r="N625" s="1">
        <v>43</v>
      </c>
      <c r="O625" s="1" t="s">
        <v>976</v>
      </c>
      <c r="P625" s="5">
        <v>498.97</v>
      </c>
      <c r="Q625" s="5">
        <v>0</v>
      </c>
      <c r="R625" s="5">
        <v>470</v>
      </c>
      <c r="S625" s="5">
        <v>28.97</v>
      </c>
      <c r="T625" s="5">
        <v>40</v>
      </c>
      <c r="U625" s="5" t="s">
        <v>2482</v>
      </c>
      <c r="V625" s="5" t="s">
        <v>777</v>
      </c>
      <c r="AB625"/>
      <c r="AC625"/>
      <c r="AD625"/>
    </row>
    <row r="626" spans="1:30" x14ac:dyDescent="0.25">
      <c r="A626" t="s">
        <v>4628</v>
      </c>
      <c r="B626" t="s">
        <v>4629</v>
      </c>
      <c r="C626" s="9" t="s">
        <v>4630</v>
      </c>
      <c r="D626" s="9" t="s">
        <v>4631</v>
      </c>
      <c r="E626" s="5" t="s">
        <v>3041</v>
      </c>
      <c r="F626" s="1" t="s">
        <v>3042</v>
      </c>
      <c r="G626" s="25">
        <v>44394</v>
      </c>
      <c r="H626" s="1" t="s">
        <v>4632</v>
      </c>
      <c r="I626" s="14" t="s">
        <v>2772</v>
      </c>
      <c r="J626" s="1" t="s">
        <v>3006</v>
      </c>
      <c r="K626" s="14" t="s">
        <v>3007</v>
      </c>
      <c r="L626" s="1" t="s">
        <v>3008</v>
      </c>
      <c r="M626" s="1" t="s">
        <v>3016</v>
      </c>
      <c r="N626" s="1">
        <v>644</v>
      </c>
      <c r="O626" s="1" t="s">
        <v>976</v>
      </c>
      <c r="P626" s="5">
        <v>363.8</v>
      </c>
      <c r="Q626" s="5">
        <v>26.2</v>
      </c>
      <c r="R626" s="5">
        <v>390</v>
      </c>
      <c r="S626" s="5">
        <v>0</v>
      </c>
      <c r="T626" s="5" t="s">
        <v>23</v>
      </c>
      <c r="U626" s="5" t="s">
        <v>2508</v>
      </c>
      <c r="V626" s="5" t="s">
        <v>735</v>
      </c>
      <c r="AB626"/>
      <c r="AC626"/>
      <c r="AD626"/>
    </row>
    <row r="627" spans="1:30" x14ac:dyDescent="0.25">
      <c r="A627" t="s">
        <v>4628</v>
      </c>
      <c r="B627" t="s">
        <v>4629</v>
      </c>
      <c r="C627" s="9" t="s">
        <v>4630</v>
      </c>
      <c r="D627" s="9" t="s">
        <v>4631</v>
      </c>
      <c r="E627" s="5" t="s">
        <v>3041</v>
      </c>
      <c r="F627" s="1" t="s">
        <v>3042</v>
      </c>
      <c r="G627" s="25">
        <v>44394</v>
      </c>
      <c r="H627" s="1" t="s">
        <v>3805</v>
      </c>
      <c r="I627" s="14" t="s">
        <v>487</v>
      </c>
      <c r="J627" s="1" t="s">
        <v>3006</v>
      </c>
      <c r="K627" s="14" t="s">
        <v>3007</v>
      </c>
      <c r="L627" s="1" t="s">
        <v>3008</v>
      </c>
      <c r="M627" s="1" t="s">
        <v>3016</v>
      </c>
      <c r="N627" s="1">
        <v>644</v>
      </c>
      <c r="O627" s="1" t="s">
        <v>976</v>
      </c>
      <c r="P627" s="5">
        <v>270.51</v>
      </c>
      <c r="Q627" s="5">
        <v>19.489999999999998</v>
      </c>
      <c r="R627" s="5">
        <v>290</v>
      </c>
      <c r="S627" s="5">
        <v>0</v>
      </c>
      <c r="T627" s="5" t="s">
        <v>23</v>
      </c>
      <c r="V627" s="5" t="s">
        <v>487</v>
      </c>
      <c r="AB627"/>
      <c r="AC627"/>
      <c r="AD627"/>
    </row>
    <row r="628" spans="1:30" x14ac:dyDescent="0.25">
      <c r="A628" t="s">
        <v>4628</v>
      </c>
      <c r="B628" t="s">
        <v>4629</v>
      </c>
      <c r="C628" s="9" t="s">
        <v>4630</v>
      </c>
      <c r="D628" s="9" t="s">
        <v>4631</v>
      </c>
      <c r="E628" s="5" t="s">
        <v>3041</v>
      </c>
      <c r="F628" s="1" t="s">
        <v>3042</v>
      </c>
      <c r="G628" s="25">
        <v>44394</v>
      </c>
      <c r="H628" s="1" t="s">
        <v>4633</v>
      </c>
      <c r="I628" s="14" t="s">
        <v>2829</v>
      </c>
      <c r="J628" s="1" t="s">
        <v>3006</v>
      </c>
      <c r="K628" s="14" t="s">
        <v>3007</v>
      </c>
      <c r="L628" s="1" t="s">
        <v>3008</v>
      </c>
      <c r="M628" s="1" t="s">
        <v>3016</v>
      </c>
      <c r="N628" s="1">
        <v>644</v>
      </c>
      <c r="O628" s="1" t="s">
        <v>976</v>
      </c>
      <c r="P628" s="5">
        <v>2145.48</v>
      </c>
      <c r="Q628" s="5">
        <v>154.52000000000001</v>
      </c>
      <c r="R628" s="5">
        <v>2300</v>
      </c>
      <c r="S628" s="5">
        <v>0</v>
      </c>
      <c r="T628" s="5" t="s">
        <v>22</v>
      </c>
      <c r="U628" s="5" t="s">
        <v>2472</v>
      </c>
      <c r="V628" s="5" t="s">
        <v>814</v>
      </c>
      <c r="AB628"/>
      <c r="AC628"/>
      <c r="AD628"/>
    </row>
    <row r="629" spans="1:30" x14ac:dyDescent="0.25">
      <c r="A629" t="s">
        <v>4628</v>
      </c>
      <c r="B629" t="s">
        <v>4629</v>
      </c>
      <c r="C629" s="9" t="s">
        <v>4630</v>
      </c>
      <c r="D629" s="9" t="s">
        <v>4631</v>
      </c>
      <c r="E629" s="5" t="s">
        <v>3041</v>
      </c>
      <c r="F629" s="1" t="s">
        <v>3042</v>
      </c>
      <c r="G629" s="25">
        <v>44394</v>
      </c>
      <c r="H629" s="1" t="s">
        <v>3374</v>
      </c>
      <c r="I629" s="14" t="s">
        <v>551</v>
      </c>
      <c r="J629" s="1" t="s">
        <v>3006</v>
      </c>
      <c r="K629" s="14" t="s">
        <v>3007</v>
      </c>
      <c r="L629" s="1" t="s">
        <v>3008</v>
      </c>
      <c r="M629" s="1" t="s">
        <v>3016</v>
      </c>
      <c r="N629" s="1">
        <v>644</v>
      </c>
      <c r="O629" s="1" t="s">
        <v>976</v>
      </c>
      <c r="P629" s="5">
        <v>830.21</v>
      </c>
      <c r="Q629" s="5">
        <v>59.79</v>
      </c>
      <c r="R629" s="5">
        <v>890</v>
      </c>
      <c r="S629" s="5">
        <v>0</v>
      </c>
      <c r="T629" s="5" t="s">
        <v>23</v>
      </c>
      <c r="V629" s="5" t="s">
        <v>551</v>
      </c>
      <c r="AB629"/>
      <c r="AC629"/>
      <c r="AD629"/>
    </row>
    <row r="630" spans="1:30" x14ac:dyDescent="0.25">
      <c r="A630" t="s">
        <v>4634</v>
      </c>
      <c r="B630" t="s">
        <v>4635</v>
      </c>
      <c r="C630" s="9" t="s">
        <v>4636</v>
      </c>
      <c r="D630" s="9">
        <v>981727333</v>
      </c>
      <c r="E630" s="5" t="s">
        <v>3187</v>
      </c>
      <c r="F630" s="1" t="s">
        <v>3188</v>
      </c>
      <c r="G630" s="25">
        <v>44547</v>
      </c>
      <c r="H630" s="1" t="s">
        <v>3027</v>
      </c>
      <c r="I630" s="14" t="s">
        <v>254</v>
      </c>
      <c r="J630" s="1" t="s">
        <v>3006</v>
      </c>
      <c r="K630" s="14" t="s">
        <v>3007</v>
      </c>
      <c r="L630" s="1" t="s">
        <v>3008</v>
      </c>
      <c r="M630" s="1" t="s">
        <v>3009</v>
      </c>
      <c r="N630" s="1">
        <v>1486</v>
      </c>
      <c r="O630" s="1" t="s">
        <v>976</v>
      </c>
      <c r="P630" s="5">
        <v>1543.29</v>
      </c>
      <c r="Q630" s="5">
        <v>166.5</v>
      </c>
      <c r="R630" s="5">
        <v>1665</v>
      </c>
      <c r="S630" s="5">
        <v>44.79</v>
      </c>
      <c r="T630" s="5" t="s">
        <v>22</v>
      </c>
      <c r="V630" s="5" t="s">
        <v>254</v>
      </c>
      <c r="AB630"/>
      <c r="AC630"/>
      <c r="AD630"/>
    </row>
    <row r="631" spans="1:30" x14ac:dyDescent="0.25">
      <c r="A631" t="s">
        <v>4637</v>
      </c>
      <c r="B631" t="s">
        <v>4638</v>
      </c>
      <c r="C631" s="9" t="s">
        <v>4639</v>
      </c>
      <c r="D631" s="9">
        <v>986643147</v>
      </c>
      <c r="E631" s="5" t="s">
        <v>3003</v>
      </c>
      <c r="F631" s="1" t="s">
        <v>3004</v>
      </c>
      <c r="G631" s="25">
        <v>44415</v>
      </c>
      <c r="H631" s="1" t="s">
        <v>4640</v>
      </c>
      <c r="I631" s="14" t="s">
        <v>582</v>
      </c>
      <c r="J631" s="1" t="s">
        <v>3006</v>
      </c>
      <c r="K631" s="14" t="s">
        <v>3007</v>
      </c>
      <c r="L631" s="1" t="s">
        <v>3008</v>
      </c>
      <c r="M631" s="1" t="s">
        <v>3016</v>
      </c>
      <c r="N631" s="1">
        <v>750</v>
      </c>
      <c r="O631" s="1" t="s">
        <v>976</v>
      </c>
      <c r="P631" s="5">
        <v>388.73</v>
      </c>
      <c r="Q631" s="5">
        <v>101.27</v>
      </c>
      <c r="R631" s="5">
        <v>490</v>
      </c>
      <c r="S631" s="5">
        <v>0</v>
      </c>
      <c r="T631" s="5" t="s">
        <v>24</v>
      </c>
      <c r="V631" s="5" t="s">
        <v>582</v>
      </c>
      <c r="AB631"/>
      <c r="AC631"/>
      <c r="AD631"/>
    </row>
    <row r="632" spans="1:30" x14ac:dyDescent="0.25">
      <c r="A632" t="s">
        <v>4637</v>
      </c>
      <c r="B632" t="s">
        <v>4638</v>
      </c>
      <c r="C632" s="9" t="s">
        <v>4639</v>
      </c>
      <c r="D632" s="9">
        <v>986643147</v>
      </c>
      <c r="E632" s="5" t="s">
        <v>3003</v>
      </c>
      <c r="F632" s="1" t="s">
        <v>3004</v>
      </c>
      <c r="G632" s="25">
        <v>44415</v>
      </c>
      <c r="H632" s="1" t="s">
        <v>4641</v>
      </c>
      <c r="I632" s="14" t="s">
        <v>2867</v>
      </c>
      <c r="J632" s="1" t="s">
        <v>3006</v>
      </c>
      <c r="K632" s="14" t="s">
        <v>3007</v>
      </c>
      <c r="L632" s="1" t="s">
        <v>3008</v>
      </c>
      <c r="M632" s="1" t="s">
        <v>3016</v>
      </c>
      <c r="N632" s="1">
        <v>750</v>
      </c>
      <c r="O632" s="1" t="s">
        <v>976</v>
      </c>
      <c r="P632" s="5">
        <v>384.77</v>
      </c>
      <c r="Q632" s="5">
        <v>100.23</v>
      </c>
      <c r="R632" s="5">
        <v>485</v>
      </c>
      <c r="S632" s="5">
        <v>0</v>
      </c>
      <c r="T632" s="5" t="s">
        <v>23</v>
      </c>
      <c r="U632" s="5" t="s">
        <v>2482</v>
      </c>
      <c r="V632" s="5" t="s">
        <v>869</v>
      </c>
      <c r="AB632"/>
      <c r="AC632"/>
      <c r="AD632"/>
    </row>
    <row r="633" spans="1:30" x14ac:dyDescent="0.25">
      <c r="A633" t="s">
        <v>4642</v>
      </c>
      <c r="B633" t="s">
        <v>4643</v>
      </c>
      <c r="C633" s="9" t="s">
        <v>4644</v>
      </c>
      <c r="D633" s="9">
        <v>979379714</v>
      </c>
      <c r="E633" s="5" t="s">
        <v>3041</v>
      </c>
      <c r="F633" s="1" t="s">
        <v>3042</v>
      </c>
      <c r="G633" s="25">
        <v>44536</v>
      </c>
      <c r="H633" s="1" t="s">
        <v>3027</v>
      </c>
      <c r="I633" s="14" t="s">
        <v>254</v>
      </c>
      <c r="J633" s="1" t="s">
        <v>3006</v>
      </c>
      <c r="K633" s="14" t="s">
        <v>3007</v>
      </c>
      <c r="L633" s="1" t="s">
        <v>3008</v>
      </c>
      <c r="M633" s="1" t="s">
        <v>3009</v>
      </c>
      <c r="N633" s="1">
        <v>1361</v>
      </c>
      <c r="O633" s="1" t="s">
        <v>976</v>
      </c>
      <c r="P633" s="5">
        <v>1410.17</v>
      </c>
      <c r="Q633" s="5">
        <v>0</v>
      </c>
      <c r="R633" s="5">
        <v>1380</v>
      </c>
      <c r="S633" s="5">
        <v>30.17</v>
      </c>
      <c r="T633" s="5" t="s">
        <v>22</v>
      </c>
      <c r="V633" s="5" t="s">
        <v>254</v>
      </c>
      <c r="AB633"/>
      <c r="AC633"/>
      <c r="AD633"/>
    </row>
    <row r="634" spans="1:30" x14ac:dyDescent="0.25">
      <c r="A634" t="s">
        <v>4645</v>
      </c>
      <c r="B634" t="s">
        <v>4646</v>
      </c>
      <c r="C634" s="9" t="s">
        <v>4647</v>
      </c>
      <c r="D634" s="9">
        <v>976585295</v>
      </c>
      <c r="E634" s="5" t="s">
        <v>3003</v>
      </c>
      <c r="F634" s="1" t="s">
        <v>3004</v>
      </c>
      <c r="G634" s="25">
        <v>44550</v>
      </c>
      <c r="H634" s="1" t="s">
        <v>3909</v>
      </c>
      <c r="I634" s="14" t="s">
        <v>2970</v>
      </c>
      <c r="J634" s="1" t="s">
        <v>3006</v>
      </c>
      <c r="K634" s="14" t="s">
        <v>3007</v>
      </c>
      <c r="L634" s="1" t="s">
        <v>3008</v>
      </c>
      <c r="M634" s="1" t="s">
        <v>3016</v>
      </c>
      <c r="N634" s="1">
        <v>1495</v>
      </c>
      <c r="O634" s="1" t="s">
        <v>976</v>
      </c>
      <c r="P634" s="5">
        <v>211.12</v>
      </c>
      <c r="Q634" s="5">
        <v>22</v>
      </c>
      <c r="R634" s="5">
        <v>220</v>
      </c>
      <c r="S634" s="5">
        <v>13.12</v>
      </c>
      <c r="T634" s="5" t="s">
        <v>22</v>
      </c>
      <c r="U634" s="5" t="s">
        <v>2482</v>
      </c>
      <c r="V634" s="5" t="s">
        <v>942</v>
      </c>
      <c r="AB634"/>
      <c r="AC634"/>
      <c r="AD634"/>
    </row>
    <row r="635" spans="1:30" x14ac:dyDescent="0.25">
      <c r="A635" t="s">
        <v>4648</v>
      </c>
      <c r="B635" t="s">
        <v>4649</v>
      </c>
      <c r="C635" s="9" t="s">
        <v>4650</v>
      </c>
      <c r="D635" s="9">
        <v>996092375</v>
      </c>
      <c r="E635" s="5" t="s">
        <v>3107</v>
      </c>
      <c r="F635" s="1" t="s">
        <v>3108</v>
      </c>
      <c r="G635" s="25">
        <v>44551</v>
      </c>
      <c r="H635" s="1" t="s">
        <v>4301</v>
      </c>
      <c r="I635" s="14" t="s">
        <v>2856</v>
      </c>
      <c r="J635" s="1" t="s">
        <v>3006</v>
      </c>
      <c r="K635" s="14" t="s">
        <v>3007</v>
      </c>
      <c r="L635" s="1" t="s">
        <v>3008</v>
      </c>
      <c r="M635" s="1" t="s">
        <v>3009</v>
      </c>
      <c r="N635" s="1">
        <v>1520</v>
      </c>
      <c r="O635" s="1" t="s">
        <v>976</v>
      </c>
      <c r="P635" s="5">
        <v>743.86</v>
      </c>
      <c r="Q635" s="5">
        <v>0</v>
      </c>
      <c r="R635" s="5">
        <v>680</v>
      </c>
      <c r="S635" s="5">
        <v>63.86</v>
      </c>
      <c r="T635" s="5" t="s">
        <v>23</v>
      </c>
      <c r="U635" s="5" t="s">
        <v>2447</v>
      </c>
      <c r="V635" s="5" t="s">
        <v>851</v>
      </c>
      <c r="AB635"/>
      <c r="AC635"/>
      <c r="AD635"/>
    </row>
    <row r="636" spans="1:30" x14ac:dyDescent="0.25">
      <c r="A636" t="s">
        <v>4651</v>
      </c>
      <c r="B636" t="s">
        <v>4652</v>
      </c>
      <c r="C636" s="9" t="s">
        <v>4653</v>
      </c>
      <c r="D636" s="9" t="s">
        <v>4654</v>
      </c>
      <c r="E636" s="5" t="s">
        <v>3003</v>
      </c>
      <c r="F636" s="1" t="s">
        <v>3004</v>
      </c>
      <c r="G636" s="25">
        <v>44361</v>
      </c>
      <c r="H636" s="1" t="s">
        <v>3083</v>
      </c>
      <c r="I636" s="14" t="s">
        <v>2930</v>
      </c>
      <c r="J636" s="1" t="s">
        <v>3006</v>
      </c>
      <c r="K636" s="14" t="s">
        <v>3007</v>
      </c>
      <c r="L636" s="1" t="s">
        <v>3008</v>
      </c>
      <c r="M636" s="1" t="s">
        <v>3009</v>
      </c>
      <c r="N636" s="1">
        <v>510</v>
      </c>
      <c r="O636" s="1" t="s">
        <v>976</v>
      </c>
      <c r="P636" s="5">
        <v>575</v>
      </c>
      <c r="Q636" s="5">
        <v>0</v>
      </c>
      <c r="R636" s="5">
        <v>575</v>
      </c>
      <c r="S636" s="5">
        <v>0</v>
      </c>
      <c r="T636" s="5" t="s">
        <v>23</v>
      </c>
      <c r="U636" s="5" t="s">
        <v>2443</v>
      </c>
      <c r="V636" s="5" t="s">
        <v>920</v>
      </c>
      <c r="AB636"/>
      <c r="AC636"/>
      <c r="AD636"/>
    </row>
    <row r="637" spans="1:30" x14ac:dyDescent="0.25">
      <c r="A637" t="s">
        <v>4655</v>
      </c>
      <c r="B637" t="s">
        <v>4656</v>
      </c>
      <c r="C637" s="9" t="s">
        <v>4657</v>
      </c>
      <c r="D637" s="9">
        <v>999760495</v>
      </c>
      <c r="E637" s="5" t="s">
        <v>3733</v>
      </c>
      <c r="F637" s="1" t="s">
        <v>4658</v>
      </c>
      <c r="G637" s="25">
        <v>44525</v>
      </c>
      <c r="H637" s="1" t="s">
        <v>3129</v>
      </c>
      <c r="I637" s="14" t="s">
        <v>2790</v>
      </c>
      <c r="J637" s="1" t="s">
        <v>3006</v>
      </c>
      <c r="K637" s="14" t="s">
        <v>3007</v>
      </c>
      <c r="L637" s="1" t="s">
        <v>3008</v>
      </c>
      <c r="M637" s="1" t="s">
        <v>3009</v>
      </c>
      <c r="N637" s="1">
        <v>1288</v>
      </c>
      <c r="O637" s="1" t="s">
        <v>976</v>
      </c>
      <c r="P637" s="5">
        <v>1792.77</v>
      </c>
      <c r="Q637" s="5">
        <v>0</v>
      </c>
      <c r="R637" s="5">
        <v>1750</v>
      </c>
      <c r="S637" s="5">
        <v>42.77</v>
      </c>
      <c r="T637" s="5" t="s">
        <v>5574</v>
      </c>
      <c r="U637" s="5" t="s">
        <v>2482</v>
      </c>
      <c r="V637" s="5" t="s">
        <v>246</v>
      </c>
      <c r="AB637"/>
      <c r="AC637"/>
      <c r="AD637"/>
    </row>
    <row r="638" spans="1:30" x14ac:dyDescent="0.25">
      <c r="A638" t="s">
        <v>4659</v>
      </c>
      <c r="B638" t="s">
        <v>4660</v>
      </c>
      <c r="C638" s="9" t="s">
        <v>4661</v>
      </c>
      <c r="D638" s="9">
        <v>9996311303</v>
      </c>
      <c r="E638" s="5" t="s">
        <v>3003</v>
      </c>
      <c r="F638" s="1" t="s">
        <v>3004</v>
      </c>
      <c r="G638" s="25">
        <v>44582</v>
      </c>
      <c r="H638" s="1" t="s">
        <v>4662</v>
      </c>
      <c r="I638" s="14" t="s">
        <v>318</v>
      </c>
      <c r="J638" s="1" t="s">
        <v>3006</v>
      </c>
      <c r="K638" s="14" t="s">
        <v>3007</v>
      </c>
      <c r="L638" s="1" t="s">
        <v>3008</v>
      </c>
      <c r="M638" s="1" t="s">
        <v>3009</v>
      </c>
      <c r="N638" s="1">
        <v>1699</v>
      </c>
      <c r="O638" s="1" t="s">
        <v>976</v>
      </c>
      <c r="P638" s="5">
        <v>595</v>
      </c>
      <c r="Q638" s="5">
        <v>0</v>
      </c>
      <c r="R638" s="5">
        <v>595</v>
      </c>
      <c r="S638" s="5">
        <v>0</v>
      </c>
      <c r="T638" s="5" t="s">
        <v>23</v>
      </c>
      <c r="V638" s="5" t="s">
        <v>318</v>
      </c>
      <c r="AB638"/>
      <c r="AC638"/>
      <c r="AD638"/>
    </row>
    <row r="639" spans="1:30" x14ac:dyDescent="0.25">
      <c r="A639" t="s">
        <v>4659</v>
      </c>
      <c r="B639" t="s">
        <v>4660</v>
      </c>
      <c r="C639" s="9" t="s">
        <v>4661</v>
      </c>
      <c r="D639" s="9">
        <v>9996311303</v>
      </c>
      <c r="E639" s="5" t="s">
        <v>3003</v>
      </c>
      <c r="F639" s="1" t="s">
        <v>3004</v>
      </c>
      <c r="G639" s="25">
        <v>44582</v>
      </c>
      <c r="H639" s="1" t="s">
        <v>3866</v>
      </c>
      <c r="I639" s="14" t="s">
        <v>2925</v>
      </c>
      <c r="J639" s="1" t="s">
        <v>3006</v>
      </c>
      <c r="K639" s="14" t="s">
        <v>3007</v>
      </c>
      <c r="L639" s="1" t="s">
        <v>3008</v>
      </c>
      <c r="M639" s="1" t="s">
        <v>3009</v>
      </c>
      <c r="N639" s="1">
        <v>1699</v>
      </c>
      <c r="O639" s="1" t="s">
        <v>976</v>
      </c>
      <c r="P639" s="5">
        <v>1020</v>
      </c>
      <c r="Q639" s="5">
        <v>0</v>
      </c>
      <c r="R639" s="5">
        <v>1020</v>
      </c>
      <c r="S639" s="5">
        <v>0</v>
      </c>
      <c r="T639" s="5" t="s">
        <v>5574</v>
      </c>
      <c r="U639" s="5" t="s">
        <v>2433</v>
      </c>
      <c r="V639" s="5" t="s">
        <v>917</v>
      </c>
      <c r="AB639"/>
      <c r="AC639"/>
      <c r="AD639"/>
    </row>
    <row r="640" spans="1:30" x14ac:dyDescent="0.25">
      <c r="A640" t="s">
        <v>4663</v>
      </c>
      <c r="B640" t="s">
        <v>4664</v>
      </c>
      <c r="C640" s="9" t="s">
        <v>4665</v>
      </c>
      <c r="D640" s="9">
        <v>997607488</v>
      </c>
      <c r="E640" s="5" t="s">
        <v>3003</v>
      </c>
      <c r="F640" s="1" t="s">
        <v>4666</v>
      </c>
      <c r="G640" s="25">
        <v>44361</v>
      </c>
      <c r="H640" s="1" t="s">
        <v>4530</v>
      </c>
      <c r="I640" s="14" t="s">
        <v>2841</v>
      </c>
      <c r="J640" s="1" t="s">
        <v>3006</v>
      </c>
      <c r="K640" s="14" t="s">
        <v>3007</v>
      </c>
      <c r="L640" s="1" t="s">
        <v>3008</v>
      </c>
      <c r="M640" s="1" t="s">
        <v>3016</v>
      </c>
      <c r="N640" s="1">
        <v>505</v>
      </c>
      <c r="O640" s="1" t="s">
        <v>976</v>
      </c>
      <c r="P640" s="5">
        <v>85.93</v>
      </c>
      <c r="Q640" s="5">
        <v>0</v>
      </c>
      <c r="R640" s="5">
        <v>59.9</v>
      </c>
      <c r="S640" s="5">
        <v>26.03</v>
      </c>
      <c r="T640" s="5">
        <v>35</v>
      </c>
      <c r="U640" s="5" t="s">
        <v>2472</v>
      </c>
      <c r="V640" s="5" t="s">
        <v>826</v>
      </c>
      <c r="AB640"/>
      <c r="AC640"/>
      <c r="AD640"/>
    </row>
    <row r="641" spans="1:30" x14ac:dyDescent="0.25">
      <c r="A641" t="s">
        <v>4667</v>
      </c>
      <c r="B641" t="s">
        <v>4668</v>
      </c>
      <c r="C641" s="9" t="s">
        <v>4669</v>
      </c>
      <c r="D641" s="9">
        <v>961816271</v>
      </c>
      <c r="E641" s="5" t="s">
        <v>3003</v>
      </c>
      <c r="F641" s="1" t="s">
        <v>3004</v>
      </c>
      <c r="G641" s="25">
        <v>44539</v>
      </c>
      <c r="H641" s="1" t="s">
        <v>3160</v>
      </c>
      <c r="I641" s="14" t="s">
        <v>488</v>
      </c>
      <c r="J641" s="1" t="s">
        <v>3006</v>
      </c>
      <c r="K641" s="14" t="s">
        <v>3007</v>
      </c>
      <c r="L641" s="1" t="s">
        <v>3008</v>
      </c>
      <c r="M641" s="1" t="s">
        <v>3016</v>
      </c>
      <c r="N641" s="1">
        <v>1395</v>
      </c>
      <c r="O641" s="1" t="s">
        <v>976</v>
      </c>
      <c r="P641" s="5">
        <v>331</v>
      </c>
      <c r="Q641" s="5">
        <v>0</v>
      </c>
      <c r="R641" s="5">
        <v>315</v>
      </c>
      <c r="S641" s="5">
        <v>16</v>
      </c>
      <c r="T641" s="5" t="s">
        <v>22</v>
      </c>
      <c r="V641" s="5" t="s">
        <v>488</v>
      </c>
      <c r="AB641"/>
      <c r="AC641"/>
      <c r="AD641"/>
    </row>
    <row r="642" spans="1:30" x14ac:dyDescent="0.25">
      <c r="A642" t="s">
        <v>4670</v>
      </c>
      <c r="B642" t="s">
        <v>4671</v>
      </c>
      <c r="C642" s="9" t="s">
        <v>4672</v>
      </c>
      <c r="D642" s="9">
        <v>998073230</v>
      </c>
      <c r="E642" s="5" t="s">
        <v>3013</v>
      </c>
      <c r="F642" s="1" t="s">
        <v>3067</v>
      </c>
      <c r="G642" s="25">
        <v>44493</v>
      </c>
      <c r="H642" s="1" t="s">
        <v>3075</v>
      </c>
      <c r="I642" s="14" t="s">
        <v>2791</v>
      </c>
      <c r="J642" s="1" t="s">
        <v>3006</v>
      </c>
      <c r="K642" s="14" t="s">
        <v>3007</v>
      </c>
      <c r="L642" s="1" t="s">
        <v>3008</v>
      </c>
      <c r="M642" s="1" t="s">
        <v>3009</v>
      </c>
      <c r="N642" s="1">
        <v>1103</v>
      </c>
      <c r="O642" s="1" t="s">
        <v>976</v>
      </c>
      <c r="P642" s="5">
        <v>1224.1199999999999</v>
      </c>
      <c r="Q642" s="5">
        <v>133</v>
      </c>
      <c r="R642" s="5">
        <v>1330</v>
      </c>
      <c r="S642" s="5">
        <v>27.12</v>
      </c>
      <c r="T642" s="5" t="s">
        <v>22</v>
      </c>
      <c r="U642" s="5" t="s">
        <v>2443</v>
      </c>
      <c r="V642" s="5" t="s">
        <v>763</v>
      </c>
      <c r="AB642"/>
      <c r="AC642"/>
      <c r="AD642"/>
    </row>
    <row r="643" spans="1:30" x14ac:dyDescent="0.25">
      <c r="A643" t="s">
        <v>4673</v>
      </c>
      <c r="B643" t="s">
        <v>4674</v>
      </c>
      <c r="C643" s="9" t="s">
        <v>4675</v>
      </c>
      <c r="D643" s="9">
        <v>996114196</v>
      </c>
      <c r="E643" s="5" t="s">
        <v>3003</v>
      </c>
      <c r="F643" s="1" t="s">
        <v>3004</v>
      </c>
      <c r="G643" s="25">
        <v>44547</v>
      </c>
      <c r="H643" s="1" t="s">
        <v>4676</v>
      </c>
      <c r="I643" s="14" t="s">
        <v>439</v>
      </c>
      <c r="J643" s="1" t="s">
        <v>3006</v>
      </c>
      <c r="K643" s="14" t="s">
        <v>3007</v>
      </c>
      <c r="L643" s="1" t="s">
        <v>3008</v>
      </c>
      <c r="M643" s="1" t="s">
        <v>3016</v>
      </c>
      <c r="N643" s="1">
        <v>1485</v>
      </c>
      <c r="O643" s="1" t="s">
        <v>976</v>
      </c>
      <c r="P643" s="5">
        <v>705.94</v>
      </c>
      <c r="Q643" s="5">
        <v>0</v>
      </c>
      <c r="R643" s="5">
        <v>690</v>
      </c>
      <c r="S643" s="5">
        <v>15.94</v>
      </c>
      <c r="T643" s="5">
        <v>36</v>
      </c>
      <c r="V643" s="5" t="s">
        <v>439</v>
      </c>
      <c r="AB643"/>
      <c r="AC643"/>
      <c r="AD643"/>
    </row>
    <row r="644" spans="1:30" x14ac:dyDescent="0.25">
      <c r="A644" t="s">
        <v>4677</v>
      </c>
      <c r="B644" t="s">
        <v>4678</v>
      </c>
      <c r="C644" s="9" t="s">
        <v>4679</v>
      </c>
      <c r="D644" s="9">
        <v>999093962</v>
      </c>
      <c r="E644" s="5" t="s">
        <v>3187</v>
      </c>
      <c r="F644" s="1" t="s">
        <v>3188</v>
      </c>
      <c r="G644" s="25">
        <v>44550</v>
      </c>
      <c r="H644" s="1" t="s">
        <v>3908</v>
      </c>
      <c r="I644" s="14" t="s">
        <v>2774</v>
      </c>
      <c r="J644" s="1" t="s">
        <v>3006</v>
      </c>
      <c r="K644" s="14" t="s">
        <v>3007</v>
      </c>
      <c r="L644" s="1" t="s">
        <v>3008</v>
      </c>
      <c r="M644" s="1" t="s">
        <v>3009</v>
      </c>
      <c r="N644" s="1">
        <v>1498</v>
      </c>
      <c r="O644" s="1" t="s">
        <v>976</v>
      </c>
      <c r="P644" s="5">
        <v>369.67</v>
      </c>
      <c r="Q644" s="5">
        <v>0</v>
      </c>
      <c r="R644" s="5">
        <v>348</v>
      </c>
      <c r="S644" s="5">
        <v>21.67</v>
      </c>
      <c r="T644" s="5" t="s">
        <v>22</v>
      </c>
      <c r="U644" s="5" t="s">
        <v>2482</v>
      </c>
      <c r="V644" s="5" t="s">
        <v>740</v>
      </c>
      <c r="AB644"/>
      <c r="AC644"/>
      <c r="AD644"/>
    </row>
    <row r="645" spans="1:30" x14ac:dyDescent="0.25">
      <c r="A645" t="s">
        <v>4677</v>
      </c>
      <c r="B645" t="s">
        <v>4678</v>
      </c>
      <c r="C645" s="9" t="s">
        <v>4679</v>
      </c>
      <c r="D645" s="9">
        <v>999093962</v>
      </c>
      <c r="E645" s="5" t="s">
        <v>3187</v>
      </c>
      <c r="F645" s="1" t="s">
        <v>3188</v>
      </c>
      <c r="G645" s="25">
        <v>44550</v>
      </c>
      <c r="H645" s="1" t="s">
        <v>4680</v>
      </c>
      <c r="I645" s="14" t="s">
        <v>233</v>
      </c>
      <c r="J645" s="1" t="s">
        <v>3006</v>
      </c>
      <c r="K645" s="14" t="s">
        <v>3007</v>
      </c>
      <c r="L645" s="1" t="s">
        <v>3008</v>
      </c>
      <c r="M645" s="1" t="s">
        <v>3009</v>
      </c>
      <c r="N645" s="1">
        <v>1498</v>
      </c>
      <c r="O645" s="1" t="s">
        <v>976</v>
      </c>
      <c r="P645" s="5">
        <v>497.14</v>
      </c>
      <c r="Q645" s="5">
        <v>0</v>
      </c>
      <c r="R645" s="5">
        <v>468</v>
      </c>
      <c r="S645" s="5">
        <v>29.14</v>
      </c>
      <c r="T645" s="5" t="s">
        <v>23</v>
      </c>
      <c r="V645" s="5" t="s">
        <v>233</v>
      </c>
      <c r="AB645"/>
      <c r="AC645"/>
      <c r="AD645"/>
    </row>
    <row r="646" spans="1:30" x14ac:dyDescent="0.25">
      <c r="A646" t="s">
        <v>4677</v>
      </c>
      <c r="B646" t="s">
        <v>4678</v>
      </c>
      <c r="C646" s="9" t="s">
        <v>4679</v>
      </c>
      <c r="D646" s="9">
        <v>999093962</v>
      </c>
      <c r="E646" s="5" t="s">
        <v>3187</v>
      </c>
      <c r="F646" s="1" t="s">
        <v>3188</v>
      </c>
      <c r="G646" s="25">
        <v>44550</v>
      </c>
      <c r="H646" s="1" t="s">
        <v>4181</v>
      </c>
      <c r="I646" s="14" t="s">
        <v>381</v>
      </c>
      <c r="J646" s="1" t="s">
        <v>3006</v>
      </c>
      <c r="K646" s="14" t="s">
        <v>3007</v>
      </c>
      <c r="L646" s="1" t="s">
        <v>3008</v>
      </c>
      <c r="M646" s="1" t="s">
        <v>3009</v>
      </c>
      <c r="N646" s="1">
        <v>1498</v>
      </c>
      <c r="O646" s="1" t="s">
        <v>976</v>
      </c>
      <c r="P646" s="5">
        <v>348.43</v>
      </c>
      <c r="Q646" s="5">
        <v>0</v>
      </c>
      <c r="R646" s="5">
        <v>328</v>
      </c>
      <c r="S646" s="5">
        <v>20.43</v>
      </c>
      <c r="T646" s="5" t="s">
        <v>26</v>
      </c>
      <c r="V646" s="5" t="s">
        <v>381</v>
      </c>
      <c r="AB646"/>
      <c r="AC646"/>
      <c r="AD646"/>
    </row>
    <row r="647" spans="1:30" x14ac:dyDescent="0.25">
      <c r="A647" t="s">
        <v>4681</v>
      </c>
      <c r="B647" t="s">
        <v>4682</v>
      </c>
      <c r="C647" s="9" t="s">
        <v>4683</v>
      </c>
      <c r="D647" s="9" t="s">
        <v>4684</v>
      </c>
      <c r="E647" s="5" t="s">
        <v>3003</v>
      </c>
      <c r="F647" s="1" t="s">
        <v>3004</v>
      </c>
      <c r="G647" s="25">
        <v>44160</v>
      </c>
      <c r="H647" s="1" t="s">
        <v>4685</v>
      </c>
      <c r="I647" s="14" t="s">
        <v>506</v>
      </c>
      <c r="J647" s="1" t="s">
        <v>3006</v>
      </c>
      <c r="K647" s="14" t="s">
        <v>3007</v>
      </c>
      <c r="L647" s="1" t="s">
        <v>3008</v>
      </c>
      <c r="M647" s="1" t="s">
        <v>3009</v>
      </c>
      <c r="N647" s="1">
        <v>50</v>
      </c>
      <c r="O647" s="1" t="s">
        <v>976</v>
      </c>
      <c r="P647" s="5">
        <v>277.93</v>
      </c>
      <c r="Q647" s="5">
        <v>0</v>
      </c>
      <c r="R647" s="5">
        <v>270</v>
      </c>
      <c r="S647" s="5">
        <v>7.93</v>
      </c>
      <c r="T647" s="5" t="s">
        <v>22</v>
      </c>
      <c r="V647" s="5" t="s">
        <v>506</v>
      </c>
      <c r="AB647"/>
      <c r="AC647"/>
      <c r="AD647"/>
    </row>
    <row r="648" spans="1:30" x14ac:dyDescent="0.25">
      <c r="A648" t="s">
        <v>4681</v>
      </c>
      <c r="B648" t="s">
        <v>4682</v>
      </c>
      <c r="C648" s="9" t="s">
        <v>4683</v>
      </c>
      <c r="D648" s="9" t="s">
        <v>4684</v>
      </c>
      <c r="E648" s="5" t="s">
        <v>3003</v>
      </c>
      <c r="F648" s="1" t="s">
        <v>3004</v>
      </c>
      <c r="G648" s="25">
        <v>44160</v>
      </c>
      <c r="H648" s="1" t="s">
        <v>4686</v>
      </c>
      <c r="I648" s="14" t="s">
        <v>2888</v>
      </c>
      <c r="J648" s="1" t="s">
        <v>3006</v>
      </c>
      <c r="K648" s="14" t="s">
        <v>3007</v>
      </c>
      <c r="L648" s="1" t="s">
        <v>3008</v>
      </c>
      <c r="M648" s="1" t="s">
        <v>3009</v>
      </c>
      <c r="N648" s="1">
        <v>50</v>
      </c>
      <c r="O648" s="1" t="s">
        <v>976</v>
      </c>
      <c r="P648" s="5">
        <v>236.75</v>
      </c>
      <c r="Q648" s="5">
        <v>0</v>
      </c>
      <c r="R648" s="5">
        <v>230</v>
      </c>
      <c r="S648" s="5">
        <v>6.75</v>
      </c>
      <c r="T648" s="5" t="s">
        <v>22</v>
      </c>
      <c r="U648" s="5" t="s">
        <v>2482</v>
      </c>
      <c r="V648" s="5" t="s">
        <v>897</v>
      </c>
      <c r="AB648"/>
      <c r="AC648"/>
      <c r="AD648"/>
    </row>
    <row r="649" spans="1:30" x14ac:dyDescent="0.25">
      <c r="A649" t="s">
        <v>4681</v>
      </c>
      <c r="B649" t="s">
        <v>4682</v>
      </c>
      <c r="C649" s="9" t="s">
        <v>4683</v>
      </c>
      <c r="D649" s="9" t="s">
        <v>4684</v>
      </c>
      <c r="E649" s="5" t="s">
        <v>3003</v>
      </c>
      <c r="F649" s="1" t="s">
        <v>3004</v>
      </c>
      <c r="G649" s="25">
        <v>44182</v>
      </c>
      <c r="H649" s="1" t="s">
        <v>3027</v>
      </c>
      <c r="I649" s="14" t="s">
        <v>254</v>
      </c>
      <c r="J649" s="1" t="s">
        <v>3006</v>
      </c>
      <c r="K649" s="14" t="s">
        <v>3007</v>
      </c>
      <c r="L649" s="1" t="s">
        <v>3008</v>
      </c>
      <c r="M649" s="1" t="s">
        <v>3016</v>
      </c>
      <c r="N649" s="1">
        <v>112</v>
      </c>
      <c r="O649" s="1" t="s">
        <v>976</v>
      </c>
      <c r="P649" s="5">
        <v>1045</v>
      </c>
      <c r="Q649" s="5">
        <v>55</v>
      </c>
      <c r="R649" s="5">
        <v>1100</v>
      </c>
      <c r="S649" s="5">
        <v>0</v>
      </c>
      <c r="T649" s="5" t="s">
        <v>22</v>
      </c>
      <c r="V649" s="5" t="s">
        <v>254</v>
      </c>
      <c r="AB649"/>
      <c r="AC649"/>
      <c r="AD649"/>
    </row>
    <row r="650" spans="1:30" x14ac:dyDescent="0.25">
      <c r="A650" t="s">
        <v>4687</v>
      </c>
      <c r="B650" t="s">
        <v>4688</v>
      </c>
      <c r="C650" s="9" t="s">
        <v>4689</v>
      </c>
      <c r="D650" s="9">
        <v>986939832</v>
      </c>
      <c r="E650" s="5" t="s">
        <v>3003</v>
      </c>
      <c r="F650" s="1" t="s">
        <v>3004</v>
      </c>
      <c r="G650" s="25">
        <v>44171</v>
      </c>
      <c r="H650" s="1" t="s">
        <v>3564</v>
      </c>
      <c r="I650" s="14" t="s">
        <v>295</v>
      </c>
      <c r="J650" s="1" t="s">
        <v>3006</v>
      </c>
      <c r="K650" s="14" t="s">
        <v>3007</v>
      </c>
      <c r="L650" s="1" t="s">
        <v>3614</v>
      </c>
      <c r="M650" s="1" t="s">
        <v>3016</v>
      </c>
      <c r="N650" s="1">
        <v>63</v>
      </c>
      <c r="O650" s="1" t="s">
        <v>976</v>
      </c>
      <c r="P650" s="5">
        <v>22.77</v>
      </c>
      <c r="Q650" s="5">
        <v>592.23</v>
      </c>
      <c r="R650" s="5">
        <v>615</v>
      </c>
      <c r="S650" s="5">
        <v>0</v>
      </c>
      <c r="T650" s="5" t="s">
        <v>24</v>
      </c>
      <c r="V650" s="5" t="s">
        <v>295</v>
      </c>
      <c r="AB650"/>
      <c r="AC650"/>
      <c r="AD650"/>
    </row>
    <row r="651" spans="1:30" x14ac:dyDescent="0.25">
      <c r="A651" t="s">
        <v>4687</v>
      </c>
      <c r="B651" t="s">
        <v>4688</v>
      </c>
      <c r="C651" s="9" t="s">
        <v>4689</v>
      </c>
      <c r="D651" s="9">
        <v>986939832</v>
      </c>
      <c r="E651" s="5" t="s">
        <v>3003</v>
      </c>
      <c r="F651" s="1" t="s">
        <v>3004</v>
      </c>
      <c r="G651" s="25">
        <v>44171</v>
      </c>
      <c r="H651" s="1" t="s">
        <v>4690</v>
      </c>
      <c r="I651" s="14" t="s">
        <v>2859</v>
      </c>
      <c r="J651" s="1" t="s">
        <v>3006</v>
      </c>
      <c r="K651" s="14" t="s">
        <v>3007</v>
      </c>
      <c r="L651" s="1" t="s">
        <v>3614</v>
      </c>
      <c r="M651" s="1" t="s">
        <v>3016</v>
      </c>
      <c r="N651" s="1">
        <v>63</v>
      </c>
      <c r="O651" s="1" t="s">
        <v>976</v>
      </c>
      <c r="P651" s="5">
        <v>26.3</v>
      </c>
      <c r="Q651" s="5">
        <v>683.7</v>
      </c>
      <c r="R651" s="5">
        <v>710</v>
      </c>
      <c r="S651" s="5">
        <v>0</v>
      </c>
      <c r="T651" s="5" t="s">
        <v>23</v>
      </c>
      <c r="U651" s="5" t="s">
        <v>2472</v>
      </c>
      <c r="V651" s="5" t="s">
        <v>854</v>
      </c>
      <c r="AB651"/>
      <c r="AC651"/>
      <c r="AD651"/>
    </row>
    <row r="652" spans="1:30" x14ac:dyDescent="0.25">
      <c r="A652" t="s">
        <v>4687</v>
      </c>
      <c r="B652" t="s">
        <v>4688</v>
      </c>
      <c r="C652" s="9" t="s">
        <v>4689</v>
      </c>
      <c r="D652" s="9">
        <v>986939832</v>
      </c>
      <c r="E652" s="5" t="s">
        <v>3003</v>
      </c>
      <c r="F652" s="1" t="s">
        <v>3004</v>
      </c>
      <c r="G652" s="25">
        <v>44171</v>
      </c>
      <c r="H652" s="1" t="s">
        <v>3882</v>
      </c>
      <c r="I652" s="14" t="s">
        <v>2867</v>
      </c>
      <c r="J652" s="1" t="s">
        <v>3006</v>
      </c>
      <c r="K652" s="14" t="s">
        <v>3007</v>
      </c>
      <c r="L652" s="1" t="s">
        <v>3614</v>
      </c>
      <c r="M652" s="1" t="s">
        <v>3016</v>
      </c>
      <c r="N652" s="1">
        <v>63</v>
      </c>
      <c r="O652" s="1" t="s">
        <v>976</v>
      </c>
      <c r="P652" s="5">
        <v>15.19</v>
      </c>
      <c r="Q652" s="5">
        <v>394.81</v>
      </c>
      <c r="R652" s="5">
        <v>410</v>
      </c>
      <c r="S652" s="5">
        <v>0</v>
      </c>
      <c r="T652" s="5" t="s">
        <v>23</v>
      </c>
      <c r="U652" s="5" t="s">
        <v>2482</v>
      </c>
      <c r="V652" s="5" t="s">
        <v>869</v>
      </c>
      <c r="AB652"/>
      <c r="AC652"/>
      <c r="AD652"/>
    </row>
    <row r="653" spans="1:30" x14ac:dyDescent="0.25">
      <c r="A653" t="s">
        <v>4687</v>
      </c>
      <c r="B653" t="s">
        <v>4688</v>
      </c>
      <c r="C653" s="9" t="s">
        <v>4689</v>
      </c>
      <c r="D653" s="9">
        <v>986939832</v>
      </c>
      <c r="E653" s="5" t="s">
        <v>3003</v>
      </c>
      <c r="F653" s="1" t="s">
        <v>3004</v>
      </c>
      <c r="G653" s="25">
        <v>44171</v>
      </c>
      <c r="H653" s="1" t="s">
        <v>4691</v>
      </c>
      <c r="I653" s="14" t="s">
        <v>1595</v>
      </c>
      <c r="J653" s="1" t="s">
        <v>3006</v>
      </c>
      <c r="K653" s="14" t="s">
        <v>3007</v>
      </c>
      <c r="L653" s="1" t="s">
        <v>3614</v>
      </c>
      <c r="M653" s="1" t="s">
        <v>3016</v>
      </c>
      <c r="N653" s="1">
        <v>63</v>
      </c>
      <c r="O653" s="1" t="s">
        <v>976</v>
      </c>
      <c r="P653" s="5">
        <v>20.74</v>
      </c>
      <c r="Q653" s="5">
        <v>539.26</v>
      </c>
      <c r="R653" s="5">
        <v>560</v>
      </c>
      <c r="S653" s="5">
        <v>0</v>
      </c>
      <c r="T653" s="5" t="s">
        <v>23</v>
      </c>
      <c r="U653" s="5" t="s">
        <v>2463</v>
      </c>
      <c r="V653" s="5" t="s">
        <v>877</v>
      </c>
      <c r="AB653"/>
      <c r="AC653"/>
      <c r="AD653"/>
    </row>
    <row r="654" spans="1:30" x14ac:dyDescent="0.25">
      <c r="A654" t="s">
        <v>4692</v>
      </c>
      <c r="B654" t="s">
        <v>4693</v>
      </c>
      <c r="C654" s="9" t="s">
        <v>4694</v>
      </c>
      <c r="D654" s="9">
        <v>971334015</v>
      </c>
      <c r="E654" s="5" t="s">
        <v>3003</v>
      </c>
      <c r="F654" s="1" t="s">
        <v>3004</v>
      </c>
      <c r="G654" s="25">
        <v>44399</v>
      </c>
      <c r="H654" s="1" t="s">
        <v>3826</v>
      </c>
      <c r="I654" s="14" t="s">
        <v>368</v>
      </c>
      <c r="J654" s="1" t="s">
        <v>3006</v>
      </c>
      <c r="K654" s="14" t="s">
        <v>3007</v>
      </c>
      <c r="L654" s="1" t="s">
        <v>3008</v>
      </c>
      <c r="M654" s="1" t="s">
        <v>3016</v>
      </c>
      <c r="N654" s="1">
        <v>688</v>
      </c>
      <c r="O654" s="1" t="s">
        <v>976</v>
      </c>
      <c r="P654" s="5">
        <v>726.12</v>
      </c>
      <c r="Q654" s="5">
        <v>58.88</v>
      </c>
      <c r="R654" s="5">
        <v>785</v>
      </c>
      <c r="S654" s="5">
        <v>0</v>
      </c>
      <c r="T654" s="5" t="s">
        <v>23</v>
      </c>
      <c r="V654" s="5" t="s">
        <v>368</v>
      </c>
      <c r="AB654"/>
      <c r="AC654"/>
      <c r="AD654"/>
    </row>
    <row r="655" spans="1:30" x14ac:dyDescent="0.25">
      <c r="A655" t="s">
        <v>4695</v>
      </c>
      <c r="B655" t="s">
        <v>4696</v>
      </c>
      <c r="C655" s="9" t="s">
        <v>4697</v>
      </c>
      <c r="D655" s="9">
        <v>994317259</v>
      </c>
      <c r="E655" s="5" t="s">
        <v>3041</v>
      </c>
      <c r="F655" s="1" t="s">
        <v>3042</v>
      </c>
      <c r="G655" s="25">
        <v>44181</v>
      </c>
      <c r="H655" s="1" t="s">
        <v>4698</v>
      </c>
      <c r="I655" s="14" t="s">
        <v>2822</v>
      </c>
      <c r="J655" s="1" t="s">
        <v>3006</v>
      </c>
      <c r="K655" s="14" t="s">
        <v>3007</v>
      </c>
      <c r="L655" s="1" t="s">
        <v>3008</v>
      </c>
      <c r="M655" s="1" t="s">
        <v>3009</v>
      </c>
      <c r="N655" s="1">
        <v>103</v>
      </c>
      <c r="O655" s="1" t="s">
        <v>976</v>
      </c>
      <c r="P655" s="5">
        <v>265.83999999999997</v>
      </c>
      <c r="Q655" s="5">
        <v>0</v>
      </c>
      <c r="R655" s="5">
        <v>245</v>
      </c>
      <c r="S655" s="5">
        <v>20.84</v>
      </c>
      <c r="T655" s="5" t="s">
        <v>22</v>
      </c>
      <c r="U655" s="5" t="s">
        <v>2508</v>
      </c>
      <c r="V655" s="5" t="s">
        <v>801</v>
      </c>
      <c r="AB655"/>
      <c r="AC655"/>
      <c r="AD655"/>
    </row>
    <row r="656" spans="1:30" x14ac:dyDescent="0.25">
      <c r="A656" t="s">
        <v>4699</v>
      </c>
      <c r="B656" t="s">
        <v>4700</v>
      </c>
      <c r="C656" s="9" t="s">
        <v>4701</v>
      </c>
      <c r="D656" s="9" t="s">
        <v>4702</v>
      </c>
      <c r="E656" s="5" t="s">
        <v>3003</v>
      </c>
      <c r="F656" s="1" t="s">
        <v>3004</v>
      </c>
      <c r="G656" s="25">
        <v>44551</v>
      </c>
      <c r="H656" s="1" t="s">
        <v>4703</v>
      </c>
      <c r="I656" s="14" t="s">
        <v>448</v>
      </c>
      <c r="J656" s="1" t="s">
        <v>3006</v>
      </c>
      <c r="K656" s="14" t="s">
        <v>3007</v>
      </c>
      <c r="L656" s="1" t="s">
        <v>3008</v>
      </c>
      <c r="M656" s="1" t="s">
        <v>3016</v>
      </c>
      <c r="N656" s="1">
        <v>1522</v>
      </c>
      <c r="O656" s="1" t="s">
        <v>976</v>
      </c>
      <c r="P656" s="5">
        <v>674</v>
      </c>
      <c r="Q656" s="5">
        <v>34.5</v>
      </c>
      <c r="R656" s="5">
        <v>690</v>
      </c>
      <c r="S656" s="5">
        <v>18.5</v>
      </c>
      <c r="T656" s="5">
        <v>42</v>
      </c>
      <c r="V656" s="5" t="s">
        <v>448</v>
      </c>
      <c r="AB656"/>
      <c r="AC656"/>
      <c r="AD656"/>
    </row>
    <row r="657" spans="1:30" x14ac:dyDescent="0.25">
      <c r="A657" t="s">
        <v>4704</v>
      </c>
      <c r="B657" t="s">
        <v>4705</v>
      </c>
      <c r="C657" s="9" t="s">
        <v>4706</v>
      </c>
      <c r="D657" s="9" t="s">
        <v>4707</v>
      </c>
      <c r="E657" s="5" t="s">
        <v>3003</v>
      </c>
      <c r="F657" s="1" t="s">
        <v>3004</v>
      </c>
      <c r="G657" s="25">
        <v>44585</v>
      </c>
      <c r="H657" s="1" t="s">
        <v>4708</v>
      </c>
      <c r="I657" s="14" t="s">
        <v>2782</v>
      </c>
      <c r="J657" s="1" t="s">
        <v>3006</v>
      </c>
      <c r="K657" s="14" t="s">
        <v>3007</v>
      </c>
      <c r="L657" s="1" t="s">
        <v>3008</v>
      </c>
      <c r="M657" s="1" t="s">
        <v>3016</v>
      </c>
      <c r="N657" s="1">
        <v>1711</v>
      </c>
      <c r="O657" s="1" t="s">
        <v>976</v>
      </c>
      <c r="P657" s="5">
        <v>4.1100000000000003</v>
      </c>
      <c r="Q657" s="5">
        <v>455.89</v>
      </c>
      <c r="R657" s="5">
        <v>460</v>
      </c>
      <c r="S657" s="5">
        <v>0</v>
      </c>
      <c r="T657" s="5" t="s">
        <v>22</v>
      </c>
      <c r="U657" s="5" t="s">
        <v>2443</v>
      </c>
      <c r="V657" s="5" t="s">
        <v>750</v>
      </c>
      <c r="AB657"/>
      <c r="AC657"/>
      <c r="AD657"/>
    </row>
    <row r="658" spans="1:30" x14ac:dyDescent="0.25">
      <c r="A658" t="s">
        <v>4704</v>
      </c>
      <c r="B658" t="s">
        <v>4705</v>
      </c>
      <c r="C658" s="9" t="s">
        <v>4706</v>
      </c>
      <c r="D658" s="9" t="s">
        <v>4707</v>
      </c>
      <c r="E658" s="5" t="s">
        <v>3003</v>
      </c>
      <c r="F658" s="1" t="s">
        <v>3004</v>
      </c>
      <c r="G658" s="25">
        <v>44585</v>
      </c>
      <c r="H658" s="1" t="s">
        <v>4709</v>
      </c>
      <c r="I658" s="14" t="s">
        <v>2818</v>
      </c>
      <c r="J658" s="1" t="s">
        <v>3006</v>
      </c>
      <c r="K658" s="14" t="s">
        <v>3007</v>
      </c>
      <c r="L658" s="1" t="s">
        <v>3008</v>
      </c>
      <c r="M658" s="1" t="s">
        <v>3016</v>
      </c>
      <c r="N658" s="1">
        <v>1711</v>
      </c>
      <c r="O658" s="1" t="s">
        <v>976</v>
      </c>
      <c r="P658" s="5">
        <v>10.89</v>
      </c>
      <c r="Q658" s="5">
        <v>1209.1099999999999</v>
      </c>
      <c r="R658" s="5">
        <v>1220</v>
      </c>
      <c r="S658" s="5">
        <v>0</v>
      </c>
      <c r="T658" s="5">
        <v>38</v>
      </c>
      <c r="U658" s="5" t="s">
        <v>2472</v>
      </c>
      <c r="V658" s="5" t="s">
        <v>797</v>
      </c>
      <c r="AB658"/>
      <c r="AC658"/>
      <c r="AD658"/>
    </row>
    <row r="659" spans="1:30" x14ac:dyDescent="0.25">
      <c r="A659" t="s">
        <v>4710</v>
      </c>
      <c r="B659" t="s">
        <v>4711</v>
      </c>
      <c r="C659" s="9" t="s">
        <v>4712</v>
      </c>
      <c r="D659" s="9">
        <v>997622050</v>
      </c>
      <c r="E659" s="5" t="s">
        <v>3473</v>
      </c>
      <c r="F659" s="1" t="s">
        <v>3638</v>
      </c>
      <c r="G659" s="25">
        <v>44460</v>
      </c>
      <c r="H659" s="1" t="s">
        <v>4686</v>
      </c>
      <c r="I659" s="14" t="s">
        <v>2888</v>
      </c>
      <c r="J659" s="1" t="s">
        <v>3006</v>
      </c>
      <c r="K659" s="14" t="s">
        <v>3007</v>
      </c>
      <c r="L659" s="1" t="s">
        <v>3008</v>
      </c>
      <c r="M659" s="1" t="s">
        <v>3009</v>
      </c>
      <c r="N659" s="1">
        <v>949</v>
      </c>
      <c r="O659" s="1" t="s">
        <v>976</v>
      </c>
      <c r="P659" s="5">
        <v>240.79</v>
      </c>
      <c r="Q659" s="5">
        <v>0</v>
      </c>
      <c r="R659" s="5">
        <v>230</v>
      </c>
      <c r="S659" s="5">
        <v>10.79</v>
      </c>
      <c r="T659" s="5" t="s">
        <v>22</v>
      </c>
      <c r="U659" s="5" t="s">
        <v>2482</v>
      </c>
      <c r="V659" s="5" t="s">
        <v>897</v>
      </c>
      <c r="AB659"/>
      <c r="AC659"/>
      <c r="AD659"/>
    </row>
    <row r="660" spans="1:30" x14ac:dyDescent="0.25">
      <c r="A660" t="s">
        <v>4710</v>
      </c>
      <c r="B660" t="s">
        <v>4711</v>
      </c>
      <c r="C660" s="9" t="s">
        <v>4712</v>
      </c>
      <c r="D660" s="9">
        <v>997622050</v>
      </c>
      <c r="E660" s="5" t="s">
        <v>3473</v>
      </c>
      <c r="F660" s="1" t="s">
        <v>3638</v>
      </c>
      <c r="G660" s="25">
        <v>44460</v>
      </c>
      <c r="H660" s="1" t="s">
        <v>4713</v>
      </c>
      <c r="I660" s="14" t="s">
        <v>2889</v>
      </c>
      <c r="J660" s="1" t="s">
        <v>3006</v>
      </c>
      <c r="K660" s="14" t="s">
        <v>3007</v>
      </c>
      <c r="L660" s="1" t="s">
        <v>3008</v>
      </c>
      <c r="M660" s="1" t="s">
        <v>3009</v>
      </c>
      <c r="N660" s="1">
        <v>949</v>
      </c>
      <c r="O660" s="1" t="s">
        <v>976</v>
      </c>
      <c r="P660" s="5">
        <v>659.57</v>
      </c>
      <c r="Q660" s="5">
        <v>0</v>
      </c>
      <c r="R660" s="5">
        <v>630</v>
      </c>
      <c r="S660" s="5">
        <v>29.57</v>
      </c>
      <c r="T660" s="5" t="s">
        <v>22</v>
      </c>
      <c r="U660" s="5" t="s">
        <v>2443</v>
      </c>
      <c r="V660" s="5" t="s">
        <v>898</v>
      </c>
      <c r="AB660"/>
      <c r="AC660"/>
      <c r="AD660"/>
    </row>
    <row r="661" spans="1:30" x14ac:dyDescent="0.25">
      <c r="A661" t="s">
        <v>4710</v>
      </c>
      <c r="B661" t="s">
        <v>4711</v>
      </c>
      <c r="C661" s="9" t="s">
        <v>4712</v>
      </c>
      <c r="D661" s="9">
        <v>997622050</v>
      </c>
      <c r="E661" s="5" t="s">
        <v>3473</v>
      </c>
      <c r="F661" s="1" t="s">
        <v>3638</v>
      </c>
      <c r="G661" s="25">
        <v>44478</v>
      </c>
      <c r="H661" s="1" t="s">
        <v>3031</v>
      </c>
      <c r="I661" s="14" t="s">
        <v>2888</v>
      </c>
      <c r="J661" s="1" t="s">
        <v>3006</v>
      </c>
      <c r="K661" s="14" t="s">
        <v>3007</v>
      </c>
      <c r="L661" s="1" t="s">
        <v>3008</v>
      </c>
      <c r="M661" s="1" t="s">
        <v>3016</v>
      </c>
      <c r="N661" s="1">
        <v>1016</v>
      </c>
      <c r="O661" s="1" t="s">
        <v>976</v>
      </c>
      <c r="P661" s="5">
        <v>262.10000000000002</v>
      </c>
      <c r="Q661" s="5">
        <v>0</v>
      </c>
      <c r="R661" s="5">
        <v>230</v>
      </c>
      <c r="S661" s="5">
        <v>32.1</v>
      </c>
      <c r="T661" s="5" t="s">
        <v>22</v>
      </c>
      <c r="U661" s="5" t="s">
        <v>2579</v>
      </c>
      <c r="V661" s="5" t="s">
        <v>896</v>
      </c>
      <c r="AB661"/>
      <c r="AC661"/>
      <c r="AD661"/>
    </row>
    <row r="662" spans="1:30" x14ac:dyDescent="0.25">
      <c r="A662" t="s">
        <v>4714</v>
      </c>
      <c r="B662" t="s">
        <v>4715</v>
      </c>
      <c r="C662" s="9" t="s">
        <v>4716</v>
      </c>
      <c r="D662" s="9" t="s">
        <v>4717</v>
      </c>
      <c r="E662" s="5" t="s">
        <v>3003</v>
      </c>
      <c r="F662" s="1" t="s">
        <v>3004</v>
      </c>
      <c r="G662" s="25">
        <v>44528</v>
      </c>
      <c r="H662" s="1" t="s">
        <v>3510</v>
      </c>
      <c r="I662" s="14" t="s">
        <v>2805</v>
      </c>
      <c r="J662" s="1" t="s">
        <v>3006</v>
      </c>
      <c r="K662" s="14" t="s">
        <v>3007</v>
      </c>
      <c r="L662" s="1" t="s">
        <v>3008</v>
      </c>
      <c r="M662" s="1" t="s">
        <v>3009</v>
      </c>
      <c r="N662" s="1">
        <v>1308</v>
      </c>
      <c r="O662" s="1" t="s">
        <v>976</v>
      </c>
      <c r="P662" s="5">
        <v>580</v>
      </c>
      <c r="Q662" s="5">
        <v>0</v>
      </c>
      <c r="R662" s="5">
        <v>580</v>
      </c>
      <c r="S662" s="5">
        <v>0</v>
      </c>
      <c r="T662" s="5">
        <v>40</v>
      </c>
      <c r="U662" s="5" t="s">
        <v>2443</v>
      </c>
      <c r="V662" s="5" t="s">
        <v>776</v>
      </c>
      <c r="AB662"/>
      <c r="AC662"/>
      <c r="AD662"/>
    </row>
    <row r="663" spans="1:30" x14ac:dyDescent="0.25">
      <c r="A663" t="s">
        <v>4714</v>
      </c>
      <c r="B663" t="s">
        <v>4715</v>
      </c>
      <c r="C663" s="9" t="s">
        <v>4716</v>
      </c>
      <c r="D663" s="9" t="s">
        <v>4717</v>
      </c>
      <c r="E663" s="5" t="s">
        <v>3003</v>
      </c>
      <c r="F663" s="1" t="s">
        <v>3004</v>
      </c>
      <c r="G663" s="25">
        <v>44528</v>
      </c>
      <c r="H663" s="1" t="s">
        <v>4718</v>
      </c>
      <c r="I663" s="14" t="s">
        <v>2877</v>
      </c>
      <c r="J663" s="1" t="s">
        <v>3006</v>
      </c>
      <c r="K663" s="14" t="s">
        <v>3007</v>
      </c>
      <c r="L663" s="1" t="s">
        <v>3008</v>
      </c>
      <c r="M663" s="1" t="s">
        <v>3009</v>
      </c>
      <c r="N663" s="1">
        <v>1308</v>
      </c>
      <c r="O663" s="1" t="s">
        <v>976</v>
      </c>
      <c r="P663" s="5">
        <v>870</v>
      </c>
      <c r="Q663" s="5">
        <v>0</v>
      </c>
      <c r="R663" s="5">
        <v>870</v>
      </c>
      <c r="S663" s="5">
        <v>0</v>
      </c>
      <c r="T663" s="5" t="s">
        <v>23</v>
      </c>
      <c r="U663" s="5" t="s">
        <v>2443</v>
      </c>
      <c r="V663" s="5" t="s">
        <v>884</v>
      </c>
      <c r="AB663"/>
      <c r="AC663"/>
      <c r="AD663"/>
    </row>
    <row r="664" spans="1:30" x14ac:dyDescent="0.25">
      <c r="A664" t="s">
        <v>4719</v>
      </c>
      <c r="B664" t="s">
        <v>4720</v>
      </c>
      <c r="C664" s="9" t="s">
        <v>4721</v>
      </c>
      <c r="D664" s="9">
        <v>950596585</v>
      </c>
      <c r="E664" s="5" t="s">
        <v>3003</v>
      </c>
      <c r="F664" s="1" t="s">
        <v>3004</v>
      </c>
      <c r="G664" s="25">
        <v>44340</v>
      </c>
      <c r="H664" s="1" t="s">
        <v>3410</v>
      </c>
      <c r="I664" s="14" t="s">
        <v>2792</v>
      </c>
      <c r="J664" s="1" t="s">
        <v>3006</v>
      </c>
      <c r="K664" s="14" t="s">
        <v>3007</v>
      </c>
      <c r="L664" s="1" t="s">
        <v>3008</v>
      </c>
      <c r="M664" s="1" t="s">
        <v>3009</v>
      </c>
      <c r="N664" s="1">
        <v>444</v>
      </c>
      <c r="O664" s="1" t="s">
        <v>976</v>
      </c>
      <c r="P664" s="5">
        <v>1215.8599999999999</v>
      </c>
      <c r="Q664" s="5">
        <v>0</v>
      </c>
      <c r="R664" s="5">
        <v>1200</v>
      </c>
      <c r="S664" s="5">
        <v>15.86</v>
      </c>
      <c r="T664" s="5" t="s">
        <v>22</v>
      </c>
      <c r="U664" s="5" t="s">
        <v>2727</v>
      </c>
      <c r="V664" s="5" t="s">
        <v>764</v>
      </c>
      <c r="AB664"/>
      <c r="AC664"/>
      <c r="AD664"/>
    </row>
    <row r="665" spans="1:30" x14ac:dyDescent="0.25">
      <c r="A665" t="s">
        <v>4722</v>
      </c>
      <c r="B665" t="s">
        <v>4723</v>
      </c>
      <c r="C665" s="9" t="s">
        <v>4724</v>
      </c>
      <c r="D665" s="9">
        <v>993501118</v>
      </c>
      <c r="E665" s="5" t="s">
        <v>3107</v>
      </c>
      <c r="F665" s="1" t="s">
        <v>3108</v>
      </c>
      <c r="G665" s="25">
        <v>44543</v>
      </c>
      <c r="H665" s="1" t="s">
        <v>4108</v>
      </c>
      <c r="I665" s="14" t="s">
        <v>2921</v>
      </c>
      <c r="J665" s="1" t="s">
        <v>3006</v>
      </c>
      <c r="K665" s="14" t="s">
        <v>3007</v>
      </c>
      <c r="L665" s="1" t="s">
        <v>3008</v>
      </c>
      <c r="M665" s="1" t="s">
        <v>3009</v>
      </c>
      <c r="N665" s="1">
        <v>1434</v>
      </c>
      <c r="O665" s="1" t="s">
        <v>976</v>
      </c>
      <c r="P665" s="5">
        <v>409.39</v>
      </c>
      <c r="Q665" s="5">
        <v>0</v>
      </c>
      <c r="R665" s="5">
        <v>370</v>
      </c>
      <c r="S665" s="5">
        <v>39.39</v>
      </c>
      <c r="T665" s="5" t="s">
        <v>22</v>
      </c>
      <c r="U665" s="5" t="s">
        <v>2433</v>
      </c>
      <c r="V665" s="5" t="s">
        <v>913</v>
      </c>
      <c r="AB665"/>
      <c r="AC665"/>
      <c r="AD665"/>
    </row>
    <row r="666" spans="1:30" x14ac:dyDescent="0.25">
      <c r="A666" t="s">
        <v>4725</v>
      </c>
      <c r="B666" t="s">
        <v>4726</v>
      </c>
      <c r="C666" s="9" t="s">
        <v>4727</v>
      </c>
      <c r="D666" s="9" t="s">
        <v>4728</v>
      </c>
      <c r="E666" s="5" t="s">
        <v>3003</v>
      </c>
      <c r="F666" s="1" t="s">
        <v>3004</v>
      </c>
      <c r="G666" s="25">
        <v>44538</v>
      </c>
      <c r="H666" s="1" t="s">
        <v>3075</v>
      </c>
      <c r="I666" s="14" t="s">
        <v>2791</v>
      </c>
      <c r="J666" s="1" t="s">
        <v>3006</v>
      </c>
      <c r="K666" s="14" t="s">
        <v>3007</v>
      </c>
      <c r="L666" s="1" t="s">
        <v>3008</v>
      </c>
      <c r="M666" s="1" t="s">
        <v>3009</v>
      </c>
      <c r="N666" s="1">
        <v>1385</v>
      </c>
      <c r="O666" s="1" t="s">
        <v>976</v>
      </c>
      <c r="P666" s="5">
        <v>1380</v>
      </c>
      <c r="Q666" s="5">
        <v>285</v>
      </c>
      <c r="R666" s="5">
        <v>1665</v>
      </c>
      <c r="S666" s="5">
        <v>0</v>
      </c>
      <c r="T666" s="5" t="s">
        <v>22</v>
      </c>
      <c r="U666" s="5" t="s">
        <v>2443</v>
      </c>
      <c r="V666" s="5" t="s">
        <v>763</v>
      </c>
      <c r="AB666"/>
      <c r="AC666"/>
      <c r="AD666"/>
    </row>
    <row r="667" spans="1:30" x14ac:dyDescent="0.25">
      <c r="A667" t="s">
        <v>4729</v>
      </c>
      <c r="B667" t="s">
        <v>4730</v>
      </c>
      <c r="C667" s="9" t="s">
        <v>4731</v>
      </c>
      <c r="D667" s="9" t="s">
        <v>4732</v>
      </c>
      <c r="E667" s="5" t="s">
        <v>3003</v>
      </c>
      <c r="F667" s="1" t="s">
        <v>3004</v>
      </c>
      <c r="G667" s="25">
        <v>44418</v>
      </c>
      <c r="H667" s="1" t="s">
        <v>3027</v>
      </c>
      <c r="I667" s="14" t="s">
        <v>254</v>
      </c>
      <c r="J667" s="1" t="s">
        <v>3006</v>
      </c>
      <c r="K667" s="14" t="s">
        <v>3007</v>
      </c>
      <c r="L667" s="1" t="s">
        <v>3008</v>
      </c>
      <c r="M667" s="1" t="s">
        <v>3016</v>
      </c>
      <c r="N667" s="1">
        <v>758</v>
      </c>
      <c r="O667" s="1" t="s">
        <v>976</v>
      </c>
      <c r="P667" s="5">
        <v>2660</v>
      </c>
      <c r="Q667" s="5">
        <v>0</v>
      </c>
      <c r="R667" s="5">
        <v>2660</v>
      </c>
      <c r="S667" s="5">
        <v>0</v>
      </c>
      <c r="T667" s="5" t="s">
        <v>22</v>
      </c>
      <c r="V667" s="5" t="s">
        <v>254</v>
      </c>
      <c r="AB667"/>
      <c r="AC667"/>
      <c r="AD667"/>
    </row>
    <row r="668" spans="1:30" x14ac:dyDescent="0.25">
      <c r="A668" t="s">
        <v>4733</v>
      </c>
      <c r="B668" t="s">
        <v>4734</v>
      </c>
      <c r="C668" s="9" t="s">
        <v>4735</v>
      </c>
      <c r="D668" s="9">
        <v>55936888</v>
      </c>
      <c r="E668" s="5" t="s">
        <v>3003</v>
      </c>
      <c r="F668" s="1" t="s">
        <v>3004</v>
      </c>
      <c r="G668" s="25">
        <v>44493</v>
      </c>
      <c r="H668" s="1" t="s">
        <v>4736</v>
      </c>
      <c r="I668" s="14" t="s">
        <v>2816</v>
      </c>
      <c r="J668" s="1" t="s">
        <v>3006</v>
      </c>
      <c r="K668" s="14" t="s">
        <v>3007</v>
      </c>
      <c r="L668" s="1" t="s">
        <v>3008</v>
      </c>
      <c r="M668" s="1" t="s">
        <v>3009</v>
      </c>
      <c r="N668" s="1">
        <v>1108</v>
      </c>
      <c r="O668" s="1" t="s">
        <v>976</v>
      </c>
      <c r="P668" s="5">
        <v>469.84</v>
      </c>
      <c r="Q668" s="5">
        <v>0</v>
      </c>
      <c r="R668" s="5">
        <v>460</v>
      </c>
      <c r="S668" s="5">
        <v>9.84</v>
      </c>
      <c r="T668" s="5" t="s">
        <v>22</v>
      </c>
      <c r="U668" s="5" t="s">
        <v>2447</v>
      </c>
      <c r="V668" s="5" t="s">
        <v>792</v>
      </c>
      <c r="AB668"/>
      <c r="AC668"/>
      <c r="AD668"/>
    </row>
    <row r="669" spans="1:30" x14ac:dyDescent="0.25">
      <c r="A669" t="s">
        <v>4733</v>
      </c>
      <c r="B669" t="s">
        <v>4734</v>
      </c>
      <c r="C669" s="9" t="s">
        <v>4735</v>
      </c>
      <c r="D669" s="9">
        <v>55936888</v>
      </c>
      <c r="E669" s="5" t="s">
        <v>3003</v>
      </c>
      <c r="F669" s="1" t="s">
        <v>3004</v>
      </c>
      <c r="G669" s="25">
        <v>44493</v>
      </c>
      <c r="H669" s="1" t="s">
        <v>3005</v>
      </c>
      <c r="I669" s="14" t="s">
        <v>2922</v>
      </c>
      <c r="J669" s="1" t="s">
        <v>3006</v>
      </c>
      <c r="K669" s="14" t="s">
        <v>3007</v>
      </c>
      <c r="L669" s="1" t="s">
        <v>3008</v>
      </c>
      <c r="M669" s="1" t="s">
        <v>3009</v>
      </c>
      <c r="N669" s="1">
        <v>1108</v>
      </c>
      <c r="O669" s="1" t="s">
        <v>976</v>
      </c>
      <c r="P669" s="5">
        <v>500.49</v>
      </c>
      <c r="Q669" s="5">
        <v>0</v>
      </c>
      <c r="R669" s="5">
        <v>490</v>
      </c>
      <c r="S669" s="5">
        <v>10.49</v>
      </c>
      <c r="T669" s="5" t="s">
        <v>22</v>
      </c>
      <c r="U669" s="5" t="s">
        <v>2447</v>
      </c>
      <c r="V669" s="5" t="s">
        <v>914</v>
      </c>
      <c r="AB669"/>
      <c r="AC669"/>
      <c r="AD669"/>
    </row>
    <row r="670" spans="1:30" x14ac:dyDescent="0.25">
      <c r="A670" t="s">
        <v>4737</v>
      </c>
      <c r="B670" t="s">
        <v>4738</v>
      </c>
      <c r="C670" s="9" t="s">
        <v>4739</v>
      </c>
      <c r="D670" s="9">
        <v>975418488</v>
      </c>
      <c r="E670" s="5" t="s">
        <v>3003</v>
      </c>
      <c r="F670" s="1" t="s">
        <v>3004</v>
      </c>
      <c r="G670" s="25">
        <v>44514</v>
      </c>
      <c r="H670" s="1" t="s">
        <v>4170</v>
      </c>
      <c r="I670" s="14" t="s">
        <v>2868</v>
      </c>
      <c r="J670" s="1" t="s">
        <v>3006</v>
      </c>
      <c r="K670" s="14" t="s">
        <v>3007</v>
      </c>
      <c r="L670" s="1" t="s">
        <v>3008</v>
      </c>
      <c r="M670" s="1" t="s">
        <v>3009</v>
      </c>
      <c r="N670" s="1">
        <v>1208</v>
      </c>
      <c r="O670" s="1" t="s">
        <v>976</v>
      </c>
      <c r="P670" s="5">
        <v>309.56</v>
      </c>
      <c r="Q670" s="5">
        <v>33</v>
      </c>
      <c r="R670" s="5">
        <v>330</v>
      </c>
      <c r="S670" s="5">
        <v>12.56</v>
      </c>
      <c r="T670" s="5" t="s">
        <v>22</v>
      </c>
      <c r="U670" s="5" t="s">
        <v>2443</v>
      </c>
      <c r="V670" s="5" t="s">
        <v>870</v>
      </c>
      <c r="AB670"/>
      <c r="AC670"/>
      <c r="AD670"/>
    </row>
    <row r="671" spans="1:30" x14ac:dyDescent="0.25">
      <c r="A671" t="s">
        <v>4740</v>
      </c>
      <c r="B671" t="s">
        <v>4741</v>
      </c>
      <c r="C671" s="9" t="s">
        <v>4742</v>
      </c>
      <c r="D671" s="9" t="s">
        <v>4743</v>
      </c>
      <c r="E671" s="5" t="s">
        <v>3003</v>
      </c>
      <c r="F671" s="1" t="s">
        <v>3004</v>
      </c>
      <c r="G671" s="25">
        <v>44369</v>
      </c>
      <c r="H671" s="1" t="s">
        <v>4685</v>
      </c>
      <c r="I671" s="14" t="s">
        <v>506</v>
      </c>
      <c r="J671" s="1" t="s">
        <v>3006</v>
      </c>
      <c r="K671" s="14" t="s">
        <v>3007</v>
      </c>
      <c r="L671" s="1" t="s">
        <v>3008</v>
      </c>
      <c r="M671" s="1" t="s">
        <v>3016</v>
      </c>
      <c r="N671" s="1">
        <v>537</v>
      </c>
      <c r="O671" s="1" t="s">
        <v>976</v>
      </c>
      <c r="P671" s="5">
        <v>349</v>
      </c>
      <c r="Q671" s="5">
        <v>0</v>
      </c>
      <c r="R671" s="5">
        <v>349</v>
      </c>
      <c r="S671" s="5">
        <v>0</v>
      </c>
      <c r="T671" s="5" t="s">
        <v>22</v>
      </c>
      <c r="V671" s="5" t="s">
        <v>506</v>
      </c>
      <c r="AB671"/>
      <c r="AC671"/>
      <c r="AD671"/>
    </row>
    <row r="672" spans="1:30" x14ac:dyDescent="0.25">
      <c r="A672" t="s">
        <v>4740</v>
      </c>
      <c r="B672" t="s">
        <v>4741</v>
      </c>
      <c r="C672" s="9" t="s">
        <v>4742</v>
      </c>
      <c r="D672" s="9" t="s">
        <v>4743</v>
      </c>
      <c r="E672" s="5" t="s">
        <v>3003</v>
      </c>
      <c r="F672" s="1" t="s">
        <v>3004</v>
      </c>
      <c r="G672" s="25">
        <v>44571</v>
      </c>
      <c r="H672" s="1" t="s">
        <v>4744</v>
      </c>
      <c r="I672" s="14" t="s">
        <v>327</v>
      </c>
      <c r="J672" s="1" t="s">
        <v>3006</v>
      </c>
      <c r="K672" s="14" t="s">
        <v>3007</v>
      </c>
      <c r="L672" s="1" t="s">
        <v>3008</v>
      </c>
      <c r="M672" s="1" t="s">
        <v>3009</v>
      </c>
      <c r="N672" s="1">
        <v>1612</v>
      </c>
      <c r="O672" s="1" t="s">
        <v>976</v>
      </c>
      <c r="P672" s="5">
        <v>880</v>
      </c>
      <c r="Q672" s="5">
        <v>0</v>
      </c>
      <c r="R672" s="5">
        <v>880</v>
      </c>
      <c r="S672" s="5">
        <v>0</v>
      </c>
      <c r="T672" s="5" t="s">
        <v>23</v>
      </c>
      <c r="V672" s="5" t="s">
        <v>327</v>
      </c>
      <c r="AB672"/>
      <c r="AC672"/>
      <c r="AD672"/>
    </row>
    <row r="673" spans="1:30" x14ac:dyDescent="0.25">
      <c r="A673" t="s">
        <v>4745</v>
      </c>
      <c r="B673" t="s">
        <v>4746</v>
      </c>
      <c r="C673" s="9" t="s">
        <v>4747</v>
      </c>
      <c r="D673" s="9" t="s">
        <v>4748</v>
      </c>
      <c r="E673" s="5" t="s">
        <v>3003</v>
      </c>
      <c r="F673" s="1" t="s">
        <v>3004</v>
      </c>
      <c r="G673" s="25">
        <v>44551</v>
      </c>
      <c r="H673" s="1" t="s">
        <v>4749</v>
      </c>
      <c r="I673" s="14" t="s">
        <v>2853</v>
      </c>
      <c r="J673" s="1" t="s">
        <v>3006</v>
      </c>
      <c r="K673" s="14" t="s">
        <v>3007</v>
      </c>
      <c r="L673" s="1" t="s">
        <v>3008</v>
      </c>
      <c r="M673" s="1" t="s">
        <v>3009</v>
      </c>
      <c r="N673" s="1">
        <v>1518</v>
      </c>
      <c r="O673" s="1" t="s">
        <v>976</v>
      </c>
      <c r="P673" s="5">
        <v>615</v>
      </c>
      <c r="Q673" s="5">
        <v>0</v>
      </c>
      <c r="R673" s="5">
        <v>615</v>
      </c>
      <c r="S673" s="5">
        <v>0</v>
      </c>
      <c r="T673" s="5" t="s">
        <v>24</v>
      </c>
      <c r="U673" s="5" t="s">
        <v>2447</v>
      </c>
      <c r="V673" s="5" t="s">
        <v>846</v>
      </c>
      <c r="AB673"/>
      <c r="AC673"/>
      <c r="AD673"/>
    </row>
    <row r="674" spans="1:30" x14ac:dyDescent="0.25">
      <c r="A674" t="s">
        <v>4750</v>
      </c>
      <c r="B674" t="s">
        <v>4751</v>
      </c>
      <c r="C674" s="9" t="s">
        <v>4752</v>
      </c>
      <c r="D674" s="9">
        <v>999472013</v>
      </c>
      <c r="E674" s="5" t="s">
        <v>3041</v>
      </c>
      <c r="F674" s="1" t="s">
        <v>3042</v>
      </c>
      <c r="G674" s="25">
        <v>44413</v>
      </c>
      <c r="H674" s="1" t="s">
        <v>3075</v>
      </c>
      <c r="I674" s="14" t="s">
        <v>2791</v>
      </c>
      <c r="J674" s="1" t="s">
        <v>3006</v>
      </c>
      <c r="K674" s="14" t="s">
        <v>3007</v>
      </c>
      <c r="L674" s="1" t="s">
        <v>3008</v>
      </c>
      <c r="M674" s="1" t="s">
        <v>3009</v>
      </c>
      <c r="N674" s="1">
        <v>741</v>
      </c>
      <c r="O674" s="1" t="s">
        <v>976</v>
      </c>
      <c r="P674" s="5">
        <v>1224.3499999999999</v>
      </c>
      <c r="Q674" s="5">
        <v>133</v>
      </c>
      <c r="R674" s="5">
        <v>1330</v>
      </c>
      <c r="S674" s="5">
        <v>27.35</v>
      </c>
      <c r="T674" s="5" t="s">
        <v>22</v>
      </c>
      <c r="U674" s="5" t="s">
        <v>2443</v>
      </c>
      <c r="V674" s="5" t="s">
        <v>763</v>
      </c>
      <c r="AB674"/>
      <c r="AC674"/>
      <c r="AD674"/>
    </row>
    <row r="675" spans="1:30" x14ac:dyDescent="0.25">
      <c r="A675" t="s">
        <v>4753</v>
      </c>
      <c r="B675" t="s">
        <v>4754</v>
      </c>
      <c r="C675" s="9" t="s">
        <v>4755</v>
      </c>
      <c r="D675" s="9" t="s">
        <v>4756</v>
      </c>
      <c r="E675" s="5" t="s">
        <v>3003</v>
      </c>
      <c r="F675" s="1" t="s">
        <v>3004</v>
      </c>
      <c r="G675" s="25">
        <v>44554</v>
      </c>
      <c r="H675" s="1" t="s">
        <v>4554</v>
      </c>
      <c r="I675" s="14" t="s">
        <v>2870</v>
      </c>
      <c r="J675" s="1" t="s">
        <v>3006</v>
      </c>
      <c r="K675" s="14" t="s">
        <v>3007</v>
      </c>
      <c r="L675" s="1" t="s">
        <v>3008</v>
      </c>
      <c r="M675" s="1" t="s">
        <v>3009</v>
      </c>
      <c r="N675" s="1">
        <v>1541</v>
      </c>
      <c r="O675" s="1" t="s">
        <v>976</v>
      </c>
      <c r="P675" s="5">
        <v>390</v>
      </c>
      <c r="Q675" s="5">
        <v>0</v>
      </c>
      <c r="R675" s="5">
        <v>390</v>
      </c>
      <c r="S675" s="5">
        <v>0</v>
      </c>
      <c r="T675" s="5" t="s">
        <v>24</v>
      </c>
      <c r="U675" s="5" t="s">
        <v>2528</v>
      </c>
      <c r="V675" s="5" t="s">
        <v>874</v>
      </c>
      <c r="AB675"/>
      <c r="AC675"/>
      <c r="AD675"/>
    </row>
    <row r="676" spans="1:30" x14ac:dyDescent="0.25">
      <c r="A676" t="s">
        <v>4757</v>
      </c>
      <c r="B676" t="s">
        <v>4758</v>
      </c>
      <c r="C676" s="9" t="s">
        <v>4759</v>
      </c>
      <c r="D676" s="9">
        <v>998091951</v>
      </c>
      <c r="E676" s="5" t="s">
        <v>3003</v>
      </c>
      <c r="F676" s="1" t="s">
        <v>3004</v>
      </c>
      <c r="G676" s="25">
        <v>44546</v>
      </c>
      <c r="H676" s="1" t="s">
        <v>3109</v>
      </c>
      <c r="I676" s="14" t="s">
        <v>2790</v>
      </c>
      <c r="J676" s="1" t="s">
        <v>3006</v>
      </c>
      <c r="K676" s="14" t="s">
        <v>3007</v>
      </c>
      <c r="L676" s="1" t="s">
        <v>3008</v>
      </c>
      <c r="M676" s="1" t="s">
        <v>3016</v>
      </c>
      <c r="N676" s="1">
        <v>1469</v>
      </c>
      <c r="O676" s="1" t="s">
        <v>976</v>
      </c>
      <c r="P676" s="5">
        <v>1750</v>
      </c>
      <c r="Q676" s="5">
        <v>0</v>
      </c>
      <c r="R676" s="5">
        <v>1750</v>
      </c>
      <c r="S676" s="5">
        <v>0</v>
      </c>
      <c r="T676" s="5" t="s">
        <v>5574</v>
      </c>
      <c r="U676" s="5" t="s">
        <v>2447</v>
      </c>
      <c r="V676" s="5" t="s">
        <v>244</v>
      </c>
      <c r="AB676"/>
      <c r="AC676"/>
      <c r="AD676"/>
    </row>
    <row r="677" spans="1:30" x14ac:dyDescent="0.25">
      <c r="A677" t="s">
        <v>4760</v>
      </c>
      <c r="B677" t="s">
        <v>4761</v>
      </c>
      <c r="C677" s="9" t="s">
        <v>4762</v>
      </c>
      <c r="D677" s="9">
        <v>995944224</v>
      </c>
      <c r="E677" s="5" t="s">
        <v>3003</v>
      </c>
      <c r="F677" s="1" t="s">
        <v>3004</v>
      </c>
      <c r="G677" s="25">
        <v>44343</v>
      </c>
      <c r="H677" s="1" t="s">
        <v>3610</v>
      </c>
      <c r="I677" s="14" t="s">
        <v>2841</v>
      </c>
      <c r="J677" s="1" t="s">
        <v>3006</v>
      </c>
      <c r="K677" s="14" t="s">
        <v>3007</v>
      </c>
      <c r="L677" s="1" t="s">
        <v>3008</v>
      </c>
      <c r="M677" s="1" t="s">
        <v>3016</v>
      </c>
      <c r="N677" s="1">
        <v>456</v>
      </c>
      <c r="O677" s="1" t="s">
        <v>976</v>
      </c>
      <c r="P677" s="5">
        <v>132.32</v>
      </c>
      <c r="Q677" s="5">
        <v>0</v>
      </c>
      <c r="R677" s="5">
        <v>119.8</v>
      </c>
      <c r="S677" s="5">
        <v>12.52</v>
      </c>
      <c r="T677" s="5">
        <v>41</v>
      </c>
      <c r="U677" s="5" t="s">
        <v>2482</v>
      </c>
      <c r="V677" s="5" t="s">
        <v>827</v>
      </c>
      <c r="AB677"/>
      <c r="AC677"/>
      <c r="AD677"/>
    </row>
    <row r="678" spans="1:30" x14ac:dyDescent="0.25">
      <c r="A678" t="s">
        <v>4763</v>
      </c>
      <c r="B678" t="s">
        <v>4764</v>
      </c>
      <c r="C678" s="9" t="s">
        <v>4765</v>
      </c>
      <c r="D678" s="9">
        <v>982395997</v>
      </c>
      <c r="E678" s="5" t="s">
        <v>3003</v>
      </c>
      <c r="F678" s="1" t="s">
        <v>3004</v>
      </c>
      <c r="G678" s="25">
        <v>44565</v>
      </c>
      <c r="H678" s="1" t="s">
        <v>3084</v>
      </c>
      <c r="I678" s="14" t="s">
        <v>2930</v>
      </c>
      <c r="J678" s="1" t="s">
        <v>3006</v>
      </c>
      <c r="K678" s="14" t="s">
        <v>3007</v>
      </c>
      <c r="L678" s="1" t="s">
        <v>3008</v>
      </c>
      <c r="M678" s="1" t="s">
        <v>3009</v>
      </c>
      <c r="N678" s="1">
        <v>1582</v>
      </c>
      <c r="O678" s="1" t="s">
        <v>976</v>
      </c>
      <c r="P678" s="5">
        <v>610</v>
      </c>
      <c r="Q678" s="5">
        <v>65</v>
      </c>
      <c r="R678" s="5">
        <v>650</v>
      </c>
      <c r="S678" s="5">
        <v>25</v>
      </c>
      <c r="T678" s="5" t="s">
        <v>23</v>
      </c>
      <c r="U678" s="5" t="s">
        <v>2482</v>
      </c>
      <c r="V678" s="5" t="s">
        <v>922</v>
      </c>
      <c r="AB678"/>
      <c r="AC678"/>
      <c r="AD678"/>
    </row>
    <row r="679" spans="1:30" x14ac:dyDescent="0.25">
      <c r="A679" t="s">
        <v>4766</v>
      </c>
      <c r="B679" t="s">
        <v>4767</v>
      </c>
      <c r="C679" s="9" t="s">
        <v>4768</v>
      </c>
      <c r="D679" s="9">
        <v>995608281</v>
      </c>
      <c r="E679" s="5" t="s">
        <v>3003</v>
      </c>
      <c r="F679" s="1" t="s">
        <v>3974</v>
      </c>
      <c r="G679" s="25">
        <v>44566</v>
      </c>
      <c r="H679" s="1" t="s">
        <v>3109</v>
      </c>
      <c r="I679" s="14" t="s">
        <v>2790</v>
      </c>
      <c r="J679" s="1" t="s">
        <v>3006</v>
      </c>
      <c r="K679" s="14" t="s">
        <v>3007</v>
      </c>
      <c r="L679" s="1" t="s">
        <v>3008</v>
      </c>
      <c r="M679" s="1" t="s">
        <v>3009</v>
      </c>
      <c r="N679" s="1">
        <v>1588</v>
      </c>
      <c r="O679" s="1" t="s">
        <v>976</v>
      </c>
      <c r="P679" s="5">
        <v>1774.28</v>
      </c>
      <c r="Q679" s="5">
        <v>0</v>
      </c>
      <c r="R679" s="5">
        <v>1750</v>
      </c>
      <c r="S679" s="5">
        <v>24.28</v>
      </c>
      <c r="T679" s="5" t="s">
        <v>5574</v>
      </c>
      <c r="U679" s="5" t="s">
        <v>2447</v>
      </c>
      <c r="V679" s="5" t="s">
        <v>244</v>
      </c>
      <c r="AB679"/>
      <c r="AC679"/>
      <c r="AD679"/>
    </row>
    <row r="680" spans="1:30" x14ac:dyDescent="0.25">
      <c r="A680" t="s">
        <v>4769</v>
      </c>
      <c r="B680" t="s">
        <v>4770</v>
      </c>
      <c r="C680" s="9" t="s">
        <v>4771</v>
      </c>
      <c r="D680" s="9">
        <v>996896565</v>
      </c>
      <c r="E680" s="5" t="s">
        <v>3073</v>
      </c>
      <c r="F680" s="1" t="s">
        <v>4772</v>
      </c>
      <c r="G680" s="25">
        <v>44430</v>
      </c>
      <c r="H680" s="1" t="s">
        <v>4773</v>
      </c>
      <c r="I680" s="14" t="s">
        <v>1415</v>
      </c>
      <c r="J680" s="1" t="s">
        <v>3006</v>
      </c>
      <c r="K680" s="14" t="s">
        <v>3007</v>
      </c>
      <c r="L680" s="1" t="s">
        <v>3008</v>
      </c>
      <c r="M680" s="1" t="s">
        <v>3016</v>
      </c>
      <c r="N680" s="1">
        <v>799</v>
      </c>
      <c r="O680" s="1" t="s">
        <v>976</v>
      </c>
      <c r="P680" s="5">
        <v>434.59</v>
      </c>
      <c r="Q680" s="5">
        <v>0</v>
      </c>
      <c r="R680" s="5">
        <v>390</v>
      </c>
      <c r="S680" s="5">
        <v>44.59</v>
      </c>
      <c r="T680" s="5" t="s">
        <v>25</v>
      </c>
      <c r="U680" s="5" t="s">
        <v>2495</v>
      </c>
      <c r="V680" s="5" t="s">
        <v>843</v>
      </c>
      <c r="AB680"/>
      <c r="AC680"/>
      <c r="AD680"/>
    </row>
    <row r="681" spans="1:30" x14ac:dyDescent="0.25">
      <c r="A681" t="s">
        <v>4769</v>
      </c>
      <c r="B681" t="s">
        <v>4770</v>
      </c>
      <c r="C681" s="9" t="s">
        <v>4771</v>
      </c>
      <c r="D681" s="9">
        <v>996896565</v>
      </c>
      <c r="E681" s="5" t="s">
        <v>3073</v>
      </c>
      <c r="F681" s="1" t="s">
        <v>4772</v>
      </c>
      <c r="G681" s="25">
        <v>44449</v>
      </c>
      <c r="H681" s="1" t="s">
        <v>4774</v>
      </c>
      <c r="I681" s="14" t="s">
        <v>228</v>
      </c>
      <c r="J681" s="1" t="s">
        <v>3006</v>
      </c>
      <c r="K681" s="14" t="s">
        <v>3007</v>
      </c>
      <c r="L681" s="1" t="s">
        <v>3008</v>
      </c>
      <c r="M681" s="1" t="s">
        <v>3009</v>
      </c>
      <c r="N681" s="1">
        <v>889</v>
      </c>
      <c r="O681" s="1" t="s">
        <v>976</v>
      </c>
      <c r="P681" s="5">
        <v>390</v>
      </c>
      <c r="Q681" s="5">
        <v>0</v>
      </c>
      <c r="R681" s="5">
        <v>390</v>
      </c>
      <c r="S681" s="5">
        <v>0</v>
      </c>
      <c r="T681" s="5" t="s">
        <v>24</v>
      </c>
      <c r="V681" s="5" t="s">
        <v>228</v>
      </c>
      <c r="AB681"/>
      <c r="AC681"/>
      <c r="AD681"/>
    </row>
    <row r="682" spans="1:30" x14ac:dyDescent="0.25">
      <c r="A682" t="s">
        <v>4775</v>
      </c>
      <c r="B682" t="s">
        <v>4776</v>
      </c>
      <c r="C682" s="9" t="s">
        <v>4777</v>
      </c>
      <c r="D682" s="9">
        <v>998684369</v>
      </c>
      <c r="E682" s="5" t="s">
        <v>3133</v>
      </c>
      <c r="F682" s="1" t="s">
        <v>3248</v>
      </c>
      <c r="G682" s="25">
        <v>44568</v>
      </c>
      <c r="H682" s="1" t="s">
        <v>3075</v>
      </c>
      <c r="I682" s="14" t="s">
        <v>2791</v>
      </c>
      <c r="J682" s="1" t="s">
        <v>3006</v>
      </c>
      <c r="K682" s="14" t="s">
        <v>3007</v>
      </c>
      <c r="L682" s="1" t="s">
        <v>3008</v>
      </c>
      <c r="M682" s="1" t="s">
        <v>3009</v>
      </c>
      <c r="N682" s="1">
        <v>1610</v>
      </c>
      <c r="O682" s="1" t="s">
        <v>976</v>
      </c>
      <c r="P682" s="5">
        <v>1530.38</v>
      </c>
      <c r="Q682" s="5">
        <v>166.5</v>
      </c>
      <c r="R682" s="5">
        <v>1665</v>
      </c>
      <c r="S682" s="5">
        <v>31.88</v>
      </c>
      <c r="T682" s="5" t="s">
        <v>22</v>
      </c>
      <c r="U682" s="5" t="s">
        <v>2443</v>
      </c>
      <c r="V682" s="5" t="s">
        <v>763</v>
      </c>
      <c r="AB682"/>
      <c r="AC682"/>
      <c r="AD682"/>
    </row>
    <row r="683" spans="1:30" x14ac:dyDescent="0.25">
      <c r="A683" t="s">
        <v>4778</v>
      </c>
      <c r="B683" t="s">
        <v>4779</v>
      </c>
      <c r="C683" s="9" t="s">
        <v>4780</v>
      </c>
      <c r="D683" s="9">
        <v>986283225</v>
      </c>
      <c r="E683" s="5" t="s">
        <v>3041</v>
      </c>
      <c r="F683" s="1" t="s">
        <v>3042</v>
      </c>
      <c r="G683" s="25">
        <v>44330</v>
      </c>
      <c r="H683" s="1" t="s">
        <v>3015</v>
      </c>
      <c r="I683" s="14" t="s">
        <v>252</v>
      </c>
      <c r="J683" s="1" t="s">
        <v>3006</v>
      </c>
      <c r="K683" s="14" t="s">
        <v>3007</v>
      </c>
      <c r="L683" s="1" t="s">
        <v>3008</v>
      </c>
      <c r="M683" s="1" t="s">
        <v>3009</v>
      </c>
      <c r="N683" s="1">
        <v>417</v>
      </c>
      <c r="O683" s="1" t="s">
        <v>976</v>
      </c>
      <c r="P683" s="5">
        <v>1080</v>
      </c>
      <c r="Q683" s="5">
        <v>120</v>
      </c>
      <c r="R683" s="5">
        <v>1200</v>
      </c>
      <c r="S683" s="5">
        <v>0</v>
      </c>
      <c r="T683" s="5" t="s">
        <v>22</v>
      </c>
      <c r="V683" s="5" t="s">
        <v>252</v>
      </c>
      <c r="AB683"/>
      <c r="AC683"/>
      <c r="AD683"/>
    </row>
    <row r="684" spans="1:30" x14ac:dyDescent="0.25">
      <c r="A684" t="s">
        <v>4781</v>
      </c>
      <c r="B684" t="s">
        <v>4782</v>
      </c>
      <c r="C684" s="9" t="s">
        <v>4783</v>
      </c>
      <c r="D684" s="9">
        <v>991059096</v>
      </c>
      <c r="E684" s="5" t="s">
        <v>3133</v>
      </c>
      <c r="F684" s="1" t="s">
        <v>4784</v>
      </c>
      <c r="G684" s="25">
        <v>44363</v>
      </c>
      <c r="H684" s="1" t="s">
        <v>3698</v>
      </c>
      <c r="I684" s="14" t="s">
        <v>258</v>
      </c>
      <c r="J684" s="1" t="s">
        <v>3006</v>
      </c>
      <c r="K684" s="14" t="s">
        <v>3007</v>
      </c>
      <c r="L684" s="1" t="s">
        <v>3008</v>
      </c>
      <c r="M684" s="1" t="s">
        <v>3016</v>
      </c>
      <c r="N684" s="1">
        <v>518</v>
      </c>
      <c r="O684" s="1" t="s">
        <v>976</v>
      </c>
      <c r="P684" s="5">
        <v>259.27999999999997</v>
      </c>
      <c r="Q684" s="5">
        <v>0</v>
      </c>
      <c r="R684" s="5">
        <v>230</v>
      </c>
      <c r="S684" s="5">
        <v>29.28</v>
      </c>
      <c r="T684" s="5" t="s">
        <v>25</v>
      </c>
      <c r="V684" s="5" t="s">
        <v>258</v>
      </c>
      <c r="AB684"/>
      <c r="AC684"/>
      <c r="AD684"/>
    </row>
    <row r="685" spans="1:30" x14ac:dyDescent="0.25">
      <c r="A685" t="s">
        <v>4785</v>
      </c>
      <c r="B685" t="s">
        <v>4786</v>
      </c>
      <c r="C685" s="9" t="s">
        <v>4787</v>
      </c>
      <c r="D685" s="9">
        <v>96379843</v>
      </c>
      <c r="E685" s="5" t="s">
        <v>3148</v>
      </c>
      <c r="F685" s="1" t="s">
        <v>3149</v>
      </c>
      <c r="G685" s="25">
        <v>44252</v>
      </c>
      <c r="H685" s="1" t="s">
        <v>4565</v>
      </c>
      <c r="I685" s="14" t="s">
        <v>2963</v>
      </c>
      <c r="J685" s="1" t="s">
        <v>3006</v>
      </c>
      <c r="K685" s="14" t="s">
        <v>3007</v>
      </c>
      <c r="L685" s="1" t="s">
        <v>3008</v>
      </c>
      <c r="M685" s="1" t="s">
        <v>3009</v>
      </c>
      <c r="N685" s="1">
        <v>229</v>
      </c>
      <c r="O685" s="1" t="s">
        <v>976</v>
      </c>
      <c r="P685" s="5">
        <v>829.9</v>
      </c>
      <c r="Q685" s="5">
        <v>0</v>
      </c>
      <c r="R685" s="5">
        <v>770</v>
      </c>
      <c r="S685" s="5">
        <v>59.9</v>
      </c>
      <c r="T685" s="5">
        <v>42</v>
      </c>
      <c r="U685" s="5" t="s">
        <v>2443</v>
      </c>
      <c r="V685" s="5" t="s">
        <v>934</v>
      </c>
      <c r="AB685"/>
      <c r="AC685"/>
      <c r="AD685"/>
    </row>
    <row r="686" spans="1:30" x14ac:dyDescent="0.25">
      <c r="A686" t="s">
        <v>4788</v>
      </c>
      <c r="B686" t="s">
        <v>4789</v>
      </c>
      <c r="C686" s="9" t="s">
        <v>4790</v>
      </c>
      <c r="D686" s="9">
        <v>963226045</v>
      </c>
      <c r="E686" s="5" t="s">
        <v>3003</v>
      </c>
      <c r="F686" s="1" t="s">
        <v>3004</v>
      </c>
      <c r="G686" s="25">
        <v>44216</v>
      </c>
      <c r="H686" s="1" t="s">
        <v>3170</v>
      </c>
      <c r="I686" s="14" t="s">
        <v>2822</v>
      </c>
      <c r="J686" s="1" t="s">
        <v>3006</v>
      </c>
      <c r="K686" s="14" t="s">
        <v>3007</v>
      </c>
      <c r="L686" s="1" t="s">
        <v>3008</v>
      </c>
      <c r="M686" s="1" t="s">
        <v>3016</v>
      </c>
      <c r="N686" s="1">
        <v>167</v>
      </c>
      <c r="O686" s="1" t="s">
        <v>976</v>
      </c>
      <c r="P686" s="5">
        <v>208.25</v>
      </c>
      <c r="Q686" s="5">
        <v>36.75</v>
      </c>
      <c r="R686" s="5">
        <v>245</v>
      </c>
      <c r="S686" s="5">
        <v>0</v>
      </c>
      <c r="T686" s="5" t="s">
        <v>23</v>
      </c>
      <c r="U686" s="5" t="s">
        <v>2508</v>
      </c>
      <c r="V686" s="5" t="s">
        <v>801</v>
      </c>
      <c r="AB686"/>
      <c r="AC686"/>
      <c r="AD686"/>
    </row>
    <row r="687" spans="1:30" x14ac:dyDescent="0.25">
      <c r="A687" t="s">
        <v>4788</v>
      </c>
      <c r="B687" t="s">
        <v>4789</v>
      </c>
      <c r="C687" s="9" t="s">
        <v>4790</v>
      </c>
      <c r="D687" s="9">
        <v>963226045</v>
      </c>
      <c r="E687" s="5" t="s">
        <v>3003</v>
      </c>
      <c r="F687" s="1" t="s">
        <v>3004</v>
      </c>
      <c r="G687" s="25">
        <v>44216</v>
      </c>
      <c r="H687" s="1" t="s">
        <v>4791</v>
      </c>
      <c r="I687" s="14" t="s">
        <v>2822</v>
      </c>
      <c r="J687" s="1" t="s">
        <v>3006</v>
      </c>
      <c r="K687" s="14" t="s">
        <v>3007</v>
      </c>
      <c r="L687" s="1" t="s">
        <v>3008</v>
      </c>
      <c r="M687" s="1" t="s">
        <v>3016</v>
      </c>
      <c r="N687" s="1">
        <v>167</v>
      </c>
      <c r="O687" s="1" t="s">
        <v>976</v>
      </c>
      <c r="P687" s="5">
        <v>296.64999999999998</v>
      </c>
      <c r="Q687" s="5">
        <v>52.35</v>
      </c>
      <c r="R687" s="5">
        <v>349</v>
      </c>
      <c r="S687" s="5">
        <v>0</v>
      </c>
      <c r="T687" s="5" t="s">
        <v>5577</v>
      </c>
      <c r="U687" s="5" t="s">
        <v>2443</v>
      </c>
      <c r="V687" s="5" t="s">
        <v>805</v>
      </c>
      <c r="AB687"/>
      <c r="AC687"/>
      <c r="AD687"/>
    </row>
    <row r="688" spans="1:30" x14ac:dyDescent="0.25">
      <c r="A688" t="s">
        <v>4788</v>
      </c>
      <c r="B688" t="s">
        <v>4789</v>
      </c>
      <c r="C688" s="9" t="s">
        <v>4790</v>
      </c>
      <c r="D688" s="9">
        <v>963226045</v>
      </c>
      <c r="E688" s="5" t="s">
        <v>3003</v>
      </c>
      <c r="F688" s="1" t="s">
        <v>3004</v>
      </c>
      <c r="G688" s="25">
        <v>44592</v>
      </c>
      <c r="H688" s="1" t="s">
        <v>3257</v>
      </c>
      <c r="I688" s="14" t="s">
        <v>564</v>
      </c>
      <c r="J688" s="1" t="s">
        <v>3006</v>
      </c>
      <c r="K688" s="14" t="s">
        <v>3007</v>
      </c>
      <c r="L688" s="1" t="s">
        <v>3008</v>
      </c>
      <c r="M688" s="1" t="s">
        <v>3009</v>
      </c>
      <c r="N688" s="1">
        <v>1737</v>
      </c>
      <c r="O688" s="1" t="s">
        <v>976</v>
      </c>
      <c r="P688" s="5">
        <v>493</v>
      </c>
      <c r="Q688" s="5">
        <v>87</v>
      </c>
      <c r="R688" s="5">
        <v>580</v>
      </c>
      <c r="S688" s="5">
        <v>0</v>
      </c>
      <c r="T688" s="5">
        <v>38</v>
      </c>
      <c r="V688" s="5" t="s">
        <v>564</v>
      </c>
      <c r="AB688"/>
      <c r="AC688"/>
      <c r="AD688"/>
    </row>
    <row r="689" spans="1:30" x14ac:dyDescent="0.25">
      <c r="A689" t="s">
        <v>4788</v>
      </c>
      <c r="B689" t="s">
        <v>4789</v>
      </c>
      <c r="C689" s="9" t="s">
        <v>4790</v>
      </c>
      <c r="D689" s="9">
        <v>963226045</v>
      </c>
      <c r="E689" s="5" t="s">
        <v>3003</v>
      </c>
      <c r="F689" s="1" t="s">
        <v>3004</v>
      </c>
      <c r="G689" s="25">
        <v>44592</v>
      </c>
      <c r="H689" s="1" t="s">
        <v>3234</v>
      </c>
      <c r="I689" s="14" t="s">
        <v>520</v>
      </c>
      <c r="J689" s="1" t="s">
        <v>3006</v>
      </c>
      <c r="K689" s="14" t="s">
        <v>3007</v>
      </c>
      <c r="L689" s="1" t="s">
        <v>3008</v>
      </c>
      <c r="M689" s="1" t="s">
        <v>3009</v>
      </c>
      <c r="N689" s="1">
        <v>1737</v>
      </c>
      <c r="O689" s="1" t="s">
        <v>976</v>
      </c>
      <c r="P689" s="5">
        <v>229.5</v>
      </c>
      <c r="Q689" s="5">
        <v>40.5</v>
      </c>
      <c r="R689" s="5">
        <v>270</v>
      </c>
      <c r="S689" s="5">
        <v>0</v>
      </c>
      <c r="T689" s="5" t="s">
        <v>24</v>
      </c>
      <c r="V689" s="5" t="s">
        <v>520</v>
      </c>
      <c r="AB689"/>
      <c r="AC689"/>
      <c r="AD689"/>
    </row>
    <row r="690" spans="1:30" x14ac:dyDescent="0.25">
      <c r="A690" t="s">
        <v>4792</v>
      </c>
      <c r="B690" t="s">
        <v>4793</v>
      </c>
      <c r="C690" s="9" t="s">
        <v>4794</v>
      </c>
      <c r="D690" s="9">
        <v>996585572</v>
      </c>
      <c r="E690" s="5" t="s">
        <v>3003</v>
      </c>
      <c r="F690" s="1" t="s">
        <v>3004</v>
      </c>
      <c r="G690" s="25">
        <v>44536</v>
      </c>
      <c r="H690" s="1" t="s">
        <v>3027</v>
      </c>
      <c r="I690" s="14" t="s">
        <v>254</v>
      </c>
      <c r="J690" s="1" t="s">
        <v>3006</v>
      </c>
      <c r="K690" s="14" t="s">
        <v>3007</v>
      </c>
      <c r="L690" s="1" t="s">
        <v>3008</v>
      </c>
      <c r="M690" s="1" t="s">
        <v>3009</v>
      </c>
      <c r="N690" s="1">
        <v>1355</v>
      </c>
      <c r="O690" s="1" t="s">
        <v>976</v>
      </c>
      <c r="P690" s="5">
        <v>1242</v>
      </c>
      <c r="Q690" s="5">
        <v>138</v>
      </c>
      <c r="R690" s="5">
        <v>1380</v>
      </c>
      <c r="S690" s="5">
        <v>0</v>
      </c>
      <c r="T690" s="5" t="s">
        <v>22</v>
      </c>
      <c r="V690" s="5" t="s">
        <v>254</v>
      </c>
      <c r="AB690"/>
      <c r="AC690"/>
      <c r="AD690"/>
    </row>
    <row r="691" spans="1:30" x14ac:dyDescent="0.25">
      <c r="A691" t="s">
        <v>4795</v>
      </c>
      <c r="B691" t="s">
        <v>4796</v>
      </c>
      <c r="C691" s="9" t="s">
        <v>4797</v>
      </c>
      <c r="D691" s="9" t="s">
        <v>4798</v>
      </c>
      <c r="E691" s="5" t="s">
        <v>3644</v>
      </c>
      <c r="F691" s="1" t="s">
        <v>3645</v>
      </c>
      <c r="G691" s="25">
        <v>44578</v>
      </c>
      <c r="H691" s="1" t="s">
        <v>4799</v>
      </c>
      <c r="I691" s="14" t="s">
        <v>521</v>
      </c>
      <c r="J691" s="1" t="s">
        <v>3006</v>
      </c>
      <c r="K691" s="14" t="s">
        <v>3007</v>
      </c>
      <c r="L691" s="1" t="s">
        <v>3008</v>
      </c>
      <c r="M691" s="1" t="s">
        <v>3009</v>
      </c>
      <c r="N691" s="1">
        <v>1667</v>
      </c>
      <c r="O691" s="1" t="s">
        <v>976</v>
      </c>
      <c r="P691" s="5">
        <v>333.06</v>
      </c>
      <c r="Q691" s="5">
        <v>0</v>
      </c>
      <c r="R691" s="5">
        <v>270</v>
      </c>
      <c r="S691" s="5">
        <v>63.06</v>
      </c>
      <c r="T691" s="5" t="s">
        <v>25</v>
      </c>
      <c r="V691" s="5" t="s">
        <v>521</v>
      </c>
      <c r="AB691"/>
      <c r="AC691"/>
      <c r="AD691"/>
    </row>
    <row r="692" spans="1:30" x14ac:dyDescent="0.25">
      <c r="A692" t="s">
        <v>4800</v>
      </c>
      <c r="B692" t="s">
        <v>4801</v>
      </c>
      <c r="C692" s="9" t="s">
        <v>4802</v>
      </c>
      <c r="D692" s="9">
        <v>991960064</v>
      </c>
      <c r="E692" s="5" t="s">
        <v>3003</v>
      </c>
      <c r="F692" s="1" t="s">
        <v>4803</v>
      </c>
      <c r="G692" s="25">
        <v>44364</v>
      </c>
      <c r="H692" s="1" t="s">
        <v>3343</v>
      </c>
      <c r="I692" s="14" t="s">
        <v>253</v>
      </c>
      <c r="J692" s="1" t="s">
        <v>3006</v>
      </c>
      <c r="K692" s="14" t="s">
        <v>3007</v>
      </c>
      <c r="L692" s="1" t="s">
        <v>3008</v>
      </c>
      <c r="M692" s="1" t="s">
        <v>3009</v>
      </c>
      <c r="N692" s="1">
        <v>527</v>
      </c>
      <c r="O692" s="1" t="s">
        <v>976</v>
      </c>
      <c r="P692" s="5">
        <v>1462.02</v>
      </c>
      <c r="Q692" s="5">
        <v>159.5</v>
      </c>
      <c r="R692" s="5">
        <v>1595</v>
      </c>
      <c r="S692" s="5">
        <v>26.52</v>
      </c>
      <c r="T692" s="5" t="s">
        <v>24</v>
      </c>
      <c r="V692" s="5" t="s">
        <v>253</v>
      </c>
      <c r="AB692"/>
      <c r="AC692"/>
      <c r="AD692"/>
    </row>
    <row r="693" spans="1:30" x14ac:dyDescent="0.25">
      <c r="A693" t="s">
        <v>4804</v>
      </c>
      <c r="B693" t="s">
        <v>4805</v>
      </c>
      <c r="C693" s="9" t="s">
        <v>4806</v>
      </c>
      <c r="D693" s="9">
        <v>988582529</v>
      </c>
      <c r="E693" s="5" t="s">
        <v>3003</v>
      </c>
      <c r="F693" s="1" t="s">
        <v>3004</v>
      </c>
      <c r="G693" s="25">
        <v>44179</v>
      </c>
      <c r="H693" s="1" t="s">
        <v>4690</v>
      </c>
      <c r="I693" s="14" t="s">
        <v>2859</v>
      </c>
      <c r="J693" s="1" t="s">
        <v>3006</v>
      </c>
      <c r="K693" s="14" t="s">
        <v>3007</v>
      </c>
      <c r="L693" s="1" t="s">
        <v>3008</v>
      </c>
      <c r="M693" s="1" t="s">
        <v>3009</v>
      </c>
      <c r="N693" s="1">
        <v>90</v>
      </c>
      <c r="O693" s="1" t="s">
        <v>976</v>
      </c>
      <c r="P693" s="5">
        <v>721.3</v>
      </c>
      <c r="Q693" s="5">
        <v>0</v>
      </c>
      <c r="R693" s="5">
        <v>710</v>
      </c>
      <c r="S693" s="5">
        <v>11.3</v>
      </c>
      <c r="T693" s="5" t="s">
        <v>23</v>
      </c>
      <c r="U693" s="5" t="s">
        <v>2472</v>
      </c>
      <c r="V693" s="5" t="s">
        <v>854</v>
      </c>
      <c r="AB693"/>
      <c r="AC693"/>
      <c r="AD693"/>
    </row>
    <row r="694" spans="1:30" x14ac:dyDescent="0.25">
      <c r="A694" t="s">
        <v>4804</v>
      </c>
      <c r="B694" t="s">
        <v>4805</v>
      </c>
      <c r="C694" s="9" t="s">
        <v>4806</v>
      </c>
      <c r="D694" s="9">
        <v>988582529</v>
      </c>
      <c r="E694" s="5" t="s">
        <v>3003</v>
      </c>
      <c r="F694" s="1" t="s">
        <v>3004</v>
      </c>
      <c r="G694" s="25">
        <v>44179</v>
      </c>
      <c r="H694" s="1" t="s">
        <v>4205</v>
      </c>
      <c r="I694" s="14" t="s">
        <v>2868</v>
      </c>
      <c r="J694" s="1" t="s">
        <v>3006</v>
      </c>
      <c r="K694" s="14" t="s">
        <v>3007</v>
      </c>
      <c r="L694" s="1" t="s">
        <v>3008</v>
      </c>
      <c r="M694" s="1" t="s">
        <v>3009</v>
      </c>
      <c r="N694" s="1">
        <v>90</v>
      </c>
      <c r="O694" s="1" t="s">
        <v>976</v>
      </c>
      <c r="P694" s="5">
        <v>289.54000000000002</v>
      </c>
      <c r="Q694" s="5">
        <v>0</v>
      </c>
      <c r="R694" s="5">
        <v>285</v>
      </c>
      <c r="S694" s="5">
        <v>4.54</v>
      </c>
      <c r="T694" s="5" t="s">
        <v>23</v>
      </c>
      <c r="U694" s="5" t="s">
        <v>2443</v>
      </c>
      <c r="V694" s="5" t="s">
        <v>870</v>
      </c>
      <c r="AB694"/>
      <c r="AC694"/>
      <c r="AD694"/>
    </row>
    <row r="695" spans="1:30" x14ac:dyDescent="0.25">
      <c r="A695" t="s">
        <v>4807</v>
      </c>
      <c r="B695" t="s">
        <v>4808</v>
      </c>
      <c r="C695" s="9" t="s">
        <v>4809</v>
      </c>
      <c r="D695" s="9">
        <v>988620734</v>
      </c>
      <c r="E695" s="5" t="s">
        <v>3514</v>
      </c>
      <c r="F695" s="1" t="s">
        <v>4083</v>
      </c>
      <c r="G695" s="25">
        <v>44417</v>
      </c>
      <c r="H695" s="1" t="s">
        <v>3027</v>
      </c>
      <c r="I695" s="14" t="s">
        <v>254</v>
      </c>
      <c r="J695" s="1" t="s">
        <v>3006</v>
      </c>
      <c r="K695" s="14" t="s">
        <v>3007</v>
      </c>
      <c r="L695" s="1" t="s">
        <v>3008</v>
      </c>
      <c r="M695" s="1" t="s">
        <v>3009</v>
      </c>
      <c r="N695" s="1">
        <v>752</v>
      </c>
      <c r="O695" s="1" t="s">
        <v>976</v>
      </c>
      <c r="P695" s="5">
        <v>1352.74</v>
      </c>
      <c r="Q695" s="5">
        <v>0</v>
      </c>
      <c r="R695" s="5">
        <v>1330</v>
      </c>
      <c r="S695" s="5">
        <v>22.74</v>
      </c>
      <c r="T695" s="5" t="s">
        <v>22</v>
      </c>
      <c r="V695" s="5" t="s">
        <v>254</v>
      </c>
      <c r="AB695"/>
      <c r="AC695"/>
      <c r="AD695"/>
    </row>
    <row r="696" spans="1:30" x14ac:dyDescent="0.25">
      <c r="A696" t="s">
        <v>4810</v>
      </c>
      <c r="B696" t="s">
        <v>4811</v>
      </c>
      <c r="C696" s="9" t="s">
        <v>4812</v>
      </c>
      <c r="D696" s="9">
        <v>999124899</v>
      </c>
      <c r="E696" s="5" t="s">
        <v>3041</v>
      </c>
      <c r="F696" s="1" t="s">
        <v>3042</v>
      </c>
      <c r="G696" s="25">
        <v>44403</v>
      </c>
      <c r="H696" s="1" t="s">
        <v>3027</v>
      </c>
      <c r="I696" s="14" t="s">
        <v>254</v>
      </c>
      <c r="J696" s="1" t="s">
        <v>3006</v>
      </c>
      <c r="K696" s="14" t="s">
        <v>3007</v>
      </c>
      <c r="L696" s="1" t="s">
        <v>3008</v>
      </c>
      <c r="M696" s="1" t="s">
        <v>3009</v>
      </c>
      <c r="N696" s="1">
        <v>695</v>
      </c>
      <c r="O696" s="1" t="s">
        <v>976</v>
      </c>
      <c r="P696" s="5">
        <v>1234.99</v>
      </c>
      <c r="Q696" s="5">
        <v>133</v>
      </c>
      <c r="R696" s="5">
        <v>1330</v>
      </c>
      <c r="S696" s="5">
        <v>37.99</v>
      </c>
      <c r="T696" s="5" t="s">
        <v>22</v>
      </c>
      <c r="V696" s="5" t="s">
        <v>254</v>
      </c>
      <c r="AB696"/>
      <c r="AC696"/>
      <c r="AD696"/>
    </row>
    <row r="697" spans="1:30" x14ac:dyDescent="0.25">
      <c r="A697" t="s">
        <v>4813</v>
      </c>
      <c r="B697" t="s">
        <v>4814</v>
      </c>
      <c r="C697" s="9" t="s">
        <v>4815</v>
      </c>
      <c r="D697" s="9">
        <v>999817700</v>
      </c>
      <c r="E697" s="5" t="s">
        <v>3514</v>
      </c>
      <c r="F697" s="1" t="s">
        <v>3515</v>
      </c>
      <c r="G697" s="25">
        <v>44457</v>
      </c>
      <c r="H697" s="1" t="s">
        <v>3075</v>
      </c>
      <c r="I697" s="14" t="s">
        <v>2791</v>
      </c>
      <c r="J697" s="1" t="s">
        <v>3006</v>
      </c>
      <c r="K697" s="14" t="s">
        <v>3007</v>
      </c>
      <c r="L697" s="1" t="s">
        <v>3008</v>
      </c>
      <c r="M697" s="1" t="s">
        <v>3016</v>
      </c>
      <c r="N697" s="1">
        <v>942</v>
      </c>
      <c r="O697" s="1" t="s">
        <v>976</v>
      </c>
      <c r="P697" s="5">
        <v>1219.74</v>
      </c>
      <c r="Q697" s="5">
        <v>133</v>
      </c>
      <c r="R697" s="5">
        <v>1330</v>
      </c>
      <c r="S697" s="5">
        <v>22.74</v>
      </c>
      <c r="T697" s="5" t="s">
        <v>22</v>
      </c>
      <c r="U697" s="5" t="s">
        <v>2443</v>
      </c>
      <c r="V697" s="5" t="s">
        <v>763</v>
      </c>
      <c r="AB697"/>
      <c r="AC697"/>
      <c r="AD697"/>
    </row>
    <row r="698" spans="1:30" x14ac:dyDescent="0.25">
      <c r="A698" t="s">
        <v>4816</v>
      </c>
      <c r="B698" t="s">
        <v>4817</v>
      </c>
      <c r="C698" s="9" t="s">
        <v>4818</v>
      </c>
      <c r="D698" s="9">
        <v>999181626</v>
      </c>
      <c r="E698" s="5" t="s">
        <v>3003</v>
      </c>
      <c r="F698" s="1" t="s">
        <v>3004</v>
      </c>
      <c r="G698" s="25">
        <v>44450</v>
      </c>
      <c r="H698" s="1" t="s">
        <v>4819</v>
      </c>
      <c r="I698" s="14" t="s">
        <v>2940</v>
      </c>
      <c r="J698" s="1" t="s">
        <v>3006</v>
      </c>
      <c r="K698" s="14" t="s">
        <v>3007</v>
      </c>
      <c r="L698" s="1" t="s">
        <v>3008</v>
      </c>
      <c r="M698" s="1" t="s">
        <v>3009</v>
      </c>
      <c r="N698" s="1">
        <v>904</v>
      </c>
      <c r="O698" s="1" t="s">
        <v>976</v>
      </c>
      <c r="P698" s="5">
        <v>175</v>
      </c>
      <c r="Q698" s="5">
        <v>615</v>
      </c>
      <c r="R698" s="5">
        <v>790</v>
      </c>
      <c r="S698" s="5">
        <v>0</v>
      </c>
      <c r="T698" s="5">
        <v>36</v>
      </c>
      <c r="U698" s="5" t="s">
        <v>2495</v>
      </c>
      <c r="V698" s="5" t="s">
        <v>924</v>
      </c>
      <c r="AB698"/>
      <c r="AC698"/>
      <c r="AD698"/>
    </row>
    <row r="699" spans="1:30" x14ac:dyDescent="0.25">
      <c r="A699" t="s">
        <v>4820</v>
      </c>
      <c r="B699" t="s">
        <v>4821</v>
      </c>
      <c r="C699" s="9" t="s">
        <v>4822</v>
      </c>
      <c r="D699" s="9">
        <v>995358845</v>
      </c>
      <c r="E699" s="5" t="s">
        <v>3003</v>
      </c>
      <c r="F699" s="1" t="s">
        <v>3004</v>
      </c>
      <c r="G699" s="25">
        <v>44374</v>
      </c>
      <c r="H699" s="1" t="s">
        <v>3298</v>
      </c>
      <c r="I699" s="14" t="s">
        <v>557</v>
      </c>
      <c r="J699" s="1" t="s">
        <v>3006</v>
      </c>
      <c r="K699" s="14" t="s">
        <v>3007</v>
      </c>
      <c r="L699" s="1" t="s">
        <v>3008</v>
      </c>
      <c r="M699" s="1" t="s">
        <v>3016</v>
      </c>
      <c r="N699" s="1">
        <v>554</v>
      </c>
      <c r="O699" s="1" t="s">
        <v>976</v>
      </c>
      <c r="P699" s="5">
        <v>173.66</v>
      </c>
      <c r="Q699" s="5">
        <v>18</v>
      </c>
      <c r="R699" s="5">
        <v>180</v>
      </c>
      <c r="S699" s="5">
        <v>11.66</v>
      </c>
      <c r="T699" s="5" t="s">
        <v>24</v>
      </c>
      <c r="V699" s="5" t="s">
        <v>557</v>
      </c>
      <c r="AB699"/>
      <c r="AC699"/>
      <c r="AD699"/>
    </row>
    <row r="700" spans="1:30" x14ac:dyDescent="0.25">
      <c r="A700" t="s">
        <v>4823</v>
      </c>
      <c r="B700" t="s">
        <v>4824</v>
      </c>
      <c r="C700" s="9" t="s">
        <v>4825</v>
      </c>
      <c r="D700" s="9">
        <v>984750877</v>
      </c>
      <c r="E700" s="5" t="s">
        <v>3041</v>
      </c>
      <c r="F700" s="1" t="s">
        <v>3042</v>
      </c>
      <c r="G700" s="25">
        <v>44592</v>
      </c>
      <c r="H700" s="1" t="s">
        <v>3015</v>
      </c>
      <c r="I700" s="14" t="s">
        <v>252</v>
      </c>
      <c r="J700" s="1" t="s">
        <v>3006</v>
      </c>
      <c r="K700" s="14" t="s">
        <v>3007</v>
      </c>
      <c r="L700" s="1" t="s">
        <v>3008</v>
      </c>
      <c r="M700" s="1" t="s">
        <v>3016</v>
      </c>
      <c r="N700" s="1">
        <v>1735</v>
      </c>
      <c r="O700" s="1" t="s">
        <v>976</v>
      </c>
      <c r="P700" s="5">
        <v>1712.42</v>
      </c>
      <c r="Q700" s="5">
        <v>0</v>
      </c>
      <c r="R700" s="5">
        <v>1665</v>
      </c>
      <c r="S700" s="5">
        <v>47.42</v>
      </c>
      <c r="T700" s="5" t="s">
        <v>22</v>
      </c>
      <c r="V700" s="5" t="s">
        <v>252</v>
      </c>
      <c r="AB700"/>
      <c r="AC700"/>
      <c r="AD700"/>
    </row>
    <row r="701" spans="1:30" x14ac:dyDescent="0.25">
      <c r="A701" t="s">
        <v>4826</v>
      </c>
      <c r="B701" t="s">
        <v>4827</v>
      </c>
      <c r="C701" s="9" t="s">
        <v>4828</v>
      </c>
      <c r="D701" s="9">
        <v>998584649</v>
      </c>
      <c r="E701" s="5" t="s">
        <v>3041</v>
      </c>
      <c r="F701" s="1" t="s">
        <v>4430</v>
      </c>
      <c r="G701" s="25">
        <v>44464</v>
      </c>
      <c r="H701" s="1" t="s">
        <v>3027</v>
      </c>
      <c r="I701" s="14" t="s">
        <v>254</v>
      </c>
      <c r="J701" s="1" t="s">
        <v>3006</v>
      </c>
      <c r="K701" s="14" t="s">
        <v>3007</v>
      </c>
      <c r="L701" s="1" t="s">
        <v>3008</v>
      </c>
      <c r="M701" s="1" t="s">
        <v>3016</v>
      </c>
      <c r="N701" s="1">
        <v>972</v>
      </c>
      <c r="O701" s="1" t="s">
        <v>976</v>
      </c>
      <c r="P701" s="5">
        <v>1219.74</v>
      </c>
      <c r="Q701" s="5">
        <v>133</v>
      </c>
      <c r="R701" s="5">
        <v>1330</v>
      </c>
      <c r="S701" s="5">
        <v>22.74</v>
      </c>
      <c r="T701" s="5" t="s">
        <v>22</v>
      </c>
      <c r="V701" s="5" t="s">
        <v>254</v>
      </c>
      <c r="AB701"/>
      <c r="AC701"/>
      <c r="AD701"/>
    </row>
    <row r="702" spans="1:30" x14ac:dyDescent="0.25">
      <c r="A702" t="s">
        <v>4829</v>
      </c>
      <c r="B702" t="s">
        <v>4830</v>
      </c>
      <c r="C702" s="9" t="s">
        <v>4831</v>
      </c>
      <c r="D702" s="9">
        <v>997941990</v>
      </c>
      <c r="E702" s="5" t="s">
        <v>3003</v>
      </c>
      <c r="F702" s="1" t="s">
        <v>3058</v>
      </c>
      <c r="G702" s="25">
        <v>44536</v>
      </c>
      <c r="H702" s="1" t="s">
        <v>3027</v>
      </c>
      <c r="I702" s="14" t="s">
        <v>254</v>
      </c>
      <c r="J702" s="1" t="s">
        <v>3006</v>
      </c>
      <c r="K702" s="14" t="s">
        <v>3007</v>
      </c>
      <c r="L702" s="1" t="s">
        <v>3008</v>
      </c>
      <c r="M702" s="1" t="s">
        <v>3009</v>
      </c>
      <c r="N702" s="1">
        <v>1362</v>
      </c>
      <c r="O702" s="1" t="s">
        <v>976</v>
      </c>
      <c r="P702" s="5">
        <v>1264.6199999999999</v>
      </c>
      <c r="Q702" s="5">
        <v>138</v>
      </c>
      <c r="R702" s="5">
        <v>1380</v>
      </c>
      <c r="S702" s="5">
        <v>22.62</v>
      </c>
      <c r="T702" s="5" t="s">
        <v>22</v>
      </c>
      <c r="V702" s="5" t="s">
        <v>254</v>
      </c>
      <c r="AB702"/>
      <c r="AC702"/>
      <c r="AD702"/>
    </row>
    <row r="703" spans="1:30" x14ac:dyDescent="0.25">
      <c r="A703" t="s">
        <v>4832</v>
      </c>
      <c r="B703" t="s">
        <v>4833</v>
      </c>
      <c r="C703" s="9" t="s">
        <v>4834</v>
      </c>
      <c r="D703" s="9">
        <v>982086786</v>
      </c>
      <c r="E703" s="5" t="s">
        <v>3041</v>
      </c>
      <c r="F703" s="1" t="s">
        <v>3042</v>
      </c>
      <c r="G703" s="25">
        <v>44500</v>
      </c>
      <c r="H703" s="1" t="s">
        <v>3027</v>
      </c>
      <c r="I703" s="14" t="s">
        <v>254</v>
      </c>
      <c r="J703" s="1" t="s">
        <v>3006</v>
      </c>
      <c r="K703" s="14" t="s">
        <v>3007</v>
      </c>
      <c r="L703" s="1" t="s">
        <v>3008</v>
      </c>
      <c r="M703" s="1" t="s">
        <v>3009</v>
      </c>
      <c r="N703" s="1">
        <v>1152</v>
      </c>
      <c r="O703" s="1" t="s">
        <v>976</v>
      </c>
      <c r="P703" s="5">
        <v>1277.23</v>
      </c>
      <c r="Q703" s="5">
        <v>138</v>
      </c>
      <c r="R703" s="5">
        <v>1380</v>
      </c>
      <c r="S703" s="5">
        <v>35.229999999999997</v>
      </c>
      <c r="T703" s="5" t="s">
        <v>22</v>
      </c>
      <c r="V703" s="5" t="s">
        <v>254</v>
      </c>
      <c r="AB703"/>
      <c r="AC703"/>
      <c r="AD703"/>
    </row>
    <row r="704" spans="1:30" x14ac:dyDescent="0.25">
      <c r="A704" t="s">
        <v>4835</v>
      </c>
      <c r="B704" t="s">
        <v>4836</v>
      </c>
      <c r="C704" s="9" t="s">
        <v>4837</v>
      </c>
      <c r="D704" s="9">
        <v>988409987</v>
      </c>
      <c r="E704" s="5" t="s">
        <v>3644</v>
      </c>
      <c r="F704" s="1" t="s">
        <v>3645</v>
      </c>
      <c r="G704" s="25">
        <v>44418</v>
      </c>
      <c r="H704" s="1" t="s">
        <v>3610</v>
      </c>
      <c r="I704" s="14" t="s">
        <v>2841</v>
      </c>
      <c r="J704" s="1" t="s">
        <v>3006</v>
      </c>
      <c r="K704" s="14" t="s">
        <v>3007</v>
      </c>
      <c r="L704" s="1" t="s">
        <v>3008</v>
      </c>
      <c r="M704" s="1" t="s">
        <v>3016</v>
      </c>
      <c r="N704" s="1">
        <v>757</v>
      </c>
      <c r="O704" s="1" t="s">
        <v>976</v>
      </c>
      <c r="P704" s="5">
        <v>82.2</v>
      </c>
      <c r="Q704" s="5">
        <v>5.99</v>
      </c>
      <c r="R704" s="5">
        <v>59.9</v>
      </c>
      <c r="S704" s="5">
        <v>28.29</v>
      </c>
      <c r="T704" s="5">
        <v>41</v>
      </c>
      <c r="U704" s="5" t="s">
        <v>2482</v>
      </c>
      <c r="V704" s="5" t="s">
        <v>827</v>
      </c>
      <c r="AB704"/>
      <c r="AC704"/>
      <c r="AD704"/>
    </row>
    <row r="705" spans="1:30" x14ac:dyDescent="0.25">
      <c r="A705" t="s">
        <v>4838</v>
      </c>
      <c r="B705" t="s">
        <v>4839</v>
      </c>
      <c r="C705" s="9" t="s">
        <v>4840</v>
      </c>
      <c r="D705" s="9">
        <v>998077566</v>
      </c>
      <c r="E705" s="5" t="s">
        <v>3003</v>
      </c>
      <c r="F705" s="1" t="s">
        <v>3004</v>
      </c>
      <c r="G705" s="25">
        <v>44166</v>
      </c>
      <c r="H705" s="1" t="s">
        <v>3392</v>
      </c>
      <c r="I705" s="14" t="s">
        <v>297</v>
      </c>
      <c r="J705" s="1" t="s">
        <v>3006</v>
      </c>
      <c r="K705" s="14" t="s">
        <v>3007</v>
      </c>
      <c r="L705" s="1" t="s">
        <v>3614</v>
      </c>
      <c r="M705" s="1" t="s">
        <v>3009</v>
      </c>
      <c r="N705" s="1">
        <v>54</v>
      </c>
      <c r="O705" s="1" t="s">
        <v>976</v>
      </c>
      <c r="P705" s="5">
        <v>615</v>
      </c>
      <c r="Q705" s="5">
        <v>0</v>
      </c>
      <c r="R705" s="5">
        <v>615</v>
      </c>
      <c r="S705" s="5">
        <v>0</v>
      </c>
      <c r="T705" s="5" t="s">
        <v>23</v>
      </c>
      <c r="V705" s="5" t="s">
        <v>297</v>
      </c>
      <c r="AB705"/>
      <c r="AC705"/>
      <c r="AD705"/>
    </row>
    <row r="706" spans="1:30" x14ac:dyDescent="0.25">
      <c r="A706" t="s">
        <v>4838</v>
      </c>
      <c r="B706" t="s">
        <v>4839</v>
      </c>
      <c r="C706" s="9" t="s">
        <v>4840</v>
      </c>
      <c r="D706" s="9">
        <v>998077566</v>
      </c>
      <c r="E706" s="5" t="s">
        <v>3003</v>
      </c>
      <c r="F706" s="1" t="s">
        <v>3004</v>
      </c>
      <c r="G706" s="25">
        <v>44592</v>
      </c>
      <c r="H706" s="1" t="s">
        <v>3564</v>
      </c>
      <c r="I706" s="14" t="s">
        <v>295</v>
      </c>
      <c r="J706" s="1" t="s">
        <v>3006</v>
      </c>
      <c r="K706" s="14" t="s">
        <v>3007</v>
      </c>
      <c r="L706" s="1" t="s">
        <v>3008</v>
      </c>
      <c r="M706" s="1" t="s">
        <v>3016</v>
      </c>
      <c r="N706" s="1">
        <v>1742</v>
      </c>
      <c r="O706" s="1" t="s">
        <v>976</v>
      </c>
      <c r="P706" s="5">
        <v>702</v>
      </c>
      <c r="Q706" s="5">
        <v>0</v>
      </c>
      <c r="R706" s="5">
        <v>680</v>
      </c>
      <c r="S706" s="5">
        <v>22</v>
      </c>
      <c r="T706" s="5" t="s">
        <v>24</v>
      </c>
      <c r="V706" s="5" t="s">
        <v>295</v>
      </c>
      <c r="AB706"/>
      <c r="AC706"/>
      <c r="AD706"/>
    </row>
    <row r="707" spans="1:30" x14ac:dyDescent="0.25">
      <c r="A707" t="s">
        <v>4841</v>
      </c>
      <c r="B707" t="s">
        <v>4842</v>
      </c>
      <c r="C707" s="9" t="s">
        <v>4843</v>
      </c>
      <c r="D707" s="9">
        <v>999328457</v>
      </c>
      <c r="E707" s="5" t="s">
        <v>3514</v>
      </c>
      <c r="F707" s="1" t="s">
        <v>4844</v>
      </c>
      <c r="G707" s="25">
        <v>44541</v>
      </c>
      <c r="H707" s="1" t="s">
        <v>3015</v>
      </c>
      <c r="I707" s="14" t="s">
        <v>252</v>
      </c>
      <c r="J707" s="1" t="s">
        <v>3006</v>
      </c>
      <c r="K707" s="14" t="s">
        <v>3007</v>
      </c>
      <c r="L707" s="1" t="s">
        <v>3008</v>
      </c>
      <c r="M707" s="1" t="s">
        <v>3016</v>
      </c>
      <c r="N707" s="1">
        <v>1420</v>
      </c>
      <c r="O707" s="1" t="s">
        <v>976</v>
      </c>
      <c r="P707" s="5">
        <v>1538.2</v>
      </c>
      <c r="Q707" s="5">
        <v>166.5</v>
      </c>
      <c r="R707" s="5">
        <v>1665</v>
      </c>
      <c r="S707" s="5">
        <v>39.700000000000003</v>
      </c>
      <c r="T707" s="5" t="s">
        <v>22</v>
      </c>
      <c r="V707" s="5" t="s">
        <v>252</v>
      </c>
      <c r="AB707"/>
      <c r="AC707"/>
      <c r="AD707"/>
    </row>
    <row r="708" spans="1:30" x14ac:dyDescent="0.25">
      <c r="A708" t="s">
        <v>4845</v>
      </c>
      <c r="B708" t="s">
        <v>4846</v>
      </c>
      <c r="C708" s="9" t="s">
        <v>4847</v>
      </c>
      <c r="D708" s="9">
        <v>940140133</v>
      </c>
      <c r="E708" s="5" t="s">
        <v>3003</v>
      </c>
      <c r="F708" s="1" t="s">
        <v>3116</v>
      </c>
      <c r="G708" s="25">
        <v>44522</v>
      </c>
      <c r="H708" s="1" t="s">
        <v>3866</v>
      </c>
      <c r="I708" s="14" t="s">
        <v>2925</v>
      </c>
      <c r="J708" s="1" t="s">
        <v>3006</v>
      </c>
      <c r="K708" s="14" t="s">
        <v>3007</v>
      </c>
      <c r="L708" s="1" t="s">
        <v>3008</v>
      </c>
      <c r="M708" s="1" t="s">
        <v>3009</v>
      </c>
      <c r="N708" s="1">
        <v>1244</v>
      </c>
      <c r="O708" s="1" t="s">
        <v>976</v>
      </c>
      <c r="P708" s="5">
        <v>912.62</v>
      </c>
      <c r="Q708" s="5">
        <v>0</v>
      </c>
      <c r="R708" s="5">
        <v>890</v>
      </c>
      <c r="S708" s="5">
        <v>22.62</v>
      </c>
      <c r="T708" s="5" t="s">
        <v>5574</v>
      </c>
      <c r="U708" s="5" t="s">
        <v>2433</v>
      </c>
      <c r="V708" s="5" t="s">
        <v>917</v>
      </c>
      <c r="AB708"/>
      <c r="AC708"/>
      <c r="AD708"/>
    </row>
    <row r="709" spans="1:30" x14ac:dyDescent="0.25">
      <c r="A709" t="s">
        <v>4848</v>
      </c>
      <c r="B709" t="s">
        <v>4849</v>
      </c>
      <c r="C709" s="9" t="s">
        <v>4850</v>
      </c>
      <c r="D709" s="9">
        <v>999491056</v>
      </c>
      <c r="E709" s="5" t="s">
        <v>3133</v>
      </c>
      <c r="F709" s="1" t="s">
        <v>4851</v>
      </c>
      <c r="G709" s="25">
        <v>44185</v>
      </c>
      <c r="H709" s="1" t="s">
        <v>4205</v>
      </c>
      <c r="I709" s="14" t="s">
        <v>2868</v>
      </c>
      <c r="J709" s="1" t="s">
        <v>3006</v>
      </c>
      <c r="K709" s="14" t="s">
        <v>3007</v>
      </c>
      <c r="L709" s="1" t="s">
        <v>3008</v>
      </c>
      <c r="M709" s="1" t="s">
        <v>3009</v>
      </c>
      <c r="N709" s="1">
        <v>124</v>
      </c>
      <c r="O709" s="1" t="s">
        <v>976</v>
      </c>
      <c r="P709" s="5">
        <v>314.61</v>
      </c>
      <c r="Q709" s="5">
        <v>0</v>
      </c>
      <c r="R709" s="5">
        <v>285</v>
      </c>
      <c r="S709" s="5">
        <v>29.61</v>
      </c>
      <c r="T709" s="5" t="s">
        <v>23</v>
      </c>
      <c r="U709" s="5" t="s">
        <v>2443</v>
      </c>
      <c r="V709" s="5" t="s">
        <v>870</v>
      </c>
      <c r="AB709"/>
      <c r="AC709"/>
      <c r="AD709"/>
    </row>
    <row r="710" spans="1:30" x14ac:dyDescent="0.25">
      <c r="A710" t="s">
        <v>4852</v>
      </c>
      <c r="B710" t="s">
        <v>4853</v>
      </c>
      <c r="C710" s="9" t="s">
        <v>4854</v>
      </c>
      <c r="D710" s="9">
        <v>995122200</v>
      </c>
      <c r="E710" s="5" t="s">
        <v>3041</v>
      </c>
      <c r="F710" s="1" t="s">
        <v>3042</v>
      </c>
      <c r="G710" s="25">
        <v>44354</v>
      </c>
      <c r="H710" s="1" t="s">
        <v>3355</v>
      </c>
      <c r="I710" s="14" t="s">
        <v>2841</v>
      </c>
      <c r="J710" s="1" t="s">
        <v>3006</v>
      </c>
      <c r="K710" s="14" t="s">
        <v>3007</v>
      </c>
      <c r="L710" s="1" t="s">
        <v>3008</v>
      </c>
      <c r="M710" s="1" t="s">
        <v>3016</v>
      </c>
      <c r="N710" s="1">
        <v>483</v>
      </c>
      <c r="O710" s="1" t="s">
        <v>976</v>
      </c>
      <c r="P710" s="5">
        <v>79.63</v>
      </c>
      <c r="Q710" s="5">
        <v>0</v>
      </c>
      <c r="R710" s="5">
        <v>59.9</v>
      </c>
      <c r="S710" s="5">
        <v>19.73</v>
      </c>
      <c r="T710" s="5">
        <v>41</v>
      </c>
      <c r="U710" s="5" t="s">
        <v>2472</v>
      </c>
      <c r="V710" s="5" t="s">
        <v>826</v>
      </c>
      <c r="AB710"/>
      <c r="AC710"/>
      <c r="AD710"/>
    </row>
    <row r="711" spans="1:30" x14ac:dyDescent="0.25">
      <c r="A711" t="s">
        <v>4855</v>
      </c>
      <c r="B711" t="s">
        <v>4856</v>
      </c>
      <c r="C711" s="9" t="s">
        <v>4857</v>
      </c>
      <c r="D711" s="9">
        <v>986958407</v>
      </c>
      <c r="E711" s="5" t="s">
        <v>3041</v>
      </c>
      <c r="F711" s="1" t="s">
        <v>3042</v>
      </c>
      <c r="G711" s="25">
        <v>44176</v>
      </c>
      <c r="H711" s="1" t="s">
        <v>4858</v>
      </c>
      <c r="I711" s="14" t="s">
        <v>2881</v>
      </c>
      <c r="J711" s="1" t="s">
        <v>3006</v>
      </c>
      <c r="K711" s="14" t="s">
        <v>3007</v>
      </c>
      <c r="L711" s="1" t="s">
        <v>3008</v>
      </c>
      <c r="M711" s="1" t="s">
        <v>3009</v>
      </c>
      <c r="N711" s="1">
        <v>80</v>
      </c>
      <c r="O711" s="1" t="s">
        <v>976</v>
      </c>
      <c r="P711" s="5">
        <v>670.59</v>
      </c>
      <c r="Q711" s="5">
        <v>0</v>
      </c>
      <c r="R711" s="5">
        <v>630</v>
      </c>
      <c r="S711" s="5">
        <v>40.590000000000003</v>
      </c>
      <c r="T711" s="5" t="s">
        <v>24</v>
      </c>
      <c r="U711" s="5" t="s">
        <v>2447</v>
      </c>
      <c r="V711" s="5" t="s">
        <v>889</v>
      </c>
      <c r="AB711"/>
      <c r="AC711"/>
      <c r="AD711"/>
    </row>
    <row r="712" spans="1:30" x14ac:dyDescent="0.25">
      <c r="A712" t="s">
        <v>4859</v>
      </c>
      <c r="B712" t="s">
        <v>4860</v>
      </c>
      <c r="C712" s="9" t="s">
        <v>4861</v>
      </c>
      <c r="D712" s="9">
        <v>964649590</v>
      </c>
      <c r="E712" s="5" t="s">
        <v>3041</v>
      </c>
      <c r="F712" s="1" t="s">
        <v>3042</v>
      </c>
      <c r="G712" s="25">
        <v>44312</v>
      </c>
      <c r="H712" s="1" t="s">
        <v>3027</v>
      </c>
      <c r="I712" s="14" t="s">
        <v>254</v>
      </c>
      <c r="J712" s="1" t="s">
        <v>3006</v>
      </c>
      <c r="K712" s="14" t="s">
        <v>3007</v>
      </c>
      <c r="L712" s="1" t="s">
        <v>3008</v>
      </c>
      <c r="M712" s="1" t="s">
        <v>3009</v>
      </c>
      <c r="N712" s="1">
        <v>341</v>
      </c>
      <c r="O712" s="1" t="s">
        <v>976</v>
      </c>
      <c r="P712" s="5">
        <v>1125.97</v>
      </c>
      <c r="Q712" s="5">
        <v>0</v>
      </c>
      <c r="R712" s="5">
        <v>1100</v>
      </c>
      <c r="S712" s="5">
        <v>25.97</v>
      </c>
      <c r="T712" s="5" t="s">
        <v>22</v>
      </c>
      <c r="V712" s="5" t="s">
        <v>254</v>
      </c>
      <c r="AB712"/>
      <c r="AC712"/>
      <c r="AD712"/>
    </row>
    <row r="713" spans="1:30" x14ac:dyDescent="0.25">
      <c r="A713" t="s">
        <v>4862</v>
      </c>
      <c r="B713" t="s">
        <v>4863</v>
      </c>
      <c r="C713" s="9" t="s">
        <v>4864</v>
      </c>
      <c r="D713" s="9">
        <v>981670050</v>
      </c>
      <c r="E713" s="5" t="s">
        <v>3041</v>
      </c>
      <c r="F713" s="1" t="s">
        <v>3042</v>
      </c>
      <c r="G713" s="25">
        <v>44440</v>
      </c>
      <c r="H713" s="1" t="s">
        <v>3015</v>
      </c>
      <c r="I713" s="14" t="s">
        <v>252</v>
      </c>
      <c r="J713" s="1" t="s">
        <v>3006</v>
      </c>
      <c r="K713" s="14" t="s">
        <v>3007</v>
      </c>
      <c r="L713" s="1" t="s">
        <v>3008</v>
      </c>
      <c r="M713" s="1" t="s">
        <v>3016</v>
      </c>
      <c r="N713" s="1">
        <v>845</v>
      </c>
      <c r="O713" s="1" t="s">
        <v>976</v>
      </c>
      <c r="P713" s="5">
        <v>1357.35</v>
      </c>
      <c r="Q713" s="5">
        <v>0</v>
      </c>
      <c r="R713" s="5">
        <v>1330</v>
      </c>
      <c r="S713" s="5">
        <v>27.35</v>
      </c>
      <c r="T713" s="5" t="s">
        <v>22</v>
      </c>
      <c r="V713" s="5" t="s">
        <v>252</v>
      </c>
      <c r="AB713"/>
      <c r="AC713"/>
      <c r="AD713"/>
    </row>
    <row r="714" spans="1:30" x14ac:dyDescent="0.25">
      <c r="A714" t="s">
        <v>4865</v>
      </c>
      <c r="B714" t="s">
        <v>4866</v>
      </c>
      <c r="C714" s="9" t="s">
        <v>4867</v>
      </c>
      <c r="D714" s="9">
        <v>996521903</v>
      </c>
      <c r="E714" s="5" t="s">
        <v>3013</v>
      </c>
      <c r="F714" s="1" t="s">
        <v>3014</v>
      </c>
      <c r="G714" s="25">
        <v>44495</v>
      </c>
      <c r="H714" s="1" t="s">
        <v>4507</v>
      </c>
      <c r="I714" s="14" t="s">
        <v>2777</v>
      </c>
      <c r="J714" s="1" t="s">
        <v>3006</v>
      </c>
      <c r="K714" s="14" t="s">
        <v>3007</v>
      </c>
      <c r="L714" s="1" t="s">
        <v>3008</v>
      </c>
      <c r="M714" s="1" t="s">
        <v>3009</v>
      </c>
      <c r="N714" s="1">
        <v>1117</v>
      </c>
      <c r="O714" s="1" t="s">
        <v>976</v>
      </c>
      <c r="P714" s="5">
        <v>371.69</v>
      </c>
      <c r="Q714" s="5">
        <v>0</v>
      </c>
      <c r="R714" s="5">
        <v>360</v>
      </c>
      <c r="S714" s="5">
        <v>11.69</v>
      </c>
      <c r="T714" s="5" t="s">
        <v>22</v>
      </c>
      <c r="U714" s="5" t="s">
        <v>2482</v>
      </c>
      <c r="V714" s="5" t="s">
        <v>746</v>
      </c>
      <c r="AB714"/>
      <c r="AC714"/>
      <c r="AD714"/>
    </row>
    <row r="715" spans="1:30" x14ac:dyDescent="0.25">
      <c r="A715" t="s">
        <v>4865</v>
      </c>
      <c r="B715" t="s">
        <v>4866</v>
      </c>
      <c r="C715" s="9" t="s">
        <v>4867</v>
      </c>
      <c r="D715" s="9">
        <v>996521903</v>
      </c>
      <c r="E715" s="5" t="s">
        <v>3013</v>
      </c>
      <c r="F715" s="1" t="s">
        <v>3014</v>
      </c>
      <c r="G715" s="25">
        <v>44495</v>
      </c>
      <c r="H715" s="1" t="s">
        <v>4514</v>
      </c>
      <c r="I715" s="14" t="s">
        <v>2865</v>
      </c>
      <c r="J715" s="1" t="s">
        <v>3006</v>
      </c>
      <c r="K715" s="14" t="s">
        <v>3007</v>
      </c>
      <c r="L715" s="1" t="s">
        <v>3008</v>
      </c>
      <c r="M715" s="1" t="s">
        <v>3009</v>
      </c>
      <c r="N715" s="1">
        <v>1117</v>
      </c>
      <c r="O715" s="1" t="s">
        <v>976</v>
      </c>
      <c r="P715" s="5">
        <v>691.75</v>
      </c>
      <c r="Q715" s="5">
        <v>0</v>
      </c>
      <c r="R715" s="5">
        <v>670</v>
      </c>
      <c r="S715" s="5">
        <v>21.75</v>
      </c>
      <c r="T715" s="5" t="s">
        <v>21</v>
      </c>
      <c r="U715" s="5" t="s">
        <v>2482</v>
      </c>
      <c r="V715" s="5" t="s">
        <v>866</v>
      </c>
      <c r="AB715"/>
      <c r="AC715"/>
      <c r="AD715"/>
    </row>
    <row r="716" spans="1:30" x14ac:dyDescent="0.25">
      <c r="A716" t="s">
        <v>4868</v>
      </c>
      <c r="B716" t="s">
        <v>4869</v>
      </c>
      <c r="C716" s="9" t="s">
        <v>4870</v>
      </c>
      <c r="D716" s="9">
        <v>993779901</v>
      </c>
      <c r="E716" s="5" t="s">
        <v>3041</v>
      </c>
      <c r="F716" s="1" t="s">
        <v>3042</v>
      </c>
      <c r="G716" s="25">
        <v>44180</v>
      </c>
      <c r="H716" s="1" t="s">
        <v>4044</v>
      </c>
      <c r="I716" s="14" t="s">
        <v>2805</v>
      </c>
      <c r="J716" s="1" t="s">
        <v>3006</v>
      </c>
      <c r="K716" s="14" t="s">
        <v>3007</v>
      </c>
      <c r="L716" s="1" t="s">
        <v>3008</v>
      </c>
      <c r="M716" s="1" t="s">
        <v>3009</v>
      </c>
      <c r="N716" s="1">
        <v>102</v>
      </c>
      <c r="O716" s="1" t="s">
        <v>976</v>
      </c>
      <c r="P716" s="5">
        <v>470</v>
      </c>
      <c r="Q716" s="5">
        <v>0</v>
      </c>
      <c r="R716" s="5">
        <v>470</v>
      </c>
      <c r="S716" s="5">
        <v>0</v>
      </c>
      <c r="T716" s="5">
        <v>42</v>
      </c>
      <c r="U716" s="5" t="s">
        <v>2443</v>
      </c>
      <c r="V716" s="5" t="s">
        <v>776</v>
      </c>
      <c r="AB716"/>
      <c r="AC716"/>
      <c r="AD716"/>
    </row>
    <row r="717" spans="1:30" x14ac:dyDescent="0.25">
      <c r="A717" t="s">
        <v>4868</v>
      </c>
      <c r="B717" t="s">
        <v>4869</v>
      </c>
      <c r="C717" s="9" t="s">
        <v>4870</v>
      </c>
      <c r="D717" s="9">
        <v>993779901</v>
      </c>
      <c r="E717" s="5" t="s">
        <v>3041</v>
      </c>
      <c r="F717" s="1" t="s">
        <v>3042</v>
      </c>
      <c r="G717" s="25">
        <v>44180</v>
      </c>
      <c r="H717" s="1" t="s">
        <v>3478</v>
      </c>
      <c r="I717" s="14" t="s">
        <v>2822</v>
      </c>
      <c r="J717" s="1" t="s">
        <v>3006</v>
      </c>
      <c r="K717" s="14" t="s">
        <v>3007</v>
      </c>
      <c r="L717" s="1" t="s">
        <v>3008</v>
      </c>
      <c r="M717" s="1" t="s">
        <v>3009</v>
      </c>
      <c r="N717" s="1">
        <v>102</v>
      </c>
      <c r="O717" s="1" t="s">
        <v>976</v>
      </c>
      <c r="P717" s="5">
        <v>245</v>
      </c>
      <c r="Q717" s="5">
        <v>0</v>
      </c>
      <c r="R717" s="5">
        <v>245</v>
      </c>
      <c r="S717" s="5">
        <v>0</v>
      </c>
      <c r="T717" s="5" t="s">
        <v>24</v>
      </c>
      <c r="U717" s="5" t="s">
        <v>2508</v>
      </c>
      <c r="V717" s="5" t="s">
        <v>801</v>
      </c>
      <c r="AB717"/>
      <c r="AC717"/>
      <c r="AD717"/>
    </row>
    <row r="718" spans="1:30" x14ac:dyDescent="0.25">
      <c r="A718" t="s">
        <v>4868</v>
      </c>
      <c r="B718" t="s">
        <v>4869</v>
      </c>
      <c r="C718" s="9" t="s">
        <v>4870</v>
      </c>
      <c r="D718" s="9">
        <v>993779901</v>
      </c>
      <c r="E718" s="5" t="s">
        <v>3041</v>
      </c>
      <c r="F718" s="1" t="s">
        <v>3042</v>
      </c>
      <c r="G718" s="25">
        <v>44180</v>
      </c>
      <c r="H718" s="1" t="s">
        <v>4871</v>
      </c>
      <c r="I718" s="14" t="s">
        <v>1415</v>
      </c>
      <c r="J718" s="1" t="s">
        <v>3006</v>
      </c>
      <c r="K718" s="14" t="s">
        <v>3007</v>
      </c>
      <c r="L718" s="1" t="s">
        <v>3008</v>
      </c>
      <c r="M718" s="1" t="s">
        <v>3009</v>
      </c>
      <c r="N718" s="1">
        <v>102</v>
      </c>
      <c r="O718" s="1" t="s">
        <v>976</v>
      </c>
      <c r="P718" s="5">
        <v>690</v>
      </c>
      <c r="Q718" s="5">
        <v>0</v>
      </c>
      <c r="R718" s="5">
        <v>690</v>
      </c>
      <c r="S718" s="5">
        <v>0</v>
      </c>
      <c r="T718" s="5" t="s">
        <v>24</v>
      </c>
      <c r="U718" s="5" t="s">
        <v>2852</v>
      </c>
      <c r="V718" s="5" t="s">
        <v>845</v>
      </c>
      <c r="AB718"/>
      <c r="AC718"/>
      <c r="AD718"/>
    </row>
    <row r="719" spans="1:30" x14ac:dyDescent="0.25">
      <c r="A719" t="s">
        <v>4872</v>
      </c>
      <c r="B719" t="s">
        <v>4873</v>
      </c>
      <c r="C719" s="9" t="s">
        <v>4874</v>
      </c>
      <c r="D719" s="9">
        <v>991762818</v>
      </c>
      <c r="E719" s="5" t="s">
        <v>3003</v>
      </c>
      <c r="F719" s="1" t="s">
        <v>4875</v>
      </c>
      <c r="G719" s="25">
        <v>44469</v>
      </c>
      <c r="H719" s="1" t="s">
        <v>3866</v>
      </c>
      <c r="I719" s="14" t="s">
        <v>2925</v>
      </c>
      <c r="J719" s="1" t="s">
        <v>3006</v>
      </c>
      <c r="K719" s="14" t="s">
        <v>3007</v>
      </c>
      <c r="L719" s="1" t="s">
        <v>3008</v>
      </c>
      <c r="M719" s="1" t="s">
        <v>3009</v>
      </c>
      <c r="N719" s="1">
        <v>990</v>
      </c>
      <c r="O719" s="1" t="s">
        <v>976</v>
      </c>
      <c r="P719" s="5">
        <v>908.21</v>
      </c>
      <c r="Q719" s="5">
        <v>0</v>
      </c>
      <c r="R719" s="5">
        <v>890</v>
      </c>
      <c r="S719" s="5">
        <v>18.21</v>
      </c>
      <c r="T719" s="5" t="s">
        <v>5574</v>
      </c>
      <c r="U719" s="5" t="s">
        <v>2433</v>
      </c>
      <c r="V719" s="5" t="s">
        <v>917</v>
      </c>
      <c r="AB719"/>
      <c r="AC719"/>
      <c r="AD719"/>
    </row>
    <row r="720" spans="1:30" x14ac:dyDescent="0.25">
      <c r="A720" t="s">
        <v>4876</v>
      </c>
      <c r="B720" t="s">
        <v>4877</v>
      </c>
      <c r="C720" s="9" t="s">
        <v>4878</v>
      </c>
      <c r="D720" s="9">
        <v>992446410</v>
      </c>
      <c r="E720" s="5" t="s">
        <v>3003</v>
      </c>
      <c r="F720" s="1" t="s">
        <v>3004</v>
      </c>
      <c r="G720" s="25">
        <v>44425</v>
      </c>
      <c r="H720" s="1" t="s">
        <v>3220</v>
      </c>
      <c r="I720" s="14" t="s">
        <v>259</v>
      </c>
      <c r="J720" s="1" t="s">
        <v>3006</v>
      </c>
      <c r="K720" s="14" t="s">
        <v>3007</v>
      </c>
      <c r="L720" s="1" t="s">
        <v>3008</v>
      </c>
      <c r="M720" s="1" t="s">
        <v>3009</v>
      </c>
      <c r="N720" s="1">
        <v>779</v>
      </c>
      <c r="O720" s="1" t="s">
        <v>976</v>
      </c>
      <c r="P720" s="5">
        <v>230</v>
      </c>
      <c r="Q720" s="5">
        <v>0</v>
      </c>
      <c r="R720" s="5">
        <v>230</v>
      </c>
      <c r="S720" s="5">
        <v>0</v>
      </c>
      <c r="T720" s="5" t="s">
        <v>23</v>
      </c>
      <c r="V720" s="5" t="s">
        <v>259</v>
      </c>
      <c r="AB720"/>
      <c r="AC720"/>
      <c r="AD720"/>
    </row>
    <row r="721" spans="1:30" x14ac:dyDescent="0.25">
      <c r="A721" t="s">
        <v>4879</v>
      </c>
      <c r="B721" t="s">
        <v>4880</v>
      </c>
      <c r="C721" s="9" t="s">
        <v>4881</v>
      </c>
      <c r="D721" s="9">
        <v>981432226</v>
      </c>
      <c r="E721" s="5" t="s">
        <v>3003</v>
      </c>
      <c r="F721" s="1" t="s">
        <v>3004</v>
      </c>
      <c r="G721" s="25">
        <v>44493</v>
      </c>
      <c r="H721" s="1" t="s">
        <v>3075</v>
      </c>
      <c r="I721" s="14" t="s">
        <v>2791</v>
      </c>
      <c r="J721" s="1" t="s">
        <v>3006</v>
      </c>
      <c r="K721" s="14" t="s">
        <v>3007</v>
      </c>
      <c r="L721" s="1" t="s">
        <v>3008</v>
      </c>
      <c r="M721" s="1" t="s">
        <v>3009</v>
      </c>
      <c r="N721" s="1">
        <v>1098</v>
      </c>
      <c r="O721" s="1" t="s">
        <v>976</v>
      </c>
      <c r="P721" s="5">
        <v>1330</v>
      </c>
      <c r="Q721" s="5">
        <v>0</v>
      </c>
      <c r="R721" s="5">
        <v>1330</v>
      </c>
      <c r="S721" s="5">
        <v>0</v>
      </c>
      <c r="T721" s="5" t="s">
        <v>22</v>
      </c>
      <c r="U721" s="5" t="s">
        <v>2443</v>
      </c>
      <c r="V721" s="5" t="s">
        <v>763</v>
      </c>
      <c r="AB721"/>
      <c r="AC721"/>
      <c r="AD721"/>
    </row>
    <row r="722" spans="1:30" x14ac:dyDescent="0.25">
      <c r="A722" t="s">
        <v>4882</v>
      </c>
      <c r="B722" t="s">
        <v>4883</v>
      </c>
      <c r="C722" s="9" t="s">
        <v>3513</v>
      </c>
      <c r="D722" s="9">
        <v>88895367</v>
      </c>
      <c r="E722" s="5" t="s">
        <v>3003</v>
      </c>
      <c r="F722" s="1" t="s">
        <v>3121</v>
      </c>
      <c r="G722" s="25">
        <v>44448</v>
      </c>
      <c r="H722" s="1" t="s">
        <v>3027</v>
      </c>
      <c r="I722" s="14" t="s">
        <v>254</v>
      </c>
      <c r="J722" s="1" t="s">
        <v>3006</v>
      </c>
      <c r="K722" s="14" t="s">
        <v>3007</v>
      </c>
      <c r="L722" s="1" t="s">
        <v>3008</v>
      </c>
      <c r="M722" s="1" t="s">
        <v>3009</v>
      </c>
      <c r="N722" s="1">
        <v>882</v>
      </c>
      <c r="O722" s="1" t="s">
        <v>976</v>
      </c>
      <c r="P722" s="5">
        <v>1084.76</v>
      </c>
      <c r="Q722" s="5">
        <v>266</v>
      </c>
      <c r="R722" s="5">
        <v>1330</v>
      </c>
      <c r="S722" s="5">
        <v>20.76</v>
      </c>
      <c r="T722" s="5" t="s">
        <v>22</v>
      </c>
      <c r="V722" s="5" t="s">
        <v>254</v>
      </c>
      <c r="AB722"/>
      <c r="AC722"/>
      <c r="AD722"/>
    </row>
    <row r="723" spans="1:30" x14ac:dyDescent="0.25">
      <c r="A723" t="s">
        <v>4884</v>
      </c>
      <c r="B723" t="s">
        <v>4885</v>
      </c>
      <c r="C723" s="9" t="s">
        <v>4886</v>
      </c>
      <c r="D723" s="9" t="s">
        <v>4887</v>
      </c>
      <c r="E723" s="5" t="s">
        <v>3003</v>
      </c>
      <c r="F723" s="1" t="s">
        <v>3004</v>
      </c>
      <c r="G723" s="25">
        <v>44580</v>
      </c>
      <c r="H723" s="1" t="s">
        <v>4888</v>
      </c>
      <c r="I723" s="14" t="s">
        <v>2839</v>
      </c>
      <c r="J723" s="1" t="s">
        <v>3006</v>
      </c>
      <c r="K723" s="14" t="s">
        <v>3007</v>
      </c>
      <c r="L723" s="1" t="s">
        <v>4889</v>
      </c>
      <c r="M723" s="1" t="s">
        <v>3016</v>
      </c>
      <c r="N723" s="1">
        <v>1692</v>
      </c>
      <c r="O723" s="1" t="s">
        <v>976</v>
      </c>
      <c r="P723" s="5">
        <v>89</v>
      </c>
      <c r="Q723" s="5">
        <v>0</v>
      </c>
      <c r="R723" s="5">
        <v>89</v>
      </c>
      <c r="S723" s="5">
        <v>0</v>
      </c>
      <c r="T723" s="5">
        <v>39</v>
      </c>
      <c r="U723" s="5" t="s">
        <v>2447</v>
      </c>
      <c r="V723" s="5" t="s">
        <v>824</v>
      </c>
      <c r="AB723"/>
      <c r="AC723"/>
      <c r="AD723"/>
    </row>
    <row r="724" spans="1:30" x14ac:dyDescent="0.25">
      <c r="A724" t="s">
        <v>4884</v>
      </c>
      <c r="B724" t="s">
        <v>4885</v>
      </c>
      <c r="C724" s="9" t="s">
        <v>4886</v>
      </c>
      <c r="D724" s="9" t="s">
        <v>4887</v>
      </c>
      <c r="E724" s="5" t="s">
        <v>3003</v>
      </c>
      <c r="F724" s="1" t="s">
        <v>3004</v>
      </c>
      <c r="G724" s="25">
        <v>44580</v>
      </c>
      <c r="H724" s="1" t="s">
        <v>3364</v>
      </c>
      <c r="I724" s="14" t="s">
        <v>415</v>
      </c>
      <c r="J724" s="1" t="s">
        <v>3006</v>
      </c>
      <c r="K724" s="14" t="s">
        <v>3007</v>
      </c>
      <c r="L724" s="1" t="s">
        <v>4889</v>
      </c>
      <c r="M724" s="1" t="s">
        <v>3016</v>
      </c>
      <c r="N724" s="1">
        <v>1692</v>
      </c>
      <c r="O724" s="1" t="s">
        <v>976</v>
      </c>
      <c r="P724" s="5">
        <v>870</v>
      </c>
      <c r="Q724" s="5">
        <v>0</v>
      </c>
      <c r="R724" s="5">
        <v>870</v>
      </c>
      <c r="S724" s="5">
        <v>0</v>
      </c>
      <c r="T724" s="5">
        <v>39</v>
      </c>
      <c r="V724" s="5" t="s">
        <v>415</v>
      </c>
      <c r="AB724"/>
      <c r="AC724"/>
      <c r="AD724"/>
    </row>
    <row r="725" spans="1:30" x14ac:dyDescent="0.25">
      <c r="A725" t="s">
        <v>4884</v>
      </c>
      <c r="B725" t="s">
        <v>4885</v>
      </c>
      <c r="C725" s="9" t="s">
        <v>4886</v>
      </c>
      <c r="D725" s="9" t="s">
        <v>4887</v>
      </c>
      <c r="E725" s="5" t="s">
        <v>3003</v>
      </c>
      <c r="F725" s="1" t="s">
        <v>3004</v>
      </c>
      <c r="G725" s="25">
        <v>44580</v>
      </c>
      <c r="H725" s="1" t="s">
        <v>4890</v>
      </c>
      <c r="I725" s="14" t="s">
        <v>441</v>
      </c>
      <c r="J725" s="1" t="s">
        <v>3006</v>
      </c>
      <c r="K725" s="14" t="s">
        <v>3007</v>
      </c>
      <c r="L725" s="1" t="s">
        <v>4889</v>
      </c>
      <c r="M725" s="1" t="s">
        <v>3016</v>
      </c>
      <c r="N725" s="1">
        <v>1692</v>
      </c>
      <c r="O725" s="1" t="s">
        <v>976</v>
      </c>
      <c r="P725" s="5">
        <v>690</v>
      </c>
      <c r="Q725" s="5">
        <v>0</v>
      </c>
      <c r="R725" s="5">
        <v>690</v>
      </c>
      <c r="S725" s="5">
        <v>0</v>
      </c>
      <c r="T725" s="5">
        <v>40</v>
      </c>
      <c r="V725" s="5" t="s">
        <v>441</v>
      </c>
      <c r="AB725"/>
      <c r="AC725"/>
      <c r="AD725"/>
    </row>
    <row r="726" spans="1:30" x14ac:dyDescent="0.25">
      <c r="A726" t="s">
        <v>4891</v>
      </c>
      <c r="B726" t="s">
        <v>4892</v>
      </c>
      <c r="C726" s="9" t="s">
        <v>4893</v>
      </c>
      <c r="D726" s="9" t="s">
        <v>976</v>
      </c>
      <c r="E726" s="5" t="s">
        <v>3003</v>
      </c>
      <c r="F726" s="1" t="s">
        <v>3121</v>
      </c>
      <c r="G726" s="25">
        <v>44440</v>
      </c>
      <c r="H726" s="1" t="s">
        <v>4894</v>
      </c>
      <c r="I726" s="14" t="s">
        <v>2761</v>
      </c>
      <c r="J726" s="1" t="s">
        <v>3006</v>
      </c>
      <c r="K726" s="14" t="s">
        <v>3007</v>
      </c>
      <c r="L726" s="1" t="s">
        <v>3008</v>
      </c>
      <c r="M726" s="1" t="s">
        <v>3009</v>
      </c>
      <c r="N726" s="1">
        <v>842</v>
      </c>
      <c r="O726" s="1" t="s">
        <v>976</v>
      </c>
      <c r="P726" s="5">
        <v>7600</v>
      </c>
      <c r="Q726" s="5">
        <v>2000</v>
      </c>
      <c r="R726" s="5">
        <v>9600</v>
      </c>
      <c r="S726" s="5">
        <v>0</v>
      </c>
      <c r="T726" s="5" t="s">
        <v>22</v>
      </c>
      <c r="U726" s="5" t="s">
        <v>2495</v>
      </c>
      <c r="V726" s="5" t="s">
        <v>720</v>
      </c>
      <c r="AB726"/>
      <c r="AC726"/>
      <c r="AD726"/>
    </row>
    <row r="727" spans="1:30" x14ac:dyDescent="0.25">
      <c r="A727" t="s">
        <v>4891</v>
      </c>
      <c r="B727" t="s">
        <v>4892</v>
      </c>
      <c r="C727" s="9" t="s">
        <v>4893</v>
      </c>
      <c r="D727" s="9" t="s">
        <v>976</v>
      </c>
      <c r="E727" s="5" t="s">
        <v>3003</v>
      </c>
      <c r="F727" s="1" t="s">
        <v>3121</v>
      </c>
      <c r="G727" s="25">
        <v>44440</v>
      </c>
      <c r="H727" s="1" t="s">
        <v>4895</v>
      </c>
      <c r="I727" s="14" t="s">
        <v>2762</v>
      </c>
      <c r="J727" s="1" t="s">
        <v>3006</v>
      </c>
      <c r="K727" s="14" t="s">
        <v>3007</v>
      </c>
      <c r="L727" s="1" t="s">
        <v>3008</v>
      </c>
      <c r="M727" s="1" t="s">
        <v>3009</v>
      </c>
      <c r="N727" s="1">
        <v>842</v>
      </c>
      <c r="O727" s="1" t="s">
        <v>976</v>
      </c>
      <c r="P727" s="5">
        <v>8800</v>
      </c>
      <c r="Q727" s="5">
        <v>3200</v>
      </c>
      <c r="R727" s="5">
        <v>12000</v>
      </c>
      <c r="S727" s="5">
        <v>0</v>
      </c>
      <c r="T727" s="5" t="s">
        <v>5578</v>
      </c>
      <c r="U727" s="5" t="s">
        <v>2495</v>
      </c>
      <c r="V727" s="5" t="s">
        <v>721</v>
      </c>
      <c r="AB727"/>
      <c r="AC727"/>
      <c r="AD727"/>
    </row>
    <row r="728" spans="1:30" x14ac:dyDescent="0.25">
      <c r="A728" t="s">
        <v>4896</v>
      </c>
      <c r="B728" t="s">
        <v>4897</v>
      </c>
      <c r="C728" s="9" t="s">
        <v>4898</v>
      </c>
      <c r="D728" s="9" t="s">
        <v>4899</v>
      </c>
      <c r="E728" s="5" t="s">
        <v>3003</v>
      </c>
      <c r="F728" s="1" t="s">
        <v>3004</v>
      </c>
      <c r="G728" s="25">
        <v>44518</v>
      </c>
      <c r="H728" s="1" t="s">
        <v>4708</v>
      </c>
      <c r="I728" s="14" t="s">
        <v>2782</v>
      </c>
      <c r="J728" s="1" t="s">
        <v>3006</v>
      </c>
      <c r="K728" s="14" t="s">
        <v>3007</v>
      </c>
      <c r="L728" s="1" t="s">
        <v>3008</v>
      </c>
      <c r="M728" s="1" t="s">
        <v>3009</v>
      </c>
      <c r="N728" s="1">
        <v>1221</v>
      </c>
      <c r="O728" s="1" t="s">
        <v>976</v>
      </c>
      <c r="P728" s="5">
        <v>460</v>
      </c>
      <c r="Q728" s="5">
        <v>0</v>
      </c>
      <c r="R728" s="5">
        <v>460</v>
      </c>
      <c r="S728" s="5">
        <v>0</v>
      </c>
      <c r="T728" s="5" t="s">
        <v>22</v>
      </c>
      <c r="U728" s="5" t="s">
        <v>2443</v>
      </c>
      <c r="V728" s="5" t="s">
        <v>750</v>
      </c>
      <c r="AB728"/>
      <c r="AC728"/>
      <c r="AD728"/>
    </row>
    <row r="729" spans="1:30" x14ac:dyDescent="0.25">
      <c r="A729" t="s">
        <v>4900</v>
      </c>
      <c r="B729" t="s">
        <v>4901</v>
      </c>
      <c r="C729" s="9" t="s">
        <v>4902</v>
      </c>
      <c r="D729" s="9" t="s">
        <v>4903</v>
      </c>
      <c r="E729" s="5" t="s">
        <v>3003</v>
      </c>
      <c r="F729" s="1" t="s">
        <v>4904</v>
      </c>
      <c r="G729" s="25">
        <v>44313</v>
      </c>
      <c r="H729" s="1" t="s">
        <v>3027</v>
      </c>
      <c r="I729" s="14" t="s">
        <v>254</v>
      </c>
      <c r="J729" s="1" t="s">
        <v>3006</v>
      </c>
      <c r="K729" s="14" t="s">
        <v>3007</v>
      </c>
      <c r="L729" s="1" t="s">
        <v>3008</v>
      </c>
      <c r="M729" s="1" t="s">
        <v>3009</v>
      </c>
      <c r="N729" s="1">
        <v>357</v>
      </c>
      <c r="O729" s="1" t="s">
        <v>976</v>
      </c>
      <c r="P729" s="5">
        <v>1170</v>
      </c>
      <c r="Q729" s="5">
        <v>30</v>
      </c>
      <c r="R729" s="5">
        <v>1200</v>
      </c>
      <c r="S729" s="5">
        <v>0</v>
      </c>
      <c r="T729" s="5" t="s">
        <v>22</v>
      </c>
      <c r="V729" s="5" t="s">
        <v>254</v>
      </c>
      <c r="AB729"/>
      <c r="AC729"/>
      <c r="AD729"/>
    </row>
    <row r="730" spans="1:30" x14ac:dyDescent="0.25">
      <c r="A730" t="s">
        <v>4905</v>
      </c>
      <c r="B730" t="s">
        <v>4906</v>
      </c>
      <c r="C730" s="9" t="s">
        <v>4907</v>
      </c>
      <c r="D730" s="9" t="s">
        <v>4908</v>
      </c>
      <c r="E730" s="5" t="s">
        <v>3003</v>
      </c>
      <c r="F730" s="1" t="s">
        <v>4027</v>
      </c>
      <c r="G730" s="25">
        <v>44518</v>
      </c>
      <c r="H730" s="1" t="s">
        <v>4909</v>
      </c>
      <c r="I730" s="14" t="s">
        <v>2825</v>
      </c>
      <c r="J730" s="1" t="s">
        <v>3006</v>
      </c>
      <c r="K730" s="14" t="s">
        <v>3007</v>
      </c>
      <c r="L730" s="1" t="s">
        <v>3008</v>
      </c>
      <c r="M730" s="1" t="s">
        <v>3009</v>
      </c>
      <c r="N730" s="1">
        <v>1220</v>
      </c>
      <c r="O730" s="1" t="s">
        <v>976</v>
      </c>
      <c r="P730" s="5">
        <v>230</v>
      </c>
      <c r="Q730" s="5">
        <v>0</v>
      </c>
      <c r="R730" s="5">
        <v>230</v>
      </c>
      <c r="S730" s="5">
        <v>0</v>
      </c>
      <c r="T730" s="5" t="s">
        <v>23</v>
      </c>
      <c r="U730" s="5" t="s">
        <v>2824</v>
      </c>
      <c r="V730" s="5" t="s">
        <v>806</v>
      </c>
      <c r="AB730"/>
      <c r="AC730"/>
      <c r="AD730"/>
    </row>
    <row r="731" spans="1:30" x14ac:dyDescent="0.25">
      <c r="A731" t="s">
        <v>4910</v>
      </c>
      <c r="B731" t="s">
        <v>4911</v>
      </c>
      <c r="C731" s="9" t="s">
        <v>4912</v>
      </c>
      <c r="D731" s="9" t="s">
        <v>4913</v>
      </c>
      <c r="E731" s="5" t="s">
        <v>3041</v>
      </c>
      <c r="F731" s="1" t="s">
        <v>3042</v>
      </c>
      <c r="G731" s="25">
        <v>44255</v>
      </c>
      <c r="H731" s="1" t="s">
        <v>4553</v>
      </c>
      <c r="I731" s="14" t="s">
        <v>510</v>
      </c>
      <c r="J731" s="1" t="s">
        <v>3006</v>
      </c>
      <c r="K731" s="14" t="s">
        <v>3007</v>
      </c>
      <c r="L731" s="1" t="s">
        <v>3008</v>
      </c>
      <c r="M731" s="1" t="s">
        <v>3016</v>
      </c>
      <c r="N731" s="1">
        <v>247</v>
      </c>
      <c r="O731" s="1" t="s">
        <v>976</v>
      </c>
      <c r="P731" s="5">
        <v>185</v>
      </c>
      <c r="Q731" s="5">
        <v>0</v>
      </c>
      <c r="R731" s="5">
        <v>185</v>
      </c>
      <c r="S731" s="5">
        <v>0</v>
      </c>
      <c r="T731" s="5" t="s">
        <v>24</v>
      </c>
      <c r="V731" s="5" t="s">
        <v>510</v>
      </c>
      <c r="AB731"/>
      <c r="AC731"/>
      <c r="AD731"/>
    </row>
    <row r="732" spans="1:30" x14ac:dyDescent="0.25">
      <c r="A732" t="s">
        <v>4914</v>
      </c>
      <c r="B732" t="s">
        <v>4915</v>
      </c>
      <c r="C732" s="9" t="s">
        <v>4916</v>
      </c>
      <c r="D732" s="9" t="s">
        <v>4917</v>
      </c>
      <c r="E732" s="5" t="s">
        <v>4918</v>
      </c>
      <c r="F732" s="1" t="s">
        <v>4919</v>
      </c>
      <c r="G732" s="25">
        <v>44312</v>
      </c>
      <c r="H732" s="1" t="s">
        <v>3465</v>
      </c>
      <c r="I732" s="14" t="s">
        <v>397</v>
      </c>
      <c r="J732" s="1" t="s">
        <v>3006</v>
      </c>
      <c r="K732" s="14" t="s">
        <v>3007</v>
      </c>
      <c r="L732" s="1" t="s">
        <v>3008</v>
      </c>
      <c r="M732" s="1" t="s">
        <v>3009</v>
      </c>
      <c r="N732" s="1">
        <v>340</v>
      </c>
      <c r="O732" s="1" t="s">
        <v>976</v>
      </c>
      <c r="P732" s="5">
        <v>894.48</v>
      </c>
      <c r="Q732" s="5">
        <v>0</v>
      </c>
      <c r="R732" s="5">
        <v>830</v>
      </c>
      <c r="S732" s="5">
        <v>64.48</v>
      </c>
      <c r="T732" s="5">
        <v>41</v>
      </c>
      <c r="V732" s="5" t="s">
        <v>397</v>
      </c>
      <c r="AB732"/>
      <c r="AC732"/>
      <c r="AD732"/>
    </row>
    <row r="733" spans="1:30" x14ac:dyDescent="0.25">
      <c r="A733" t="s">
        <v>4920</v>
      </c>
      <c r="B733" t="s">
        <v>4921</v>
      </c>
      <c r="C733" s="9" t="s">
        <v>4922</v>
      </c>
      <c r="D733" s="9">
        <v>966889292</v>
      </c>
      <c r="E733" s="5" t="s">
        <v>3041</v>
      </c>
      <c r="F733" s="1" t="s">
        <v>3947</v>
      </c>
      <c r="G733" s="25">
        <v>44545</v>
      </c>
      <c r="H733" s="1" t="s">
        <v>3027</v>
      </c>
      <c r="I733" s="14" t="s">
        <v>254</v>
      </c>
      <c r="J733" s="1" t="s">
        <v>3006</v>
      </c>
      <c r="K733" s="14" t="s">
        <v>3007</v>
      </c>
      <c r="L733" s="1" t="s">
        <v>3008</v>
      </c>
      <c r="M733" s="1" t="s">
        <v>3016</v>
      </c>
      <c r="N733" s="1">
        <v>1457</v>
      </c>
      <c r="O733" s="1" t="s">
        <v>976</v>
      </c>
      <c r="P733" s="5">
        <v>1696.88</v>
      </c>
      <c r="Q733" s="5">
        <v>0</v>
      </c>
      <c r="R733" s="5">
        <v>1665</v>
      </c>
      <c r="S733" s="5">
        <v>31.88</v>
      </c>
      <c r="T733" s="5" t="s">
        <v>22</v>
      </c>
      <c r="V733" s="5" t="s">
        <v>254</v>
      </c>
      <c r="AB733"/>
      <c r="AC733"/>
      <c r="AD733"/>
    </row>
    <row r="734" spans="1:30" x14ac:dyDescent="0.25">
      <c r="A734" t="s">
        <v>4923</v>
      </c>
      <c r="B734" t="s">
        <v>4924</v>
      </c>
      <c r="C734" s="9" t="s">
        <v>4925</v>
      </c>
      <c r="D734" s="9" t="s">
        <v>4926</v>
      </c>
      <c r="E734" s="5" t="s">
        <v>3003</v>
      </c>
      <c r="F734" s="1" t="s">
        <v>3004</v>
      </c>
      <c r="G734" s="25">
        <v>44493</v>
      </c>
      <c r="H734" s="1" t="s">
        <v>3015</v>
      </c>
      <c r="I734" s="14" t="s">
        <v>252</v>
      </c>
      <c r="J734" s="1" t="s">
        <v>3006</v>
      </c>
      <c r="K734" s="14" t="s">
        <v>3007</v>
      </c>
      <c r="L734" s="1" t="s">
        <v>3008</v>
      </c>
      <c r="M734" s="1" t="s">
        <v>3009</v>
      </c>
      <c r="N734" s="1">
        <v>1110</v>
      </c>
      <c r="O734" s="1" t="s">
        <v>976</v>
      </c>
      <c r="P734" s="5">
        <v>1197</v>
      </c>
      <c r="Q734" s="5">
        <v>133</v>
      </c>
      <c r="R734" s="5">
        <v>1330</v>
      </c>
      <c r="S734" s="5">
        <v>0</v>
      </c>
      <c r="T734" s="5" t="s">
        <v>22</v>
      </c>
      <c r="V734" s="5" t="s">
        <v>252</v>
      </c>
      <c r="AB734"/>
      <c r="AC734"/>
      <c r="AD734"/>
    </row>
    <row r="735" spans="1:30" x14ac:dyDescent="0.25">
      <c r="A735" t="s">
        <v>4923</v>
      </c>
      <c r="B735" t="s">
        <v>4924</v>
      </c>
      <c r="C735" s="9" t="s">
        <v>4925</v>
      </c>
      <c r="D735" s="9" t="s">
        <v>4926</v>
      </c>
      <c r="E735" s="5" t="s">
        <v>3003</v>
      </c>
      <c r="F735" s="1" t="s">
        <v>3004</v>
      </c>
      <c r="G735" s="25">
        <v>44493</v>
      </c>
      <c r="H735" s="1" t="s">
        <v>3369</v>
      </c>
      <c r="I735" s="14" t="s">
        <v>419</v>
      </c>
      <c r="J735" s="1" t="s">
        <v>3006</v>
      </c>
      <c r="K735" s="14" t="s">
        <v>3007</v>
      </c>
      <c r="L735" s="1" t="s">
        <v>3008</v>
      </c>
      <c r="M735" s="1" t="s">
        <v>3009</v>
      </c>
      <c r="N735" s="1">
        <v>1110</v>
      </c>
      <c r="O735" s="1" t="s">
        <v>976</v>
      </c>
      <c r="P735" s="5">
        <v>783</v>
      </c>
      <c r="Q735" s="5">
        <v>87</v>
      </c>
      <c r="R735" s="5">
        <v>870</v>
      </c>
      <c r="S735" s="5">
        <v>0</v>
      </c>
      <c r="T735" s="5">
        <v>43</v>
      </c>
      <c r="V735" s="5" t="s">
        <v>419</v>
      </c>
      <c r="AB735"/>
      <c r="AC735"/>
      <c r="AD735"/>
    </row>
    <row r="736" spans="1:30" x14ac:dyDescent="0.25">
      <c r="A736" t="s">
        <v>4927</v>
      </c>
      <c r="B736" t="s">
        <v>4928</v>
      </c>
      <c r="C736" s="9" t="s">
        <v>4929</v>
      </c>
      <c r="D736" s="9" t="s">
        <v>4930</v>
      </c>
      <c r="E736" s="5" t="s">
        <v>3514</v>
      </c>
      <c r="F736" s="1" t="s">
        <v>4083</v>
      </c>
      <c r="G736" s="25">
        <v>44580</v>
      </c>
      <c r="H736" s="1" t="s">
        <v>4931</v>
      </c>
      <c r="I736" s="14" t="s">
        <v>2846</v>
      </c>
      <c r="J736" s="1" t="s">
        <v>3006</v>
      </c>
      <c r="K736" s="14" t="s">
        <v>3007</v>
      </c>
      <c r="L736" s="1" t="s">
        <v>3008</v>
      </c>
      <c r="M736" s="1" t="s">
        <v>3009</v>
      </c>
      <c r="N736" s="1">
        <v>1687</v>
      </c>
      <c r="O736" s="1" t="s">
        <v>976</v>
      </c>
      <c r="P736" s="5">
        <v>593.04</v>
      </c>
      <c r="Q736" s="5">
        <v>102</v>
      </c>
      <c r="R736" s="5">
        <v>680</v>
      </c>
      <c r="S736" s="5">
        <v>15.04</v>
      </c>
      <c r="T736" s="5" t="s">
        <v>23</v>
      </c>
      <c r="U736" s="5" t="s">
        <v>2727</v>
      </c>
      <c r="V736" s="5" t="s">
        <v>831</v>
      </c>
      <c r="AB736"/>
      <c r="AC736"/>
      <c r="AD736"/>
    </row>
    <row r="737" spans="1:30" x14ac:dyDescent="0.25">
      <c r="A737" t="s">
        <v>4927</v>
      </c>
      <c r="B737" t="s">
        <v>4928</v>
      </c>
      <c r="C737" s="9" t="s">
        <v>4929</v>
      </c>
      <c r="D737" s="9" t="s">
        <v>4930</v>
      </c>
      <c r="E737" s="5" t="s">
        <v>3514</v>
      </c>
      <c r="F737" s="1" t="s">
        <v>4083</v>
      </c>
      <c r="G737" s="25">
        <v>44580</v>
      </c>
      <c r="H737" s="1" t="s">
        <v>4932</v>
      </c>
      <c r="I737" s="14" t="s">
        <v>2865</v>
      </c>
      <c r="J737" s="1" t="s">
        <v>3006</v>
      </c>
      <c r="K737" s="14" t="s">
        <v>3007</v>
      </c>
      <c r="L737" s="1" t="s">
        <v>3008</v>
      </c>
      <c r="M737" s="1" t="s">
        <v>3009</v>
      </c>
      <c r="N737" s="1">
        <v>1687</v>
      </c>
      <c r="O737" s="1" t="s">
        <v>976</v>
      </c>
      <c r="P737" s="5">
        <v>584.32000000000005</v>
      </c>
      <c r="Q737" s="5">
        <v>100.5</v>
      </c>
      <c r="R737" s="5">
        <v>670</v>
      </c>
      <c r="S737" s="5">
        <v>14.82</v>
      </c>
      <c r="T737" s="5" t="s">
        <v>24</v>
      </c>
      <c r="U737" s="5" t="s">
        <v>2482</v>
      </c>
      <c r="V737" s="5" t="s">
        <v>866</v>
      </c>
      <c r="AB737"/>
      <c r="AC737"/>
      <c r="AD737"/>
    </row>
    <row r="738" spans="1:30" x14ac:dyDescent="0.25">
      <c r="A738" t="s">
        <v>4927</v>
      </c>
      <c r="B738" t="s">
        <v>4928</v>
      </c>
      <c r="C738" s="9" t="s">
        <v>4929</v>
      </c>
      <c r="D738" s="9" t="s">
        <v>4930</v>
      </c>
      <c r="E738" s="5" t="s">
        <v>3514</v>
      </c>
      <c r="F738" s="1" t="s">
        <v>4083</v>
      </c>
      <c r="G738" s="25">
        <v>44580</v>
      </c>
      <c r="H738" s="1" t="s">
        <v>4933</v>
      </c>
      <c r="I738" s="14" t="s">
        <v>2877</v>
      </c>
      <c r="J738" s="1" t="s">
        <v>3006</v>
      </c>
      <c r="K738" s="14" t="s">
        <v>3007</v>
      </c>
      <c r="L738" s="1" t="s">
        <v>3008</v>
      </c>
      <c r="M738" s="1" t="s">
        <v>3009</v>
      </c>
      <c r="N738" s="1">
        <v>1687</v>
      </c>
      <c r="O738" s="1" t="s">
        <v>976</v>
      </c>
      <c r="P738" s="5">
        <v>758.75</v>
      </c>
      <c r="Q738" s="5">
        <v>130.5</v>
      </c>
      <c r="R738" s="5">
        <v>870</v>
      </c>
      <c r="S738" s="5">
        <v>19.25</v>
      </c>
      <c r="T738" s="5" t="s">
        <v>23</v>
      </c>
      <c r="U738" s="5" t="s">
        <v>2447</v>
      </c>
      <c r="V738" s="5" t="s">
        <v>883</v>
      </c>
      <c r="AB738"/>
      <c r="AC738"/>
      <c r="AD738"/>
    </row>
    <row r="739" spans="1:30" x14ac:dyDescent="0.25">
      <c r="A739" t="s">
        <v>4934</v>
      </c>
      <c r="B739" t="s">
        <v>4935</v>
      </c>
      <c r="C739" s="9" t="s">
        <v>4936</v>
      </c>
      <c r="D739" s="9">
        <v>998182223</v>
      </c>
      <c r="E739" s="5" t="s">
        <v>3514</v>
      </c>
      <c r="F739" s="1" t="s">
        <v>4937</v>
      </c>
      <c r="G739" s="25">
        <v>44452</v>
      </c>
      <c r="H739" s="1" t="s">
        <v>4371</v>
      </c>
      <c r="I739" s="14" t="s">
        <v>2816</v>
      </c>
      <c r="J739" s="1" t="s">
        <v>3006</v>
      </c>
      <c r="K739" s="14" t="s">
        <v>3007</v>
      </c>
      <c r="L739" s="1" t="s">
        <v>3008</v>
      </c>
      <c r="M739" s="1" t="s">
        <v>3009</v>
      </c>
      <c r="N739" s="1">
        <v>911</v>
      </c>
      <c r="O739" s="1" t="s">
        <v>976</v>
      </c>
      <c r="P739" s="5">
        <v>488.52</v>
      </c>
      <c r="Q739" s="5">
        <v>0</v>
      </c>
      <c r="R739" s="5">
        <v>460</v>
      </c>
      <c r="S739" s="5">
        <v>28.52</v>
      </c>
      <c r="T739" s="5" t="s">
        <v>22</v>
      </c>
      <c r="U739" s="5" t="s">
        <v>2443</v>
      </c>
      <c r="V739" s="5" t="s">
        <v>793</v>
      </c>
      <c r="AB739"/>
      <c r="AC739"/>
      <c r="AD739"/>
    </row>
    <row r="740" spans="1:30" x14ac:dyDescent="0.25">
      <c r="A740" t="s">
        <v>4938</v>
      </c>
      <c r="B740" t="s">
        <v>4939</v>
      </c>
      <c r="C740" s="9" t="s">
        <v>4940</v>
      </c>
      <c r="D740" s="9" t="s">
        <v>4941</v>
      </c>
      <c r="E740" s="5" t="s">
        <v>3003</v>
      </c>
      <c r="F740" s="1" t="s">
        <v>3004</v>
      </c>
      <c r="G740" s="25">
        <v>44414</v>
      </c>
      <c r="H740" s="1" t="s">
        <v>3027</v>
      </c>
      <c r="I740" s="14" t="s">
        <v>254</v>
      </c>
      <c r="J740" s="1" t="s">
        <v>3006</v>
      </c>
      <c r="K740" s="14" t="s">
        <v>3007</v>
      </c>
      <c r="L740" s="1" t="s">
        <v>3008</v>
      </c>
      <c r="M740" s="1" t="s">
        <v>3016</v>
      </c>
      <c r="N740" s="1">
        <v>746</v>
      </c>
      <c r="O740" s="1" t="s">
        <v>976</v>
      </c>
      <c r="P740" s="5">
        <v>1263.5</v>
      </c>
      <c r="Q740" s="5">
        <v>66.5</v>
      </c>
      <c r="R740" s="5">
        <v>1330</v>
      </c>
      <c r="S740" s="5">
        <v>0</v>
      </c>
      <c r="T740" s="5" t="s">
        <v>22</v>
      </c>
      <c r="V740" s="5" t="s">
        <v>254</v>
      </c>
      <c r="AB740"/>
      <c r="AC740"/>
      <c r="AD740"/>
    </row>
    <row r="741" spans="1:30" x14ac:dyDescent="0.25">
      <c r="A741" t="s">
        <v>4942</v>
      </c>
      <c r="B741" t="s">
        <v>4943</v>
      </c>
      <c r="C741" s="9" t="s">
        <v>4944</v>
      </c>
      <c r="D741" s="9">
        <v>973786487</v>
      </c>
      <c r="E741" s="5" t="s">
        <v>3003</v>
      </c>
      <c r="F741" s="1" t="s">
        <v>3004</v>
      </c>
      <c r="G741" s="25">
        <v>44387</v>
      </c>
      <c r="H741" s="1" t="s">
        <v>3610</v>
      </c>
      <c r="I741" s="14" t="s">
        <v>2841</v>
      </c>
      <c r="J741" s="1" t="s">
        <v>3006</v>
      </c>
      <c r="K741" s="14" t="s">
        <v>3007</v>
      </c>
      <c r="L741" s="1" t="s">
        <v>3008</v>
      </c>
      <c r="M741" s="1" t="s">
        <v>3016</v>
      </c>
      <c r="N741" s="1">
        <v>612</v>
      </c>
      <c r="O741" s="1" t="s">
        <v>976</v>
      </c>
      <c r="P741" s="5">
        <v>64.849999999999994</v>
      </c>
      <c r="Q741" s="5">
        <v>5.99</v>
      </c>
      <c r="R741" s="5">
        <v>59.9</v>
      </c>
      <c r="S741" s="5">
        <v>10.94</v>
      </c>
      <c r="T741" s="5">
        <v>41</v>
      </c>
      <c r="U741" s="5" t="s">
        <v>2482</v>
      </c>
      <c r="V741" s="5" t="s">
        <v>827</v>
      </c>
      <c r="AB741"/>
      <c r="AC741"/>
      <c r="AD741"/>
    </row>
    <row r="742" spans="1:30" x14ac:dyDescent="0.25">
      <c r="A742" t="s">
        <v>4945</v>
      </c>
      <c r="B742" t="s">
        <v>4946</v>
      </c>
      <c r="C742" s="9" t="s">
        <v>4947</v>
      </c>
      <c r="D742" s="9" t="s">
        <v>4948</v>
      </c>
      <c r="E742" s="5" t="s">
        <v>3003</v>
      </c>
      <c r="F742" s="1" t="s">
        <v>3004</v>
      </c>
      <c r="G742" s="25">
        <v>44593</v>
      </c>
      <c r="H742" s="1" t="s">
        <v>3160</v>
      </c>
      <c r="I742" s="14" t="s">
        <v>488</v>
      </c>
      <c r="J742" s="1" t="s">
        <v>3006</v>
      </c>
      <c r="K742" s="14" t="s">
        <v>3007</v>
      </c>
      <c r="L742" s="1" t="s">
        <v>3008</v>
      </c>
      <c r="M742" s="1" t="s">
        <v>3009</v>
      </c>
      <c r="N742" s="1">
        <v>1749</v>
      </c>
      <c r="O742" s="1" t="s">
        <v>976</v>
      </c>
      <c r="P742" s="5">
        <v>273.24</v>
      </c>
      <c r="Q742" s="5">
        <v>47.25</v>
      </c>
      <c r="R742" s="5">
        <v>315</v>
      </c>
      <c r="S742" s="5">
        <v>5.49</v>
      </c>
      <c r="T742" s="5" t="s">
        <v>22</v>
      </c>
      <c r="V742" s="5" t="s">
        <v>488</v>
      </c>
      <c r="AB742"/>
      <c r="AC742"/>
      <c r="AD742"/>
    </row>
    <row r="743" spans="1:30" x14ac:dyDescent="0.25">
      <c r="A743" t="s">
        <v>4945</v>
      </c>
      <c r="B743" t="s">
        <v>4946</v>
      </c>
      <c r="C743" s="9" t="s">
        <v>4947</v>
      </c>
      <c r="D743" s="9" t="s">
        <v>4948</v>
      </c>
      <c r="E743" s="5" t="s">
        <v>3003</v>
      </c>
      <c r="F743" s="1" t="s">
        <v>3004</v>
      </c>
      <c r="G743" s="25">
        <v>44593</v>
      </c>
      <c r="H743" s="1" t="s">
        <v>3266</v>
      </c>
      <c r="I743" s="14" t="s">
        <v>500</v>
      </c>
      <c r="J743" s="1" t="s">
        <v>3006</v>
      </c>
      <c r="K743" s="14" t="s">
        <v>3007</v>
      </c>
      <c r="L743" s="1" t="s">
        <v>3008</v>
      </c>
      <c r="M743" s="1" t="s">
        <v>3009</v>
      </c>
      <c r="N743" s="1">
        <v>1749</v>
      </c>
      <c r="O743" s="1" t="s">
        <v>976</v>
      </c>
      <c r="P743" s="5">
        <v>273.25</v>
      </c>
      <c r="Q743" s="5">
        <v>47.25</v>
      </c>
      <c r="R743" s="5">
        <v>315</v>
      </c>
      <c r="S743" s="5">
        <v>5.5</v>
      </c>
      <c r="T743" s="5" t="s">
        <v>22</v>
      </c>
      <c r="V743" s="5" t="s">
        <v>500</v>
      </c>
      <c r="AB743"/>
      <c r="AC743"/>
      <c r="AD743"/>
    </row>
    <row r="744" spans="1:30" x14ac:dyDescent="0.25">
      <c r="A744" t="s">
        <v>4949</v>
      </c>
      <c r="B744" t="s">
        <v>4950</v>
      </c>
      <c r="C744" s="9" t="s">
        <v>4951</v>
      </c>
      <c r="D744" s="9">
        <v>983133983</v>
      </c>
      <c r="E744" s="5" t="s">
        <v>3187</v>
      </c>
      <c r="F744" s="1" t="s">
        <v>3188</v>
      </c>
      <c r="G744" s="25">
        <v>44351</v>
      </c>
      <c r="H744" s="1" t="s">
        <v>3135</v>
      </c>
      <c r="I744" s="14" t="s">
        <v>523</v>
      </c>
      <c r="J744" s="1" t="s">
        <v>3006</v>
      </c>
      <c r="K744" s="14" t="s">
        <v>3007</v>
      </c>
      <c r="L744" s="1" t="s">
        <v>3008</v>
      </c>
      <c r="M744" s="1" t="s">
        <v>3009</v>
      </c>
      <c r="N744" s="1">
        <v>470</v>
      </c>
      <c r="O744" s="1" t="s">
        <v>976</v>
      </c>
      <c r="P744" s="5">
        <v>205.49</v>
      </c>
      <c r="Q744" s="5">
        <v>0</v>
      </c>
      <c r="R744" s="5">
        <v>185</v>
      </c>
      <c r="S744" s="5">
        <v>20.49</v>
      </c>
      <c r="T744" s="5" t="s">
        <v>22</v>
      </c>
      <c r="V744" s="5" t="s">
        <v>523</v>
      </c>
      <c r="AB744"/>
      <c r="AC744"/>
      <c r="AD744"/>
    </row>
    <row r="745" spans="1:30" x14ac:dyDescent="0.25">
      <c r="A745" t="s">
        <v>4949</v>
      </c>
      <c r="B745" t="s">
        <v>4950</v>
      </c>
      <c r="C745" s="9" t="s">
        <v>4951</v>
      </c>
      <c r="D745" s="9">
        <v>983133983</v>
      </c>
      <c r="E745" s="5" t="s">
        <v>3187</v>
      </c>
      <c r="F745" s="1" t="s">
        <v>3188</v>
      </c>
      <c r="G745" s="25">
        <v>44351</v>
      </c>
      <c r="H745" s="1" t="s">
        <v>3154</v>
      </c>
      <c r="I745" s="14" t="s">
        <v>2841</v>
      </c>
      <c r="J745" s="1" t="s">
        <v>3006</v>
      </c>
      <c r="K745" s="14" t="s">
        <v>3007</v>
      </c>
      <c r="L745" s="1" t="s">
        <v>3008</v>
      </c>
      <c r="M745" s="1" t="s">
        <v>3009</v>
      </c>
      <c r="N745" s="1">
        <v>470</v>
      </c>
      <c r="O745" s="1" t="s">
        <v>976</v>
      </c>
      <c r="P745" s="5">
        <v>66.53</v>
      </c>
      <c r="Q745" s="5">
        <v>0</v>
      </c>
      <c r="R745" s="5">
        <v>59.9</v>
      </c>
      <c r="S745" s="5">
        <v>6.63</v>
      </c>
      <c r="T745" s="5">
        <v>39</v>
      </c>
      <c r="U745" s="5" t="s">
        <v>2472</v>
      </c>
      <c r="V745" s="5" t="s">
        <v>826</v>
      </c>
      <c r="AB745"/>
      <c r="AC745"/>
      <c r="AD745"/>
    </row>
    <row r="746" spans="1:30" x14ac:dyDescent="0.25">
      <c r="A746" t="s">
        <v>4949</v>
      </c>
      <c r="B746" t="s">
        <v>4950</v>
      </c>
      <c r="C746" s="9" t="s">
        <v>4951</v>
      </c>
      <c r="D746" s="9">
        <v>983133983</v>
      </c>
      <c r="E746" s="5" t="s">
        <v>3187</v>
      </c>
      <c r="F746" s="1" t="s">
        <v>3188</v>
      </c>
      <c r="G746" s="25">
        <v>44364</v>
      </c>
      <c r="H746" s="1" t="s">
        <v>3027</v>
      </c>
      <c r="I746" s="14" t="s">
        <v>254</v>
      </c>
      <c r="J746" s="1" t="s">
        <v>3006</v>
      </c>
      <c r="K746" s="14" t="s">
        <v>3007</v>
      </c>
      <c r="L746" s="1" t="s">
        <v>3008</v>
      </c>
      <c r="M746" s="1" t="s">
        <v>3016</v>
      </c>
      <c r="N746" s="1">
        <v>526</v>
      </c>
      <c r="O746" s="1" t="s">
        <v>976</v>
      </c>
      <c r="P746" s="5">
        <v>1236.58</v>
      </c>
      <c r="Q746" s="5">
        <v>0</v>
      </c>
      <c r="R746" s="5">
        <v>1200</v>
      </c>
      <c r="S746" s="5">
        <v>36.58</v>
      </c>
      <c r="T746" s="5" t="s">
        <v>22</v>
      </c>
      <c r="V746" s="5" t="s">
        <v>254</v>
      </c>
      <c r="AB746"/>
      <c r="AC746"/>
      <c r="AD746"/>
    </row>
    <row r="747" spans="1:30" x14ac:dyDescent="0.25">
      <c r="A747" t="s">
        <v>4952</v>
      </c>
      <c r="B747" t="s">
        <v>4953</v>
      </c>
      <c r="C747" s="9" t="s">
        <v>4954</v>
      </c>
      <c r="D747" s="9" t="s">
        <v>4955</v>
      </c>
      <c r="E747" s="5" t="s">
        <v>3003</v>
      </c>
      <c r="F747" s="1" t="s">
        <v>3004</v>
      </c>
      <c r="G747" s="25">
        <v>44551</v>
      </c>
      <c r="H747" s="1" t="s">
        <v>4956</v>
      </c>
      <c r="I747" s="14" t="s">
        <v>2970</v>
      </c>
      <c r="J747" s="1" t="s">
        <v>3006</v>
      </c>
      <c r="K747" s="14" t="s">
        <v>3007</v>
      </c>
      <c r="L747" s="1" t="s">
        <v>3008</v>
      </c>
      <c r="M747" s="1" t="s">
        <v>3016</v>
      </c>
      <c r="N747" s="1">
        <v>1527</v>
      </c>
      <c r="O747" s="1" t="s">
        <v>976</v>
      </c>
      <c r="P747" s="5">
        <v>234.9</v>
      </c>
      <c r="Q747" s="5">
        <v>0</v>
      </c>
      <c r="R747" s="5">
        <v>220</v>
      </c>
      <c r="S747" s="5">
        <v>14.9</v>
      </c>
      <c r="T747" s="5" t="s">
        <v>24</v>
      </c>
      <c r="U747" s="5" t="s">
        <v>2482</v>
      </c>
      <c r="V747" s="5" t="s">
        <v>942</v>
      </c>
      <c r="AB747"/>
      <c r="AC747"/>
      <c r="AD747"/>
    </row>
    <row r="748" spans="1:30" x14ac:dyDescent="0.25">
      <c r="A748" t="s">
        <v>4952</v>
      </c>
      <c r="B748" t="s">
        <v>4953</v>
      </c>
      <c r="C748" s="9" t="s">
        <v>4954</v>
      </c>
      <c r="D748" s="9" t="s">
        <v>4955</v>
      </c>
      <c r="E748" s="5" t="s">
        <v>3003</v>
      </c>
      <c r="F748" s="1" t="s">
        <v>3004</v>
      </c>
      <c r="G748" s="25">
        <v>44572</v>
      </c>
      <c r="H748" s="1" t="s">
        <v>4957</v>
      </c>
      <c r="I748" s="14" t="s">
        <v>2805</v>
      </c>
      <c r="J748" s="1" t="s">
        <v>3006</v>
      </c>
      <c r="K748" s="14" t="s">
        <v>3007</v>
      </c>
      <c r="L748" s="1" t="s">
        <v>3008</v>
      </c>
      <c r="M748" s="1" t="s">
        <v>3009</v>
      </c>
      <c r="N748" s="1">
        <v>1623</v>
      </c>
      <c r="O748" s="1" t="s">
        <v>976</v>
      </c>
      <c r="P748" s="5">
        <v>580</v>
      </c>
      <c r="Q748" s="5">
        <v>0</v>
      </c>
      <c r="R748" s="5">
        <v>580</v>
      </c>
      <c r="S748" s="5">
        <v>0</v>
      </c>
      <c r="T748" s="5">
        <v>42</v>
      </c>
      <c r="U748" s="5" t="s">
        <v>2447</v>
      </c>
      <c r="V748" s="5" t="s">
        <v>773</v>
      </c>
      <c r="AB748"/>
      <c r="AC748"/>
      <c r="AD748"/>
    </row>
    <row r="749" spans="1:30" x14ac:dyDescent="0.25">
      <c r="A749" t="s">
        <v>4958</v>
      </c>
      <c r="B749" t="s">
        <v>4959</v>
      </c>
      <c r="C749" s="9" t="s">
        <v>4960</v>
      </c>
      <c r="D749" s="9">
        <v>954002985</v>
      </c>
      <c r="E749" s="5" t="s">
        <v>3003</v>
      </c>
      <c r="F749" s="1" t="s">
        <v>3004</v>
      </c>
      <c r="G749" s="25">
        <v>44312</v>
      </c>
      <c r="H749" s="1" t="s">
        <v>4552</v>
      </c>
      <c r="I749" s="14" t="s">
        <v>507</v>
      </c>
      <c r="J749" s="1" t="s">
        <v>3006</v>
      </c>
      <c r="K749" s="14" t="s">
        <v>3007</v>
      </c>
      <c r="L749" s="1" t="s">
        <v>3008</v>
      </c>
      <c r="M749" s="1" t="s">
        <v>3016</v>
      </c>
      <c r="N749" s="1">
        <v>348</v>
      </c>
      <c r="O749" s="1" t="s">
        <v>976</v>
      </c>
      <c r="P749" s="5">
        <v>382.8</v>
      </c>
      <c r="Q749" s="5">
        <v>0</v>
      </c>
      <c r="R749" s="5">
        <v>370</v>
      </c>
      <c r="S749" s="5">
        <v>12.8</v>
      </c>
      <c r="T749" s="5" t="s">
        <v>24</v>
      </c>
      <c r="V749" s="5" t="s">
        <v>507</v>
      </c>
      <c r="AB749"/>
      <c r="AC749"/>
      <c r="AD749"/>
    </row>
    <row r="750" spans="1:30" x14ac:dyDescent="0.25">
      <c r="A750" t="s">
        <v>4961</v>
      </c>
      <c r="B750" t="s">
        <v>4962</v>
      </c>
      <c r="C750" s="9" t="s">
        <v>4963</v>
      </c>
      <c r="D750" s="9">
        <v>998276912</v>
      </c>
      <c r="E750" s="5" t="s">
        <v>3041</v>
      </c>
      <c r="F750" s="1" t="s">
        <v>4964</v>
      </c>
      <c r="G750" s="25">
        <v>44536</v>
      </c>
      <c r="H750" s="1" t="s">
        <v>3027</v>
      </c>
      <c r="I750" s="14" t="s">
        <v>254</v>
      </c>
      <c r="J750" s="1" t="s">
        <v>3006</v>
      </c>
      <c r="K750" s="14" t="s">
        <v>3007</v>
      </c>
      <c r="L750" s="1" t="s">
        <v>3008</v>
      </c>
      <c r="M750" s="1" t="s">
        <v>3016</v>
      </c>
      <c r="N750" s="1">
        <v>1360</v>
      </c>
      <c r="O750" s="1" t="s">
        <v>976</v>
      </c>
      <c r="P750" s="5">
        <v>1417.99</v>
      </c>
      <c r="Q750" s="5">
        <v>0</v>
      </c>
      <c r="R750" s="5">
        <v>1380</v>
      </c>
      <c r="S750" s="5">
        <v>37.99</v>
      </c>
      <c r="T750" s="5" t="s">
        <v>22</v>
      </c>
      <c r="V750" s="5" t="s">
        <v>254</v>
      </c>
      <c r="AB750"/>
      <c r="AC750"/>
      <c r="AD750"/>
    </row>
    <row r="751" spans="1:30" x14ac:dyDescent="0.25">
      <c r="A751" t="s">
        <v>4965</v>
      </c>
      <c r="B751" t="s">
        <v>4966</v>
      </c>
      <c r="C751" s="9" t="s">
        <v>4967</v>
      </c>
      <c r="D751" s="9">
        <v>996134177</v>
      </c>
      <c r="E751" s="5" t="s">
        <v>3041</v>
      </c>
      <c r="F751" s="1" t="s">
        <v>3947</v>
      </c>
      <c r="G751" s="25">
        <v>44536</v>
      </c>
      <c r="H751" s="1" t="s">
        <v>3410</v>
      </c>
      <c r="I751" s="14" t="s">
        <v>2792</v>
      </c>
      <c r="J751" s="1" t="s">
        <v>3006</v>
      </c>
      <c r="K751" s="14" t="s">
        <v>3007</v>
      </c>
      <c r="L751" s="1" t="s">
        <v>3008</v>
      </c>
      <c r="M751" s="1" t="s">
        <v>3016</v>
      </c>
      <c r="N751" s="1">
        <v>1365</v>
      </c>
      <c r="O751" s="1" t="s">
        <v>976</v>
      </c>
      <c r="P751" s="5">
        <v>1277.23</v>
      </c>
      <c r="Q751" s="5">
        <v>138</v>
      </c>
      <c r="R751" s="5">
        <v>1380</v>
      </c>
      <c r="S751" s="5">
        <v>35.229999999999997</v>
      </c>
      <c r="T751" s="5" t="s">
        <v>22</v>
      </c>
      <c r="U751" s="5" t="s">
        <v>2727</v>
      </c>
      <c r="V751" s="5" t="s">
        <v>764</v>
      </c>
      <c r="AB751"/>
      <c r="AC751"/>
      <c r="AD751"/>
    </row>
    <row r="752" spans="1:30" x14ac:dyDescent="0.25">
      <c r="A752" t="s">
        <v>4968</v>
      </c>
      <c r="B752" t="s">
        <v>4969</v>
      </c>
      <c r="C752" s="9" t="s">
        <v>4970</v>
      </c>
      <c r="D752" s="9" t="s">
        <v>4971</v>
      </c>
      <c r="E752" s="5" t="s">
        <v>3107</v>
      </c>
      <c r="F752" s="1" t="s">
        <v>3108</v>
      </c>
      <c r="G752" s="25">
        <v>44547</v>
      </c>
      <c r="H752" s="1" t="s">
        <v>4181</v>
      </c>
      <c r="I752" s="14" t="s">
        <v>381</v>
      </c>
      <c r="J752" s="1" t="s">
        <v>3006</v>
      </c>
      <c r="K752" s="14" t="s">
        <v>3007</v>
      </c>
      <c r="L752" s="1" t="s">
        <v>3008</v>
      </c>
      <c r="M752" s="1" t="s">
        <v>3016</v>
      </c>
      <c r="N752" s="1">
        <v>1493</v>
      </c>
      <c r="O752" s="1" t="s">
        <v>976</v>
      </c>
      <c r="P752" s="5">
        <v>295.2</v>
      </c>
      <c r="Q752" s="5">
        <v>32.799999999999997</v>
      </c>
      <c r="R752" s="5">
        <v>328</v>
      </c>
      <c r="S752" s="5">
        <v>0</v>
      </c>
      <c r="T752" s="5" t="s">
        <v>26</v>
      </c>
      <c r="V752" s="5" t="s">
        <v>381</v>
      </c>
      <c r="AB752"/>
      <c r="AC752"/>
      <c r="AD752"/>
    </row>
    <row r="753" spans="1:30" x14ac:dyDescent="0.25">
      <c r="A753" t="s">
        <v>4972</v>
      </c>
      <c r="B753" t="s">
        <v>4973</v>
      </c>
      <c r="C753" s="9" t="s">
        <v>4974</v>
      </c>
      <c r="D753" s="9">
        <v>999036791</v>
      </c>
      <c r="E753" s="5" t="s">
        <v>3041</v>
      </c>
      <c r="F753" s="1" t="s">
        <v>3042</v>
      </c>
      <c r="G753" s="25">
        <v>44530</v>
      </c>
      <c r="H753" s="1" t="s">
        <v>4975</v>
      </c>
      <c r="I753" s="14" t="s">
        <v>2814</v>
      </c>
      <c r="J753" s="1" t="s">
        <v>3006</v>
      </c>
      <c r="K753" s="14" t="s">
        <v>3007</v>
      </c>
      <c r="L753" s="1" t="s">
        <v>3008</v>
      </c>
      <c r="M753" s="1" t="s">
        <v>3009</v>
      </c>
      <c r="N753" s="1">
        <v>1329</v>
      </c>
      <c r="O753" s="1" t="s">
        <v>976</v>
      </c>
      <c r="P753" s="5">
        <v>612.55999999999995</v>
      </c>
      <c r="Q753" s="5">
        <v>0</v>
      </c>
      <c r="R753" s="5">
        <v>585</v>
      </c>
      <c r="S753" s="5">
        <v>27.56</v>
      </c>
      <c r="T753" s="5" t="s">
        <v>24</v>
      </c>
      <c r="U753" s="5" t="s">
        <v>2482</v>
      </c>
      <c r="V753" s="5" t="s">
        <v>789</v>
      </c>
      <c r="AB753"/>
      <c r="AC753"/>
      <c r="AD753"/>
    </row>
    <row r="754" spans="1:30" x14ac:dyDescent="0.25">
      <c r="A754" t="s">
        <v>4976</v>
      </c>
      <c r="B754" t="s">
        <v>4977</v>
      </c>
      <c r="C754" s="9" t="s">
        <v>4978</v>
      </c>
      <c r="D754" s="9">
        <v>997352202</v>
      </c>
      <c r="E754" s="5" t="s">
        <v>3003</v>
      </c>
      <c r="F754" s="1" t="s">
        <v>3004</v>
      </c>
      <c r="G754" s="25">
        <v>44389</v>
      </c>
      <c r="H754" s="1" t="s">
        <v>3563</v>
      </c>
      <c r="I754" s="14" t="s">
        <v>2841</v>
      </c>
      <c r="J754" s="1" t="s">
        <v>3006</v>
      </c>
      <c r="K754" s="14" t="s">
        <v>3007</v>
      </c>
      <c r="L754" s="1" t="s">
        <v>3008</v>
      </c>
      <c r="M754" s="1" t="s">
        <v>3016</v>
      </c>
      <c r="N754" s="1">
        <v>619</v>
      </c>
      <c r="O754" s="1" t="s">
        <v>976</v>
      </c>
      <c r="P754" s="5">
        <v>64.849999999999994</v>
      </c>
      <c r="Q754" s="5">
        <v>5.99</v>
      </c>
      <c r="R754" s="5">
        <v>59.9</v>
      </c>
      <c r="S754" s="5">
        <v>10.94</v>
      </c>
      <c r="T754" s="5">
        <v>43</v>
      </c>
      <c r="U754" s="5" t="s">
        <v>2472</v>
      </c>
      <c r="V754" s="5" t="s">
        <v>826</v>
      </c>
      <c r="AB754"/>
      <c r="AC754"/>
      <c r="AD754"/>
    </row>
    <row r="755" spans="1:30" x14ac:dyDescent="0.25">
      <c r="A755" t="s">
        <v>4979</v>
      </c>
      <c r="B755" t="s">
        <v>4980</v>
      </c>
      <c r="C755" s="9" t="s">
        <v>4981</v>
      </c>
      <c r="D755" s="9">
        <v>991054747</v>
      </c>
      <c r="E755" s="5" t="s">
        <v>3733</v>
      </c>
      <c r="F755" s="1" t="s">
        <v>4020</v>
      </c>
      <c r="G755" s="25">
        <v>44446</v>
      </c>
      <c r="H755" s="1" t="s">
        <v>3129</v>
      </c>
      <c r="I755" s="14" t="s">
        <v>2790</v>
      </c>
      <c r="J755" s="1" t="s">
        <v>3006</v>
      </c>
      <c r="K755" s="14" t="s">
        <v>3007</v>
      </c>
      <c r="L755" s="1" t="s">
        <v>3008</v>
      </c>
      <c r="M755" s="1" t="s">
        <v>3009</v>
      </c>
      <c r="N755" s="1">
        <v>870</v>
      </c>
      <c r="O755" s="1" t="s">
        <v>976</v>
      </c>
      <c r="P755" s="5">
        <v>1603.97</v>
      </c>
      <c r="Q755" s="5">
        <v>175</v>
      </c>
      <c r="R755" s="5">
        <v>1750</v>
      </c>
      <c r="S755" s="5">
        <v>28.97</v>
      </c>
      <c r="T755" s="5" t="s">
        <v>5574</v>
      </c>
      <c r="U755" s="5" t="s">
        <v>2482</v>
      </c>
      <c r="V755" s="5" t="s">
        <v>246</v>
      </c>
      <c r="AB755"/>
      <c r="AC755"/>
      <c r="AD755"/>
    </row>
    <row r="756" spans="1:30" x14ac:dyDescent="0.25">
      <c r="A756" t="s">
        <v>4982</v>
      </c>
      <c r="B756" t="s">
        <v>4983</v>
      </c>
      <c r="C756" s="9" t="s">
        <v>4984</v>
      </c>
      <c r="D756" s="9">
        <v>971392020</v>
      </c>
      <c r="E756" s="5" t="s">
        <v>3003</v>
      </c>
      <c r="F756" s="1" t="s">
        <v>3004</v>
      </c>
      <c r="G756" s="25">
        <v>44258</v>
      </c>
      <c r="H756" s="1" t="s">
        <v>3392</v>
      </c>
      <c r="I756" s="14" t="s">
        <v>297</v>
      </c>
      <c r="J756" s="1" t="s">
        <v>3006</v>
      </c>
      <c r="K756" s="14" t="s">
        <v>3007</v>
      </c>
      <c r="L756" s="1" t="s">
        <v>3008</v>
      </c>
      <c r="M756" s="1" t="s">
        <v>3009</v>
      </c>
      <c r="N756" s="1">
        <v>259</v>
      </c>
      <c r="O756" s="1" t="s">
        <v>976</v>
      </c>
      <c r="P756" s="5">
        <v>553.5</v>
      </c>
      <c r="Q756" s="5">
        <v>61.5</v>
      </c>
      <c r="R756" s="5">
        <v>615</v>
      </c>
      <c r="S756" s="5">
        <v>0</v>
      </c>
      <c r="T756" s="5" t="s">
        <v>23</v>
      </c>
      <c r="V756" s="5" t="s">
        <v>297</v>
      </c>
      <c r="AB756"/>
      <c r="AC756"/>
      <c r="AD756"/>
    </row>
    <row r="757" spans="1:30" x14ac:dyDescent="0.25">
      <c r="A757" t="s">
        <v>4985</v>
      </c>
      <c r="B757" t="s">
        <v>4986</v>
      </c>
      <c r="C757" s="9" t="s">
        <v>4987</v>
      </c>
      <c r="D757" s="9">
        <v>973663131</v>
      </c>
      <c r="E757" s="5" t="s">
        <v>3003</v>
      </c>
      <c r="F757" s="1" t="s">
        <v>3004</v>
      </c>
      <c r="G757" s="25">
        <v>44469</v>
      </c>
      <c r="H757" s="1" t="s">
        <v>4988</v>
      </c>
      <c r="I757" s="14" t="s">
        <v>2805</v>
      </c>
      <c r="J757" s="1" t="s">
        <v>3006</v>
      </c>
      <c r="K757" s="14" t="s">
        <v>3007</v>
      </c>
      <c r="L757" s="1" t="s">
        <v>3008</v>
      </c>
      <c r="M757" s="1" t="s">
        <v>3009</v>
      </c>
      <c r="N757" s="1">
        <v>995</v>
      </c>
      <c r="O757" s="1" t="s">
        <v>976</v>
      </c>
      <c r="P757" s="5">
        <v>0.01</v>
      </c>
      <c r="Q757" s="5">
        <v>469.99</v>
      </c>
      <c r="R757" s="5">
        <v>470</v>
      </c>
      <c r="S757" s="5">
        <v>0</v>
      </c>
      <c r="T757" s="5">
        <v>44</v>
      </c>
      <c r="U757" s="5" t="s">
        <v>2443</v>
      </c>
      <c r="V757" s="5" t="s">
        <v>776</v>
      </c>
      <c r="AB757"/>
      <c r="AC757"/>
      <c r="AD757"/>
    </row>
    <row r="758" spans="1:30" x14ac:dyDescent="0.25">
      <c r="A758" t="s">
        <v>4989</v>
      </c>
      <c r="B758" t="s">
        <v>4990</v>
      </c>
      <c r="C758" s="9" t="s">
        <v>4991</v>
      </c>
      <c r="D758" s="9">
        <v>982025657</v>
      </c>
      <c r="E758" s="5" t="s">
        <v>3003</v>
      </c>
      <c r="F758" s="1" t="s">
        <v>3004</v>
      </c>
      <c r="G758" s="25">
        <v>44268</v>
      </c>
      <c r="H758" s="1" t="s">
        <v>3783</v>
      </c>
      <c r="I758" s="14" t="s">
        <v>1254</v>
      </c>
      <c r="J758" s="1" t="s">
        <v>3006</v>
      </c>
      <c r="K758" s="14" t="s">
        <v>3007</v>
      </c>
      <c r="L758" s="1" t="s">
        <v>3008</v>
      </c>
      <c r="M758" s="1" t="s">
        <v>3016</v>
      </c>
      <c r="N758" s="1">
        <v>278</v>
      </c>
      <c r="O758" s="1" t="s">
        <v>976</v>
      </c>
      <c r="P758" s="5">
        <v>775.01</v>
      </c>
      <c r="Q758" s="5">
        <v>0</v>
      </c>
      <c r="R758" s="5">
        <v>759</v>
      </c>
      <c r="S758" s="5">
        <v>16.010000000000002</v>
      </c>
      <c r="T758" s="5" t="s">
        <v>23</v>
      </c>
      <c r="U758" s="5" t="s">
        <v>2443</v>
      </c>
      <c r="V758" s="5" t="s">
        <v>912</v>
      </c>
      <c r="AB758"/>
      <c r="AC758"/>
      <c r="AD758"/>
    </row>
    <row r="759" spans="1:30" x14ac:dyDescent="0.25">
      <c r="A759" t="s">
        <v>4992</v>
      </c>
      <c r="B759" t="s">
        <v>4993</v>
      </c>
      <c r="C759" s="9" t="s">
        <v>4994</v>
      </c>
      <c r="D759" s="9" t="s">
        <v>4995</v>
      </c>
      <c r="E759" s="5" t="s">
        <v>3753</v>
      </c>
      <c r="F759" s="1" t="s">
        <v>3754</v>
      </c>
      <c r="G759" s="25">
        <v>44428</v>
      </c>
      <c r="H759" s="1" t="s">
        <v>4996</v>
      </c>
      <c r="I759" s="14" t="s">
        <v>2834</v>
      </c>
      <c r="J759" s="1" t="s">
        <v>3006</v>
      </c>
      <c r="K759" s="14" t="s">
        <v>3007</v>
      </c>
      <c r="L759" s="1" t="s">
        <v>3008</v>
      </c>
      <c r="M759" s="1" t="s">
        <v>3009</v>
      </c>
      <c r="N759" s="1">
        <v>798</v>
      </c>
      <c r="O759" s="1" t="s">
        <v>976</v>
      </c>
      <c r="P759" s="5">
        <v>845</v>
      </c>
      <c r="Q759" s="5">
        <v>0</v>
      </c>
      <c r="R759" s="5">
        <v>845</v>
      </c>
      <c r="S759" s="5">
        <v>0</v>
      </c>
      <c r="T759" s="5" t="s">
        <v>5574</v>
      </c>
      <c r="U759" s="5" t="s">
        <v>2508</v>
      </c>
      <c r="V759" s="5" t="s">
        <v>818</v>
      </c>
      <c r="AB759"/>
      <c r="AC759"/>
      <c r="AD759"/>
    </row>
    <row r="760" spans="1:30" x14ac:dyDescent="0.25">
      <c r="A760" t="s">
        <v>4997</v>
      </c>
      <c r="B760" t="s">
        <v>4998</v>
      </c>
      <c r="C760" s="9" t="s">
        <v>4999</v>
      </c>
      <c r="D760" s="9" t="s">
        <v>5000</v>
      </c>
      <c r="E760" s="5" t="s">
        <v>3013</v>
      </c>
      <c r="F760" s="1" t="s">
        <v>5001</v>
      </c>
      <c r="G760" s="25">
        <v>44538</v>
      </c>
      <c r="H760" s="1" t="s">
        <v>3015</v>
      </c>
      <c r="I760" s="14" t="s">
        <v>252</v>
      </c>
      <c r="J760" s="1" t="s">
        <v>3006</v>
      </c>
      <c r="K760" s="14" t="s">
        <v>3007</v>
      </c>
      <c r="L760" s="1" t="s">
        <v>3008</v>
      </c>
      <c r="M760" s="1" t="s">
        <v>3009</v>
      </c>
      <c r="N760" s="1">
        <v>1386</v>
      </c>
      <c r="O760" s="1" t="s">
        <v>976</v>
      </c>
      <c r="P760" s="5">
        <v>1380</v>
      </c>
      <c r="Q760" s="5">
        <v>285</v>
      </c>
      <c r="R760" s="5">
        <v>1665</v>
      </c>
      <c r="S760" s="5">
        <v>0</v>
      </c>
      <c r="T760" s="5" t="s">
        <v>22</v>
      </c>
      <c r="V760" s="5" t="s">
        <v>252</v>
      </c>
      <c r="AB760"/>
      <c r="AC760"/>
      <c r="AD760"/>
    </row>
    <row r="761" spans="1:30" x14ac:dyDescent="0.25">
      <c r="A761" t="s">
        <v>5002</v>
      </c>
      <c r="B761" t="s">
        <v>5003</v>
      </c>
      <c r="C761" s="9" t="s">
        <v>5004</v>
      </c>
      <c r="D761" s="9">
        <v>982410213</v>
      </c>
      <c r="E761" s="5" t="s">
        <v>3003</v>
      </c>
      <c r="F761" s="1" t="s">
        <v>3004</v>
      </c>
      <c r="G761" s="25">
        <v>44459</v>
      </c>
      <c r="H761" s="1" t="s">
        <v>4280</v>
      </c>
      <c r="I761" s="14" t="s">
        <v>558</v>
      </c>
      <c r="J761" s="1" t="s">
        <v>3006</v>
      </c>
      <c r="K761" s="14" t="s">
        <v>3007</v>
      </c>
      <c r="L761" s="1" t="s">
        <v>3008</v>
      </c>
      <c r="M761" s="1" t="s">
        <v>3016</v>
      </c>
      <c r="N761" s="1">
        <v>947</v>
      </c>
      <c r="O761" s="1" t="s">
        <v>976</v>
      </c>
      <c r="P761" s="5">
        <v>110</v>
      </c>
      <c r="Q761" s="5">
        <v>0</v>
      </c>
      <c r="R761" s="5">
        <v>110</v>
      </c>
      <c r="S761" s="5">
        <v>0</v>
      </c>
      <c r="T761" s="5" t="s">
        <v>22</v>
      </c>
      <c r="V761" s="5" t="s">
        <v>558</v>
      </c>
      <c r="AB761"/>
      <c r="AC761"/>
      <c r="AD761"/>
    </row>
    <row r="762" spans="1:30" x14ac:dyDescent="0.25">
      <c r="A762" t="s">
        <v>5005</v>
      </c>
      <c r="B762" t="s">
        <v>5006</v>
      </c>
      <c r="C762" s="9" t="s">
        <v>5007</v>
      </c>
      <c r="D762" s="9">
        <v>419999573428</v>
      </c>
      <c r="E762" s="5" t="s">
        <v>3733</v>
      </c>
      <c r="F762" s="1" t="s">
        <v>3734</v>
      </c>
      <c r="G762" s="25">
        <v>44363</v>
      </c>
      <c r="H762" s="1" t="s">
        <v>3075</v>
      </c>
      <c r="I762" s="14" t="s">
        <v>2791</v>
      </c>
      <c r="J762" s="1" t="s">
        <v>3006</v>
      </c>
      <c r="K762" s="14" t="s">
        <v>3007</v>
      </c>
      <c r="L762" s="1" t="s">
        <v>3008</v>
      </c>
      <c r="M762" s="1" t="s">
        <v>3016</v>
      </c>
      <c r="N762" s="1">
        <v>520</v>
      </c>
      <c r="O762" s="1" t="s">
        <v>976</v>
      </c>
      <c r="P762" s="5">
        <v>220</v>
      </c>
      <c r="Q762" s="5">
        <v>980</v>
      </c>
      <c r="R762" s="5">
        <v>1200</v>
      </c>
      <c r="S762" s="5">
        <v>0</v>
      </c>
      <c r="T762" s="5" t="s">
        <v>22</v>
      </c>
      <c r="U762" s="5" t="s">
        <v>2443</v>
      </c>
      <c r="V762" s="5" t="s">
        <v>763</v>
      </c>
      <c r="AB762"/>
      <c r="AC762"/>
      <c r="AD762"/>
    </row>
    <row r="763" spans="1:30" x14ac:dyDescent="0.25">
      <c r="A763" t="s">
        <v>5008</v>
      </c>
      <c r="B763" t="s">
        <v>5009</v>
      </c>
      <c r="C763" s="9" t="s">
        <v>5010</v>
      </c>
      <c r="D763" s="9">
        <v>994494599</v>
      </c>
      <c r="E763" s="5" t="s">
        <v>3003</v>
      </c>
      <c r="F763" s="1" t="s">
        <v>3004</v>
      </c>
      <c r="G763" s="25">
        <v>44205</v>
      </c>
      <c r="H763" s="1" t="s">
        <v>5011</v>
      </c>
      <c r="I763" s="14" t="s">
        <v>576</v>
      </c>
      <c r="J763" s="1" t="s">
        <v>3006</v>
      </c>
      <c r="K763" s="14" t="s">
        <v>3007</v>
      </c>
      <c r="L763" s="1" t="s">
        <v>3008</v>
      </c>
      <c r="M763" s="1" t="s">
        <v>3009</v>
      </c>
      <c r="N763" s="1">
        <v>143</v>
      </c>
      <c r="O763" s="1" t="s">
        <v>976</v>
      </c>
      <c r="P763" s="5">
        <v>685.5</v>
      </c>
      <c r="Q763" s="5">
        <v>0</v>
      </c>
      <c r="R763" s="5">
        <v>680</v>
      </c>
      <c r="S763" s="5">
        <v>5.5</v>
      </c>
      <c r="T763" s="5" t="s">
        <v>23</v>
      </c>
      <c r="V763" s="5" t="s">
        <v>576</v>
      </c>
      <c r="AB763"/>
      <c r="AC763"/>
      <c r="AD763"/>
    </row>
    <row r="764" spans="1:30" x14ac:dyDescent="0.25">
      <c r="A764" t="s">
        <v>5008</v>
      </c>
      <c r="B764" t="s">
        <v>5009</v>
      </c>
      <c r="C764" s="9" t="s">
        <v>5010</v>
      </c>
      <c r="D764" s="9">
        <v>994494599</v>
      </c>
      <c r="E764" s="5" t="s">
        <v>3003</v>
      </c>
      <c r="F764" s="1" t="s">
        <v>3004</v>
      </c>
      <c r="G764" s="25">
        <v>44205</v>
      </c>
      <c r="H764" s="1" t="s">
        <v>3784</v>
      </c>
      <c r="I764" s="14" t="s">
        <v>597</v>
      </c>
      <c r="J764" s="1" t="s">
        <v>3006</v>
      </c>
      <c r="K764" s="14" t="s">
        <v>3007</v>
      </c>
      <c r="L764" s="1" t="s">
        <v>3008</v>
      </c>
      <c r="M764" s="1" t="s">
        <v>3009</v>
      </c>
      <c r="N764" s="1">
        <v>143</v>
      </c>
      <c r="O764" s="1" t="s">
        <v>976</v>
      </c>
      <c r="P764" s="5">
        <v>695.58</v>
      </c>
      <c r="Q764" s="5">
        <v>0</v>
      </c>
      <c r="R764" s="5">
        <v>690</v>
      </c>
      <c r="S764" s="5">
        <v>5.58</v>
      </c>
      <c r="T764" s="5" t="s">
        <v>23</v>
      </c>
      <c r="V764" s="5" t="s">
        <v>597</v>
      </c>
      <c r="AB764"/>
      <c r="AC764"/>
      <c r="AD764"/>
    </row>
    <row r="765" spans="1:30" x14ac:dyDescent="0.25">
      <c r="A765" t="s">
        <v>5008</v>
      </c>
      <c r="B765" t="s">
        <v>5009</v>
      </c>
      <c r="C765" s="9" t="s">
        <v>5010</v>
      </c>
      <c r="D765" s="9">
        <v>994494599</v>
      </c>
      <c r="E765" s="5" t="s">
        <v>3003</v>
      </c>
      <c r="F765" s="1" t="s">
        <v>3004</v>
      </c>
      <c r="G765" s="25">
        <v>44205</v>
      </c>
      <c r="H765" s="1" t="s">
        <v>3053</v>
      </c>
      <c r="I765" s="14" t="s">
        <v>2963</v>
      </c>
      <c r="J765" s="1" t="s">
        <v>3006</v>
      </c>
      <c r="K765" s="14" t="s">
        <v>3007</v>
      </c>
      <c r="L765" s="1" t="s">
        <v>3008</v>
      </c>
      <c r="M765" s="1" t="s">
        <v>3009</v>
      </c>
      <c r="N765" s="1">
        <v>143</v>
      </c>
      <c r="O765" s="1" t="s">
        <v>976</v>
      </c>
      <c r="P765" s="5">
        <v>776.23</v>
      </c>
      <c r="Q765" s="5">
        <v>0</v>
      </c>
      <c r="R765" s="5">
        <v>770</v>
      </c>
      <c r="S765" s="5">
        <v>6.23</v>
      </c>
      <c r="T765" s="5">
        <v>41</v>
      </c>
      <c r="U765" s="5" t="s">
        <v>2443</v>
      </c>
      <c r="V765" s="5" t="s">
        <v>934</v>
      </c>
      <c r="AB765"/>
      <c r="AC765"/>
      <c r="AD765"/>
    </row>
    <row r="766" spans="1:30" x14ac:dyDescent="0.25">
      <c r="A766" t="s">
        <v>5008</v>
      </c>
      <c r="B766" t="s">
        <v>5009</v>
      </c>
      <c r="C766" s="9" t="s">
        <v>5010</v>
      </c>
      <c r="D766" s="9">
        <v>994494599</v>
      </c>
      <c r="E766" s="5" t="s">
        <v>3003</v>
      </c>
      <c r="F766" s="1" t="s">
        <v>3004</v>
      </c>
      <c r="G766" s="25">
        <v>44229</v>
      </c>
      <c r="H766" s="1" t="s">
        <v>3195</v>
      </c>
      <c r="I766" s="14" t="s">
        <v>2814</v>
      </c>
      <c r="J766" s="1" t="s">
        <v>3006</v>
      </c>
      <c r="K766" s="14" t="s">
        <v>3007</v>
      </c>
      <c r="L766" s="1" t="s">
        <v>3008</v>
      </c>
      <c r="M766" s="1" t="s">
        <v>3016</v>
      </c>
      <c r="N766" s="1">
        <v>191</v>
      </c>
      <c r="O766" s="1" t="s">
        <v>976</v>
      </c>
      <c r="P766" s="5">
        <v>497.25</v>
      </c>
      <c r="Q766" s="5">
        <v>87.75</v>
      </c>
      <c r="R766" s="5">
        <v>585</v>
      </c>
      <c r="S766" s="5">
        <v>0</v>
      </c>
      <c r="T766" s="5" t="s">
        <v>23</v>
      </c>
      <c r="U766" s="5" t="s">
        <v>2482</v>
      </c>
      <c r="V766" s="5" t="s">
        <v>789</v>
      </c>
      <c r="AB766"/>
      <c r="AC766"/>
      <c r="AD766"/>
    </row>
    <row r="767" spans="1:30" x14ac:dyDescent="0.25">
      <c r="A767" t="s">
        <v>5008</v>
      </c>
      <c r="B767" t="s">
        <v>5009</v>
      </c>
      <c r="C767" s="9" t="s">
        <v>5010</v>
      </c>
      <c r="D767" s="9">
        <v>994494599</v>
      </c>
      <c r="E767" s="5" t="s">
        <v>3003</v>
      </c>
      <c r="F767" s="1" t="s">
        <v>3004</v>
      </c>
      <c r="G767" s="25">
        <v>44300</v>
      </c>
      <c r="H767" s="1" t="s">
        <v>4372</v>
      </c>
      <c r="I767" s="14" t="s">
        <v>382</v>
      </c>
      <c r="J767" s="1" t="s">
        <v>3006</v>
      </c>
      <c r="K767" s="14" t="s">
        <v>3007</v>
      </c>
      <c r="L767" s="1" t="s">
        <v>3008</v>
      </c>
      <c r="M767" s="1" t="s">
        <v>3016</v>
      </c>
      <c r="N767" s="1">
        <v>322</v>
      </c>
      <c r="O767" s="1" t="s">
        <v>976</v>
      </c>
      <c r="P767" s="5">
        <v>176.57</v>
      </c>
      <c r="Q767" s="5">
        <v>0</v>
      </c>
      <c r="R767" s="5">
        <v>165</v>
      </c>
      <c r="S767" s="5">
        <v>11.57</v>
      </c>
      <c r="T767" s="5">
        <v>250</v>
      </c>
      <c r="V767" s="5" t="s">
        <v>382</v>
      </c>
      <c r="AB767"/>
      <c r="AC767"/>
      <c r="AD767"/>
    </row>
    <row r="768" spans="1:30" x14ac:dyDescent="0.25">
      <c r="A768" t="s">
        <v>5008</v>
      </c>
      <c r="B768" t="s">
        <v>5009</v>
      </c>
      <c r="C768" s="9" t="s">
        <v>5010</v>
      </c>
      <c r="D768" s="9">
        <v>994494599</v>
      </c>
      <c r="E768" s="5" t="s">
        <v>3003</v>
      </c>
      <c r="F768" s="1" t="s">
        <v>3004</v>
      </c>
      <c r="G768" s="25">
        <v>44318</v>
      </c>
      <c r="H768" s="1" t="s">
        <v>5012</v>
      </c>
      <c r="I768" s="14" t="s">
        <v>535</v>
      </c>
      <c r="J768" s="1" t="s">
        <v>3006</v>
      </c>
      <c r="K768" s="14" t="s">
        <v>3007</v>
      </c>
      <c r="L768" s="1" t="s">
        <v>3008</v>
      </c>
      <c r="M768" s="1" t="s">
        <v>3009</v>
      </c>
      <c r="N768" s="1">
        <v>369</v>
      </c>
      <c r="O768" s="1" t="s">
        <v>976</v>
      </c>
      <c r="P768" s="5">
        <v>987.27</v>
      </c>
      <c r="Q768" s="5">
        <v>0</v>
      </c>
      <c r="R768" s="5">
        <v>970</v>
      </c>
      <c r="S768" s="5">
        <v>17.27</v>
      </c>
      <c r="T768" s="5" t="s">
        <v>24</v>
      </c>
      <c r="V768" s="5" t="s">
        <v>535</v>
      </c>
      <c r="AB768"/>
      <c r="AC768"/>
      <c r="AD768"/>
    </row>
    <row r="769" spans="1:30" x14ac:dyDescent="0.25">
      <c r="A769" t="s">
        <v>5008</v>
      </c>
      <c r="B769" t="s">
        <v>5009</v>
      </c>
      <c r="C769" s="9" t="s">
        <v>5010</v>
      </c>
      <c r="D769" s="9">
        <v>994494599</v>
      </c>
      <c r="E769" s="5" t="s">
        <v>3003</v>
      </c>
      <c r="F769" s="1" t="s">
        <v>3004</v>
      </c>
      <c r="G769" s="25">
        <v>44358</v>
      </c>
      <c r="H769" s="1" t="s">
        <v>5013</v>
      </c>
      <c r="I769" s="14" t="s">
        <v>2940</v>
      </c>
      <c r="J769" s="1" t="s">
        <v>3006</v>
      </c>
      <c r="K769" s="14" t="s">
        <v>3007</v>
      </c>
      <c r="L769" s="1" t="s">
        <v>3008</v>
      </c>
      <c r="M769" s="1" t="s">
        <v>3016</v>
      </c>
      <c r="N769" s="1">
        <v>504</v>
      </c>
      <c r="O769" s="1" t="s">
        <v>976</v>
      </c>
      <c r="P769" s="5">
        <v>790</v>
      </c>
      <c r="Q769" s="5">
        <v>0</v>
      </c>
      <c r="R769" s="5">
        <v>790</v>
      </c>
      <c r="S769" s="5">
        <v>0</v>
      </c>
      <c r="T769" s="5">
        <v>41</v>
      </c>
      <c r="U769" s="5" t="s">
        <v>2495</v>
      </c>
      <c r="V769" s="5" t="s">
        <v>924</v>
      </c>
      <c r="AB769"/>
      <c r="AC769"/>
      <c r="AD769"/>
    </row>
    <row r="770" spans="1:30" x14ac:dyDescent="0.25">
      <c r="A770" t="s">
        <v>5008</v>
      </c>
      <c r="B770" t="s">
        <v>5009</v>
      </c>
      <c r="C770" s="9" t="s">
        <v>5010</v>
      </c>
      <c r="D770" s="9">
        <v>994494599</v>
      </c>
      <c r="E770" s="5" t="s">
        <v>3003</v>
      </c>
      <c r="F770" s="1" t="s">
        <v>3004</v>
      </c>
      <c r="G770" s="25">
        <v>44453</v>
      </c>
      <c r="H770" s="1" t="s">
        <v>3379</v>
      </c>
      <c r="I770" s="14" t="s">
        <v>302</v>
      </c>
      <c r="J770" s="1" t="s">
        <v>3006</v>
      </c>
      <c r="K770" s="14" t="s">
        <v>3007</v>
      </c>
      <c r="L770" s="1" t="s">
        <v>3008</v>
      </c>
      <c r="M770" s="1" t="s">
        <v>3009</v>
      </c>
      <c r="N770" s="1">
        <v>914</v>
      </c>
      <c r="O770" s="1" t="s">
        <v>976</v>
      </c>
      <c r="P770" s="5">
        <v>800.29</v>
      </c>
      <c r="Q770" s="5">
        <v>0</v>
      </c>
      <c r="R770" s="5">
        <v>790</v>
      </c>
      <c r="S770" s="5">
        <v>10.29</v>
      </c>
      <c r="T770" s="5" t="s">
        <v>23</v>
      </c>
      <c r="V770" s="5" t="s">
        <v>302</v>
      </c>
      <c r="AB770"/>
      <c r="AC770"/>
      <c r="AD770"/>
    </row>
    <row r="771" spans="1:30" x14ac:dyDescent="0.25">
      <c r="A771" t="s">
        <v>5008</v>
      </c>
      <c r="B771" t="s">
        <v>5009</v>
      </c>
      <c r="C771" s="9" t="s">
        <v>5010</v>
      </c>
      <c r="D771" s="9">
        <v>994494599</v>
      </c>
      <c r="E771" s="5" t="s">
        <v>3003</v>
      </c>
      <c r="F771" s="1" t="s">
        <v>3004</v>
      </c>
      <c r="G771" s="25">
        <v>44453</v>
      </c>
      <c r="H771" s="1" t="s">
        <v>3516</v>
      </c>
      <c r="I771" s="14" t="s">
        <v>380</v>
      </c>
      <c r="J771" s="1" t="s">
        <v>3006</v>
      </c>
      <c r="K771" s="14" t="s">
        <v>3007</v>
      </c>
      <c r="L771" s="1" t="s">
        <v>3008</v>
      </c>
      <c r="M771" s="1" t="s">
        <v>3009</v>
      </c>
      <c r="N771" s="1">
        <v>914</v>
      </c>
      <c r="O771" s="1" t="s">
        <v>976</v>
      </c>
      <c r="P771" s="5">
        <v>901.59</v>
      </c>
      <c r="Q771" s="5">
        <v>0</v>
      </c>
      <c r="R771" s="5">
        <v>890</v>
      </c>
      <c r="S771" s="5">
        <v>11.59</v>
      </c>
      <c r="T771" s="5" t="s">
        <v>5574</v>
      </c>
      <c r="V771" s="5" t="s">
        <v>380</v>
      </c>
      <c r="AB771"/>
      <c r="AC771"/>
      <c r="AD771"/>
    </row>
    <row r="772" spans="1:30" x14ac:dyDescent="0.25">
      <c r="A772" t="s">
        <v>5014</v>
      </c>
      <c r="B772" t="s">
        <v>5015</v>
      </c>
      <c r="C772" s="9" t="s">
        <v>5016</v>
      </c>
      <c r="D772" s="9">
        <v>945318081</v>
      </c>
      <c r="E772" s="5" t="s">
        <v>3003</v>
      </c>
      <c r="F772" s="1" t="s">
        <v>3004</v>
      </c>
      <c r="G772" s="25">
        <v>44382</v>
      </c>
      <c r="H772" s="1" t="s">
        <v>3075</v>
      </c>
      <c r="I772" s="14" t="s">
        <v>2791</v>
      </c>
      <c r="J772" s="1" t="s">
        <v>3006</v>
      </c>
      <c r="K772" s="14" t="s">
        <v>3007</v>
      </c>
      <c r="L772" s="1" t="s">
        <v>3008</v>
      </c>
      <c r="M772" s="1" t="s">
        <v>3009</v>
      </c>
      <c r="N772" s="1">
        <v>589</v>
      </c>
      <c r="O772" s="1" t="s">
        <v>976</v>
      </c>
      <c r="P772" s="5">
        <v>1097.78</v>
      </c>
      <c r="Q772" s="5">
        <v>120</v>
      </c>
      <c r="R772" s="5">
        <v>1200</v>
      </c>
      <c r="S772" s="5">
        <v>17.78</v>
      </c>
      <c r="T772" s="5" t="s">
        <v>22</v>
      </c>
      <c r="U772" s="5" t="s">
        <v>2443</v>
      </c>
      <c r="V772" s="5" t="s">
        <v>763</v>
      </c>
      <c r="AB772"/>
      <c r="AC772"/>
      <c r="AD772"/>
    </row>
    <row r="773" spans="1:30" x14ac:dyDescent="0.25">
      <c r="A773" t="s">
        <v>5014</v>
      </c>
      <c r="B773" t="s">
        <v>5015</v>
      </c>
      <c r="C773" s="9" t="s">
        <v>5016</v>
      </c>
      <c r="D773" s="9">
        <v>945318081</v>
      </c>
      <c r="E773" s="5" t="s">
        <v>3003</v>
      </c>
      <c r="F773" s="1" t="s">
        <v>3004</v>
      </c>
      <c r="G773" s="25">
        <v>44559</v>
      </c>
      <c r="H773" s="1" t="s">
        <v>5017</v>
      </c>
      <c r="I773" s="14" t="s">
        <v>2816</v>
      </c>
      <c r="J773" s="1" t="s">
        <v>3006</v>
      </c>
      <c r="K773" s="14" t="s">
        <v>3007</v>
      </c>
      <c r="L773" s="1" t="s">
        <v>3008</v>
      </c>
      <c r="M773" s="1" t="s">
        <v>3009</v>
      </c>
      <c r="N773" s="1">
        <v>1558</v>
      </c>
      <c r="O773" s="1" t="s">
        <v>976</v>
      </c>
      <c r="P773" s="5">
        <v>460</v>
      </c>
      <c r="Q773" s="5">
        <v>0</v>
      </c>
      <c r="R773" s="5">
        <v>460</v>
      </c>
      <c r="S773" s="5">
        <v>0</v>
      </c>
      <c r="T773" s="5" t="s">
        <v>21</v>
      </c>
      <c r="U773" s="5" t="s">
        <v>2482</v>
      </c>
      <c r="V773" s="5" t="s">
        <v>794</v>
      </c>
      <c r="AB773"/>
      <c r="AC773"/>
      <c r="AD773"/>
    </row>
    <row r="774" spans="1:30" x14ac:dyDescent="0.25">
      <c r="A774" t="s">
        <v>5014</v>
      </c>
      <c r="B774" t="s">
        <v>5015</v>
      </c>
      <c r="C774" s="9" t="s">
        <v>5016</v>
      </c>
      <c r="D774" s="9">
        <v>945318081</v>
      </c>
      <c r="E774" s="5" t="s">
        <v>3003</v>
      </c>
      <c r="F774" s="1" t="s">
        <v>3004</v>
      </c>
      <c r="G774" s="25">
        <v>44559</v>
      </c>
      <c r="H774" s="1" t="s">
        <v>3450</v>
      </c>
      <c r="I774" s="14" t="s">
        <v>2921</v>
      </c>
      <c r="J774" s="1" t="s">
        <v>3006</v>
      </c>
      <c r="K774" s="14" t="s">
        <v>3007</v>
      </c>
      <c r="L774" s="1" t="s">
        <v>3008</v>
      </c>
      <c r="M774" s="1" t="s">
        <v>3009</v>
      </c>
      <c r="N774" s="1">
        <v>1558</v>
      </c>
      <c r="O774" s="1" t="s">
        <v>976</v>
      </c>
      <c r="P774" s="5">
        <v>370</v>
      </c>
      <c r="Q774" s="5">
        <v>0</v>
      </c>
      <c r="R774" s="5">
        <v>370</v>
      </c>
      <c r="S774" s="5">
        <v>0</v>
      </c>
      <c r="T774" s="5" t="s">
        <v>23</v>
      </c>
      <c r="U774" s="5" t="s">
        <v>2433</v>
      </c>
      <c r="V774" s="5" t="s">
        <v>913</v>
      </c>
      <c r="AB774"/>
      <c r="AC774"/>
      <c r="AD774"/>
    </row>
    <row r="775" spans="1:30" x14ac:dyDescent="0.25">
      <c r="A775" t="s">
        <v>5014</v>
      </c>
      <c r="B775" t="s">
        <v>5015</v>
      </c>
      <c r="C775" s="9" t="s">
        <v>5016</v>
      </c>
      <c r="D775" s="9">
        <v>945318081</v>
      </c>
      <c r="E775" s="5" t="s">
        <v>3003</v>
      </c>
      <c r="F775" s="1" t="s">
        <v>3004</v>
      </c>
      <c r="G775" s="25">
        <v>44559</v>
      </c>
      <c r="H775" s="1" t="s">
        <v>5018</v>
      </c>
      <c r="I775" s="14" t="s">
        <v>2922</v>
      </c>
      <c r="J775" s="1" t="s">
        <v>3006</v>
      </c>
      <c r="K775" s="14" t="s">
        <v>3007</v>
      </c>
      <c r="L775" s="1" t="s">
        <v>3008</v>
      </c>
      <c r="M775" s="1" t="s">
        <v>3009</v>
      </c>
      <c r="N775" s="1">
        <v>1558</v>
      </c>
      <c r="O775" s="1" t="s">
        <v>976</v>
      </c>
      <c r="P775" s="5">
        <v>490</v>
      </c>
      <c r="Q775" s="5">
        <v>0</v>
      </c>
      <c r="R775" s="5">
        <v>490</v>
      </c>
      <c r="S775" s="5">
        <v>0</v>
      </c>
      <c r="T775" s="5" t="s">
        <v>22</v>
      </c>
      <c r="U775" s="5" t="s">
        <v>2482</v>
      </c>
      <c r="V775" s="5" t="s">
        <v>916</v>
      </c>
      <c r="AB775"/>
      <c r="AC775"/>
      <c r="AD775"/>
    </row>
    <row r="776" spans="1:30" x14ac:dyDescent="0.25">
      <c r="A776" t="s">
        <v>5019</v>
      </c>
      <c r="B776" t="s">
        <v>5020</v>
      </c>
      <c r="C776" s="9" t="s">
        <v>5021</v>
      </c>
      <c r="D776" s="9" t="s">
        <v>5022</v>
      </c>
      <c r="E776" s="5" t="s">
        <v>3003</v>
      </c>
      <c r="F776" s="1" t="s">
        <v>3004</v>
      </c>
      <c r="G776" s="25">
        <v>44545</v>
      </c>
      <c r="H776" s="1" t="s">
        <v>4175</v>
      </c>
      <c r="I776" s="14" t="s">
        <v>2804</v>
      </c>
      <c r="J776" s="1" t="s">
        <v>3006</v>
      </c>
      <c r="K776" s="14" t="s">
        <v>3007</v>
      </c>
      <c r="L776" s="1" t="s">
        <v>3008</v>
      </c>
      <c r="M776" s="1" t="s">
        <v>3009</v>
      </c>
      <c r="N776" s="1">
        <v>1460</v>
      </c>
      <c r="O776" s="1" t="s">
        <v>976</v>
      </c>
      <c r="P776" s="5">
        <v>1090</v>
      </c>
      <c r="Q776" s="5">
        <v>0</v>
      </c>
      <c r="R776" s="5">
        <v>1090</v>
      </c>
      <c r="S776" s="5">
        <v>0</v>
      </c>
      <c r="T776" s="5">
        <v>40</v>
      </c>
      <c r="U776" s="5" t="s">
        <v>2443</v>
      </c>
      <c r="V776" s="5" t="s">
        <v>772</v>
      </c>
      <c r="AB776"/>
      <c r="AC776"/>
      <c r="AD776"/>
    </row>
    <row r="777" spans="1:30" x14ac:dyDescent="0.25">
      <c r="A777" t="s">
        <v>5019</v>
      </c>
      <c r="B777" t="s">
        <v>5020</v>
      </c>
      <c r="C777" s="9" t="s">
        <v>5021</v>
      </c>
      <c r="D777" s="9" t="s">
        <v>5022</v>
      </c>
      <c r="E777" s="5" t="s">
        <v>3003</v>
      </c>
      <c r="F777" s="1" t="s">
        <v>3004</v>
      </c>
      <c r="G777" s="25">
        <v>44545</v>
      </c>
      <c r="H777" s="1" t="s">
        <v>5023</v>
      </c>
      <c r="I777" s="14" t="s">
        <v>2846</v>
      </c>
      <c r="J777" s="1" t="s">
        <v>3006</v>
      </c>
      <c r="K777" s="14" t="s">
        <v>3007</v>
      </c>
      <c r="L777" s="1" t="s">
        <v>3008</v>
      </c>
      <c r="M777" s="1" t="s">
        <v>3009</v>
      </c>
      <c r="N777" s="1">
        <v>1460</v>
      </c>
      <c r="O777" s="1" t="s">
        <v>976</v>
      </c>
      <c r="P777" s="5">
        <v>680</v>
      </c>
      <c r="Q777" s="5">
        <v>0</v>
      </c>
      <c r="R777" s="5">
        <v>680</v>
      </c>
      <c r="S777" s="5">
        <v>0</v>
      </c>
      <c r="T777" s="5" t="s">
        <v>24</v>
      </c>
      <c r="U777" s="5" t="s">
        <v>2727</v>
      </c>
      <c r="V777" s="5" t="s">
        <v>831</v>
      </c>
      <c r="AB777"/>
      <c r="AC777"/>
      <c r="AD777"/>
    </row>
    <row r="778" spans="1:30" x14ac:dyDescent="0.25">
      <c r="A778" t="s">
        <v>5019</v>
      </c>
      <c r="B778" t="s">
        <v>5020</v>
      </c>
      <c r="C778" s="9" t="s">
        <v>5021</v>
      </c>
      <c r="D778" s="9" t="s">
        <v>5022</v>
      </c>
      <c r="E778" s="5" t="s">
        <v>3003</v>
      </c>
      <c r="F778" s="1" t="s">
        <v>3004</v>
      </c>
      <c r="G778" s="25">
        <v>44545</v>
      </c>
      <c r="H778" s="1" t="s">
        <v>3432</v>
      </c>
      <c r="I778" s="14" t="s">
        <v>307</v>
      </c>
      <c r="J778" s="1" t="s">
        <v>3006</v>
      </c>
      <c r="K778" s="14" t="s">
        <v>3007</v>
      </c>
      <c r="L778" s="1" t="s">
        <v>3008</v>
      </c>
      <c r="M778" s="1" t="s">
        <v>3009</v>
      </c>
      <c r="N778" s="1">
        <v>1460</v>
      </c>
      <c r="O778" s="1" t="s">
        <v>976</v>
      </c>
      <c r="P778" s="5">
        <v>790</v>
      </c>
      <c r="Q778" s="5">
        <v>0</v>
      </c>
      <c r="R778" s="5">
        <v>790</v>
      </c>
      <c r="S778" s="5">
        <v>0</v>
      </c>
      <c r="T778" s="5" t="s">
        <v>23</v>
      </c>
      <c r="V778" s="5" t="s">
        <v>307</v>
      </c>
      <c r="AB778"/>
      <c r="AC778"/>
      <c r="AD778"/>
    </row>
    <row r="779" spans="1:30" x14ac:dyDescent="0.25">
      <c r="A779" t="s">
        <v>5024</v>
      </c>
      <c r="B779" t="s">
        <v>5025</v>
      </c>
      <c r="C779" s="9" t="s">
        <v>5026</v>
      </c>
      <c r="D779" s="9">
        <v>999439610</v>
      </c>
      <c r="E779" s="5" t="s">
        <v>3733</v>
      </c>
      <c r="F779" s="1" t="s">
        <v>5027</v>
      </c>
      <c r="G779" s="25">
        <v>44544</v>
      </c>
      <c r="H779" s="1" t="s">
        <v>3280</v>
      </c>
      <c r="I779" s="14" t="s">
        <v>2970</v>
      </c>
      <c r="J779" s="1" t="s">
        <v>3006</v>
      </c>
      <c r="K779" s="14" t="s">
        <v>3007</v>
      </c>
      <c r="L779" s="1" t="s">
        <v>3008</v>
      </c>
      <c r="M779" s="1" t="s">
        <v>3016</v>
      </c>
      <c r="N779" s="1">
        <v>1456</v>
      </c>
      <c r="O779" s="1" t="s">
        <v>976</v>
      </c>
      <c r="P779" s="5">
        <v>251.03</v>
      </c>
      <c r="Q779" s="5">
        <v>0</v>
      </c>
      <c r="R779" s="5">
        <v>220</v>
      </c>
      <c r="S779" s="5">
        <v>31.03</v>
      </c>
      <c r="T779" s="5" t="s">
        <v>23</v>
      </c>
      <c r="U779" s="5" t="s">
        <v>2482</v>
      </c>
      <c r="V779" s="5" t="s">
        <v>942</v>
      </c>
      <c r="AB779"/>
      <c r="AC779"/>
      <c r="AD779"/>
    </row>
    <row r="780" spans="1:30" x14ac:dyDescent="0.25">
      <c r="A780" t="s">
        <v>5028</v>
      </c>
      <c r="B780" t="s">
        <v>5029</v>
      </c>
      <c r="C780" s="9" t="s">
        <v>5030</v>
      </c>
      <c r="D780" s="9" t="s">
        <v>5031</v>
      </c>
      <c r="E780" s="5" t="s">
        <v>3003</v>
      </c>
      <c r="F780" s="1" t="s">
        <v>3004</v>
      </c>
      <c r="G780" s="25">
        <v>44536</v>
      </c>
      <c r="H780" s="1" t="s">
        <v>4037</v>
      </c>
      <c r="I780" s="14" t="s">
        <v>251</v>
      </c>
      <c r="J780" s="1" t="s">
        <v>3006</v>
      </c>
      <c r="K780" s="14" t="s">
        <v>3007</v>
      </c>
      <c r="L780" s="1" t="s">
        <v>3008</v>
      </c>
      <c r="M780" s="1" t="s">
        <v>3009</v>
      </c>
      <c r="N780" s="1">
        <v>1349</v>
      </c>
      <c r="O780" s="1" t="s">
        <v>976</v>
      </c>
      <c r="P780" s="5">
        <v>1618</v>
      </c>
      <c r="Q780" s="5">
        <v>177</v>
      </c>
      <c r="R780" s="5">
        <v>1770</v>
      </c>
      <c r="S780" s="5">
        <v>25</v>
      </c>
      <c r="T780" s="5" t="s">
        <v>24</v>
      </c>
      <c r="V780" s="5" t="s">
        <v>251</v>
      </c>
      <c r="AB780"/>
      <c r="AC780"/>
      <c r="AD780"/>
    </row>
    <row r="781" spans="1:30" x14ac:dyDescent="0.25">
      <c r="A781" t="s">
        <v>5032</v>
      </c>
      <c r="B781" t="s">
        <v>5033</v>
      </c>
      <c r="C781" s="9" t="s">
        <v>5034</v>
      </c>
      <c r="D781" s="9">
        <v>964887993</v>
      </c>
      <c r="E781" s="5" t="s">
        <v>3041</v>
      </c>
      <c r="F781" s="1" t="s">
        <v>3042</v>
      </c>
      <c r="G781" s="25">
        <v>44494</v>
      </c>
      <c r="H781" s="1" t="s">
        <v>3027</v>
      </c>
      <c r="I781" s="14" t="s">
        <v>254</v>
      </c>
      <c r="J781" s="1" t="s">
        <v>3006</v>
      </c>
      <c r="K781" s="14" t="s">
        <v>3007</v>
      </c>
      <c r="L781" s="1" t="s">
        <v>3008</v>
      </c>
      <c r="M781" s="1" t="s">
        <v>3009</v>
      </c>
      <c r="N781" s="1">
        <v>1116</v>
      </c>
      <c r="O781" s="1" t="s">
        <v>976</v>
      </c>
      <c r="P781" s="5">
        <v>1197</v>
      </c>
      <c r="Q781" s="5">
        <v>133</v>
      </c>
      <c r="R781" s="5">
        <v>1330</v>
      </c>
      <c r="S781" s="5">
        <v>0</v>
      </c>
      <c r="T781" s="5" t="s">
        <v>22</v>
      </c>
      <c r="V781" s="5" t="s">
        <v>254</v>
      </c>
      <c r="AB781"/>
      <c r="AC781"/>
      <c r="AD781"/>
    </row>
    <row r="782" spans="1:30" x14ac:dyDescent="0.25">
      <c r="A782" t="s">
        <v>5035</v>
      </c>
      <c r="B782" t="s">
        <v>5036</v>
      </c>
      <c r="C782" s="9" t="s">
        <v>5037</v>
      </c>
      <c r="D782" s="9">
        <v>987018383</v>
      </c>
      <c r="E782" s="5" t="s">
        <v>3733</v>
      </c>
      <c r="F782" s="1" t="s">
        <v>3734</v>
      </c>
      <c r="G782" s="25">
        <v>44509</v>
      </c>
      <c r="H782" s="1" t="s">
        <v>4125</v>
      </c>
      <c r="I782" s="14" t="s">
        <v>2829</v>
      </c>
      <c r="J782" s="1" t="s">
        <v>3006</v>
      </c>
      <c r="K782" s="14" t="s">
        <v>3007</v>
      </c>
      <c r="L782" s="1" t="s">
        <v>3008</v>
      </c>
      <c r="M782" s="1" t="s">
        <v>3009</v>
      </c>
      <c r="N782" s="1">
        <v>1178</v>
      </c>
      <c r="O782" s="1" t="s">
        <v>976</v>
      </c>
      <c r="P782" s="5">
        <v>2100.91</v>
      </c>
      <c r="Q782" s="5">
        <v>230</v>
      </c>
      <c r="R782" s="5">
        <v>2300</v>
      </c>
      <c r="S782" s="5">
        <v>30.91</v>
      </c>
      <c r="T782" s="5" t="s">
        <v>25</v>
      </c>
      <c r="U782" s="5" t="s">
        <v>2472</v>
      </c>
      <c r="V782" s="5" t="s">
        <v>814</v>
      </c>
      <c r="AB782"/>
      <c r="AC782"/>
      <c r="AD782"/>
    </row>
    <row r="783" spans="1:30" x14ac:dyDescent="0.25">
      <c r="A783" t="s">
        <v>5038</v>
      </c>
      <c r="B783" t="s">
        <v>5039</v>
      </c>
      <c r="C783" s="9" t="s">
        <v>5040</v>
      </c>
      <c r="D783" s="9">
        <v>991026500</v>
      </c>
      <c r="E783" s="5" t="s">
        <v>4918</v>
      </c>
      <c r="F783" s="1" t="s">
        <v>4919</v>
      </c>
      <c r="G783" s="25">
        <v>44558</v>
      </c>
      <c r="H783" s="1" t="s">
        <v>3697</v>
      </c>
      <c r="I783" s="14" t="s">
        <v>565</v>
      </c>
      <c r="J783" s="1" t="s">
        <v>3006</v>
      </c>
      <c r="K783" s="14" t="s">
        <v>3007</v>
      </c>
      <c r="L783" s="1" t="s">
        <v>3008</v>
      </c>
      <c r="M783" s="1" t="s">
        <v>3009</v>
      </c>
      <c r="N783" s="1">
        <v>1556</v>
      </c>
      <c r="O783" s="1" t="s">
        <v>976</v>
      </c>
      <c r="P783" s="5">
        <v>533.78</v>
      </c>
      <c r="Q783" s="5">
        <v>58</v>
      </c>
      <c r="R783" s="5">
        <v>580</v>
      </c>
      <c r="S783" s="5">
        <v>11.78</v>
      </c>
      <c r="T783" s="5">
        <v>40</v>
      </c>
      <c r="V783" s="5" t="s">
        <v>565</v>
      </c>
      <c r="AB783"/>
      <c r="AC783"/>
      <c r="AD783"/>
    </row>
    <row r="784" spans="1:30" x14ac:dyDescent="0.25">
      <c r="A784" t="s">
        <v>5038</v>
      </c>
      <c r="B784" t="s">
        <v>5039</v>
      </c>
      <c r="C784" s="9" t="s">
        <v>5040</v>
      </c>
      <c r="D784" s="9">
        <v>991026500</v>
      </c>
      <c r="E784" s="5" t="s">
        <v>4918</v>
      </c>
      <c r="F784" s="1" t="s">
        <v>4919</v>
      </c>
      <c r="G784" s="25">
        <v>44558</v>
      </c>
      <c r="H784" s="1" t="s">
        <v>5041</v>
      </c>
      <c r="I784" s="14" t="s">
        <v>585</v>
      </c>
      <c r="J784" s="1" t="s">
        <v>3006</v>
      </c>
      <c r="K784" s="14" t="s">
        <v>3007</v>
      </c>
      <c r="L784" s="1" t="s">
        <v>3008</v>
      </c>
      <c r="M784" s="1" t="s">
        <v>3009</v>
      </c>
      <c r="N784" s="1">
        <v>1556</v>
      </c>
      <c r="O784" s="1" t="s">
        <v>976</v>
      </c>
      <c r="P784" s="5">
        <v>1297.6400000000001</v>
      </c>
      <c r="Q784" s="5">
        <v>141</v>
      </c>
      <c r="R784" s="5">
        <v>1410</v>
      </c>
      <c r="S784" s="5">
        <v>28.64</v>
      </c>
      <c r="T784" s="5" t="s">
        <v>24</v>
      </c>
      <c r="V784" s="5" t="s">
        <v>585</v>
      </c>
      <c r="AB784"/>
      <c r="AC784"/>
      <c r="AD784"/>
    </row>
    <row r="785" spans="1:30" x14ac:dyDescent="0.25">
      <c r="A785" t="s">
        <v>5038</v>
      </c>
      <c r="B785" t="s">
        <v>5039</v>
      </c>
      <c r="C785" s="9" t="s">
        <v>5040</v>
      </c>
      <c r="D785" s="9">
        <v>991026500</v>
      </c>
      <c r="E785" s="5" t="s">
        <v>4918</v>
      </c>
      <c r="F785" s="1" t="s">
        <v>4919</v>
      </c>
      <c r="G785" s="25">
        <v>44558</v>
      </c>
      <c r="H785" s="1" t="s">
        <v>5042</v>
      </c>
      <c r="I785" s="14" t="s">
        <v>403</v>
      </c>
      <c r="J785" s="1" t="s">
        <v>3006</v>
      </c>
      <c r="K785" s="14" t="s">
        <v>3007</v>
      </c>
      <c r="L785" s="1" t="s">
        <v>3008</v>
      </c>
      <c r="M785" s="1" t="s">
        <v>3009</v>
      </c>
      <c r="N785" s="1">
        <v>1556</v>
      </c>
      <c r="O785" s="1" t="s">
        <v>976</v>
      </c>
      <c r="P785" s="5">
        <v>524.58000000000004</v>
      </c>
      <c r="Q785" s="5">
        <v>57</v>
      </c>
      <c r="R785" s="5">
        <v>570</v>
      </c>
      <c r="S785" s="5">
        <v>11.58</v>
      </c>
      <c r="T785" s="5" t="s">
        <v>23</v>
      </c>
      <c r="V785" s="5" t="s">
        <v>403</v>
      </c>
      <c r="AB785"/>
      <c r="AC785"/>
      <c r="AD785"/>
    </row>
    <row r="786" spans="1:30" x14ac:dyDescent="0.25">
      <c r="A786" t="s">
        <v>5038</v>
      </c>
      <c r="B786" t="s">
        <v>5039</v>
      </c>
      <c r="C786" s="9" t="s">
        <v>5040</v>
      </c>
      <c r="D786" s="9">
        <v>991026500</v>
      </c>
      <c r="E786" s="5" t="s">
        <v>4918</v>
      </c>
      <c r="F786" s="1" t="s">
        <v>4919</v>
      </c>
      <c r="G786" s="25">
        <v>44558</v>
      </c>
      <c r="H786" s="1" t="s">
        <v>5043</v>
      </c>
      <c r="I786" s="14" t="s">
        <v>459</v>
      </c>
      <c r="J786" s="1" t="s">
        <v>3006</v>
      </c>
      <c r="K786" s="14" t="s">
        <v>3007</v>
      </c>
      <c r="L786" s="1" t="s">
        <v>3008</v>
      </c>
      <c r="M786" s="1" t="s">
        <v>3009</v>
      </c>
      <c r="N786" s="1">
        <v>1556</v>
      </c>
      <c r="O786" s="1" t="s">
        <v>976</v>
      </c>
      <c r="P786" s="5">
        <v>823.68</v>
      </c>
      <c r="Q786" s="5">
        <v>89.5</v>
      </c>
      <c r="R786" s="5">
        <v>895</v>
      </c>
      <c r="S786" s="5">
        <v>18.18</v>
      </c>
      <c r="T786" s="5" t="s">
        <v>24</v>
      </c>
      <c r="V786" s="5" t="s">
        <v>459</v>
      </c>
      <c r="AB786"/>
      <c r="AC786"/>
      <c r="AD786"/>
    </row>
    <row r="787" spans="1:30" x14ac:dyDescent="0.25">
      <c r="A787" t="s">
        <v>5044</v>
      </c>
      <c r="B787" t="s">
        <v>5045</v>
      </c>
      <c r="C787" s="9" t="s">
        <v>5046</v>
      </c>
      <c r="D787" s="9" t="s">
        <v>5047</v>
      </c>
      <c r="E787" s="5" t="s">
        <v>3107</v>
      </c>
      <c r="F787" s="1" t="s">
        <v>3108</v>
      </c>
      <c r="G787" s="25">
        <v>44528</v>
      </c>
      <c r="H787" s="1" t="s">
        <v>3027</v>
      </c>
      <c r="I787" s="14" t="s">
        <v>254</v>
      </c>
      <c r="J787" s="1" t="s">
        <v>3006</v>
      </c>
      <c r="K787" s="14" t="s">
        <v>3007</v>
      </c>
      <c r="L787" s="1" t="s">
        <v>3008</v>
      </c>
      <c r="M787" s="1" t="s">
        <v>3009</v>
      </c>
      <c r="N787" s="1">
        <v>1307</v>
      </c>
      <c r="O787" s="1" t="s">
        <v>976</v>
      </c>
      <c r="P787" s="5">
        <v>1104</v>
      </c>
      <c r="Q787" s="5">
        <v>276</v>
      </c>
      <c r="R787" s="5">
        <v>1380</v>
      </c>
      <c r="S787" s="5">
        <v>0</v>
      </c>
      <c r="T787" s="5" t="s">
        <v>22</v>
      </c>
      <c r="V787" s="5" t="s">
        <v>254</v>
      </c>
      <c r="AB787"/>
      <c r="AC787"/>
      <c r="AD787"/>
    </row>
    <row r="788" spans="1:30" x14ac:dyDescent="0.25">
      <c r="A788" t="s">
        <v>5048</v>
      </c>
      <c r="B788" t="s">
        <v>5049</v>
      </c>
      <c r="C788" s="9" t="s">
        <v>5050</v>
      </c>
      <c r="D788" s="9">
        <v>12627442437</v>
      </c>
      <c r="E788" s="5" t="s">
        <v>3003</v>
      </c>
      <c r="F788" s="1" t="s">
        <v>3004</v>
      </c>
      <c r="G788" s="25">
        <v>44372</v>
      </c>
      <c r="H788" s="1" t="s">
        <v>3075</v>
      </c>
      <c r="I788" s="14" t="s">
        <v>2791</v>
      </c>
      <c r="J788" s="1" t="s">
        <v>3006</v>
      </c>
      <c r="K788" s="14" t="s">
        <v>3007</v>
      </c>
      <c r="L788" s="1" t="s">
        <v>3008</v>
      </c>
      <c r="M788" s="1" t="s">
        <v>3016</v>
      </c>
      <c r="N788" s="1">
        <v>548</v>
      </c>
      <c r="O788" s="1" t="s">
        <v>976</v>
      </c>
      <c r="P788" s="5">
        <v>1140</v>
      </c>
      <c r="Q788" s="5">
        <v>60</v>
      </c>
      <c r="R788" s="5">
        <v>1200</v>
      </c>
      <c r="S788" s="5">
        <v>0</v>
      </c>
      <c r="T788" s="5" t="s">
        <v>22</v>
      </c>
      <c r="U788" s="5" t="s">
        <v>2443</v>
      </c>
      <c r="V788" s="5" t="s">
        <v>763</v>
      </c>
      <c r="AB788"/>
      <c r="AC788"/>
      <c r="AD788"/>
    </row>
    <row r="789" spans="1:30" x14ac:dyDescent="0.25">
      <c r="A789" t="s">
        <v>5051</v>
      </c>
      <c r="B789" t="s">
        <v>5052</v>
      </c>
      <c r="C789" s="9" t="s">
        <v>5053</v>
      </c>
      <c r="D789" s="9">
        <v>994489483</v>
      </c>
      <c r="E789" s="5" t="s">
        <v>3003</v>
      </c>
      <c r="F789" s="1" t="s">
        <v>3537</v>
      </c>
      <c r="G789" s="25">
        <v>44541</v>
      </c>
      <c r="H789" s="1" t="s">
        <v>3264</v>
      </c>
      <c r="I789" s="14" t="s">
        <v>386</v>
      </c>
      <c r="J789" s="1" t="s">
        <v>3006</v>
      </c>
      <c r="K789" s="14" t="s">
        <v>3007</v>
      </c>
      <c r="L789" s="1" t="s">
        <v>3008</v>
      </c>
      <c r="M789" s="1" t="s">
        <v>3009</v>
      </c>
      <c r="N789" s="1">
        <v>1422</v>
      </c>
      <c r="O789" s="1" t="s">
        <v>976</v>
      </c>
      <c r="P789" s="5">
        <v>665.7</v>
      </c>
      <c r="Q789" s="5">
        <v>0</v>
      </c>
      <c r="R789" s="5">
        <v>650</v>
      </c>
      <c r="S789" s="5">
        <v>15.7</v>
      </c>
      <c r="T789" s="5" t="s">
        <v>23</v>
      </c>
      <c r="V789" s="5" t="s">
        <v>386</v>
      </c>
      <c r="AB789"/>
      <c r="AC789"/>
      <c r="AD789"/>
    </row>
    <row r="790" spans="1:30" x14ac:dyDescent="0.25">
      <c r="A790" t="s">
        <v>5054</v>
      </c>
      <c r="B790" t="s">
        <v>5055</v>
      </c>
      <c r="C790" s="9" t="s">
        <v>5056</v>
      </c>
      <c r="D790" s="9">
        <v>981819079</v>
      </c>
      <c r="E790" s="5" t="s">
        <v>3003</v>
      </c>
      <c r="F790" s="1" t="s">
        <v>3004</v>
      </c>
      <c r="G790" s="25">
        <v>44176</v>
      </c>
      <c r="H790" s="1" t="s">
        <v>3564</v>
      </c>
      <c r="I790" s="14" t="s">
        <v>295</v>
      </c>
      <c r="J790" s="1" t="s">
        <v>3006</v>
      </c>
      <c r="K790" s="14" t="s">
        <v>3007</v>
      </c>
      <c r="L790" s="1" t="s">
        <v>3008</v>
      </c>
      <c r="M790" s="1" t="s">
        <v>3016</v>
      </c>
      <c r="N790" s="1">
        <v>78</v>
      </c>
      <c r="O790" s="1" t="s">
        <v>976</v>
      </c>
      <c r="P790" s="5">
        <v>629.61</v>
      </c>
      <c r="Q790" s="5">
        <v>0</v>
      </c>
      <c r="R790" s="5">
        <v>615</v>
      </c>
      <c r="S790" s="5">
        <v>14.61</v>
      </c>
      <c r="T790" s="5" t="s">
        <v>24</v>
      </c>
      <c r="V790" s="5" t="s">
        <v>295</v>
      </c>
      <c r="AB790"/>
      <c r="AC790"/>
      <c r="AD790"/>
    </row>
    <row r="791" spans="1:30" x14ac:dyDescent="0.25">
      <c r="A791" t="s">
        <v>5054</v>
      </c>
      <c r="B791" t="s">
        <v>5055</v>
      </c>
      <c r="C791" s="9" t="s">
        <v>5056</v>
      </c>
      <c r="D791" s="9">
        <v>981819079</v>
      </c>
      <c r="E791" s="5" t="s">
        <v>3003</v>
      </c>
      <c r="F791" s="1" t="s">
        <v>3004</v>
      </c>
      <c r="G791" s="25">
        <v>44507</v>
      </c>
      <c r="H791" s="1" t="s">
        <v>5057</v>
      </c>
      <c r="I791" s="14" t="s">
        <v>300</v>
      </c>
      <c r="J791" s="1" t="s">
        <v>3006</v>
      </c>
      <c r="K791" s="14" t="s">
        <v>3007</v>
      </c>
      <c r="L791" s="1" t="s">
        <v>3008</v>
      </c>
      <c r="M791" s="1" t="s">
        <v>3016</v>
      </c>
      <c r="N791" s="1">
        <v>1167</v>
      </c>
      <c r="O791" s="1" t="s">
        <v>976</v>
      </c>
      <c r="P791" s="5">
        <v>806.54</v>
      </c>
      <c r="Q791" s="5">
        <v>0</v>
      </c>
      <c r="R791" s="5">
        <v>790</v>
      </c>
      <c r="S791" s="5">
        <v>16.54</v>
      </c>
      <c r="T791" s="5" t="s">
        <v>24</v>
      </c>
      <c r="V791" s="5" t="s">
        <v>300</v>
      </c>
      <c r="AB791"/>
      <c r="AC791"/>
      <c r="AD791"/>
    </row>
    <row r="792" spans="1:30" x14ac:dyDescent="0.25">
      <c r="A792" t="s">
        <v>5058</v>
      </c>
      <c r="B792" t="s">
        <v>5059</v>
      </c>
      <c r="C792" s="9" t="s">
        <v>5060</v>
      </c>
      <c r="D792" s="9">
        <v>992446628</v>
      </c>
      <c r="E792" s="5" t="s">
        <v>3733</v>
      </c>
      <c r="F792" s="1" t="s">
        <v>3734</v>
      </c>
      <c r="G792" s="25">
        <v>44201</v>
      </c>
      <c r="H792" s="1" t="s">
        <v>5061</v>
      </c>
      <c r="I792" s="14" t="s">
        <v>2841</v>
      </c>
      <c r="J792" s="1" t="s">
        <v>3006</v>
      </c>
      <c r="K792" s="14" t="s">
        <v>3007</v>
      </c>
      <c r="L792" s="1" t="s">
        <v>3008</v>
      </c>
      <c r="M792" s="1" t="s">
        <v>3016</v>
      </c>
      <c r="N792" s="1">
        <v>139</v>
      </c>
      <c r="O792" s="1" t="s">
        <v>976</v>
      </c>
      <c r="P792" s="5">
        <v>114.94</v>
      </c>
      <c r="Q792" s="5">
        <v>0</v>
      </c>
      <c r="R792" s="5">
        <v>95</v>
      </c>
      <c r="S792" s="5">
        <v>19.940000000000001</v>
      </c>
      <c r="T792" s="5">
        <v>37</v>
      </c>
      <c r="U792" s="5" t="s">
        <v>2482</v>
      </c>
      <c r="V792" s="5" t="s">
        <v>827</v>
      </c>
      <c r="AB792"/>
      <c r="AC792"/>
      <c r="AD792"/>
    </row>
    <row r="793" spans="1:30" x14ac:dyDescent="0.25">
      <c r="A793" t="s">
        <v>5062</v>
      </c>
      <c r="B793" t="s">
        <v>5063</v>
      </c>
      <c r="C793" s="9" t="s">
        <v>5064</v>
      </c>
      <c r="D793" s="9" t="s">
        <v>5065</v>
      </c>
      <c r="E793" s="5" t="s">
        <v>3148</v>
      </c>
      <c r="F793" s="1" t="s">
        <v>5066</v>
      </c>
      <c r="G793" s="25">
        <v>44444</v>
      </c>
      <c r="H793" s="1" t="s">
        <v>3450</v>
      </c>
      <c r="I793" s="14" t="s">
        <v>2921</v>
      </c>
      <c r="J793" s="1" t="s">
        <v>3006</v>
      </c>
      <c r="K793" s="14" t="s">
        <v>3007</v>
      </c>
      <c r="L793" s="1" t="s">
        <v>3008</v>
      </c>
      <c r="M793" s="1" t="s">
        <v>3009</v>
      </c>
      <c r="N793" s="1">
        <v>863</v>
      </c>
      <c r="O793" s="1" t="s">
        <v>976</v>
      </c>
      <c r="P793" s="5">
        <v>370</v>
      </c>
      <c r="Q793" s="5">
        <v>0</v>
      </c>
      <c r="R793" s="5">
        <v>370</v>
      </c>
      <c r="S793" s="5">
        <v>0</v>
      </c>
      <c r="T793" s="5" t="s">
        <v>23</v>
      </c>
      <c r="U793" s="5" t="s">
        <v>2433</v>
      </c>
      <c r="V793" s="5" t="s">
        <v>913</v>
      </c>
      <c r="AB793"/>
      <c r="AC793"/>
      <c r="AD793"/>
    </row>
    <row r="794" spans="1:30" x14ac:dyDescent="0.25">
      <c r="A794" t="s">
        <v>5062</v>
      </c>
      <c r="B794" t="s">
        <v>5063</v>
      </c>
      <c r="C794" s="9" t="s">
        <v>5064</v>
      </c>
      <c r="D794" s="9" t="s">
        <v>5065</v>
      </c>
      <c r="E794" s="5" t="s">
        <v>3148</v>
      </c>
      <c r="F794" s="1" t="s">
        <v>5066</v>
      </c>
      <c r="G794" s="25">
        <v>44444</v>
      </c>
      <c r="H794" s="1" t="s">
        <v>3084</v>
      </c>
      <c r="I794" s="14" t="s">
        <v>2930</v>
      </c>
      <c r="J794" s="1" t="s">
        <v>3006</v>
      </c>
      <c r="K794" s="14" t="s">
        <v>3007</v>
      </c>
      <c r="L794" s="1" t="s">
        <v>3008</v>
      </c>
      <c r="M794" s="1" t="s">
        <v>3009</v>
      </c>
      <c r="N794" s="1">
        <v>863</v>
      </c>
      <c r="O794" s="1" t="s">
        <v>976</v>
      </c>
      <c r="P794" s="5">
        <v>575</v>
      </c>
      <c r="Q794" s="5">
        <v>0</v>
      </c>
      <c r="R794" s="5">
        <v>575</v>
      </c>
      <c r="S794" s="5">
        <v>0</v>
      </c>
      <c r="T794" s="5" t="s">
        <v>23</v>
      </c>
      <c r="U794" s="5" t="s">
        <v>2482</v>
      </c>
      <c r="V794" s="5" t="s">
        <v>922</v>
      </c>
      <c r="AB794"/>
      <c r="AC794"/>
      <c r="AD794"/>
    </row>
    <row r="795" spans="1:30" x14ac:dyDescent="0.25">
      <c r="A795" t="s">
        <v>5067</v>
      </c>
      <c r="B795" t="s">
        <v>5068</v>
      </c>
      <c r="C795" s="9" t="s">
        <v>5069</v>
      </c>
      <c r="D795" s="9">
        <v>991801398</v>
      </c>
      <c r="E795" s="5" t="s">
        <v>3003</v>
      </c>
      <c r="F795" s="1" t="s">
        <v>3801</v>
      </c>
      <c r="G795" s="25">
        <v>44450</v>
      </c>
      <c r="H795" s="1" t="s">
        <v>3027</v>
      </c>
      <c r="I795" s="14" t="s">
        <v>254</v>
      </c>
      <c r="J795" s="1" t="s">
        <v>3006</v>
      </c>
      <c r="K795" s="14" t="s">
        <v>3007</v>
      </c>
      <c r="L795" s="1" t="s">
        <v>3008</v>
      </c>
      <c r="M795" s="1" t="s">
        <v>3009</v>
      </c>
      <c r="N795" s="1">
        <v>899</v>
      </c>
      <c r="O795" s="1" t="s">
        <v>976</v>
      </c>
      <c r="P795" s="5">
        <v>1217.76</v>
      </c>
      <c r="Q795" s="5">
        <v>133</v>
      </c>
      <c r="R795" s="5">
        <v>1330</v>
      </c>
      <c r="S795" s="5">
        <v>20.76</v>
      </c>
      <c r="T795" s="5" t="s">
        <v>22</v>
      </c>
      <c r="V795" s="5" t="s">
        <v>254</v>
      </c>
      <c r="AB795"/>
      <c r="AC795"/>
      <c r="AD795"/>
    </row>
    <row r="796" spans="1:30" x14ac:dyDescent="0.25">
      <c r="A796" t="s">
        <v>5070</v>
      </c>
      <c r="B796" t="s">
        <v>5071</v>
      </c>
      <c r="C796" s="9" t="s">
        <v>5072</v>
      </c>
      <c r="D796" s="9">
        <v>997905767</v>
      </c>
      <c r="E796" s="5" t="s">
        <v>4164</v>
      </c>
      <c r="F796" s="1" t="s">
        <v>4165</v>
      </c>
      <c r="G796" s="25">
        <v>44493</v>
      </c>
      <c r="H796" s="1" t="s">
        <v>3027</v>
      </c>
      <c r="I796" s="14" t="s">
        <v>254</v>
      </c>
      <c r="J796" s="1" t="s">
        <v>3006</v>
      </c>
      <c r="K796" s="14" t="s">
        <v>3007</v>
      </c>
      <c r="L796" s="1" t="s">
        <v>3008</v>
      </c>
      <c r="M796" s="1" t="s">
        <v>3016</v>
      </c>
      <c r="N796" s="1">
        <v>1092</v>
      </c>
      <c r="O796" s="1" t="s">
        <v>976</v>
      </c>
      <c r="P796" s="5">
        <v>1237.53</v>
      </c>
      <c r="Q796" s="5">
        <v>133</v>
      </c>
      <c r="R796" s="5">
        <v>1330</v>
      </c>
      <c r="S796" s="5">
        <v>40.53</v>
      </c>
      <c r="T796" s="5" t="s">
        <v>22</v>
      </c>
      <c r="V796" s="5" t="s">
        <v>254</v>
      </c>
      <c r="AB796"/>
      <c r="AC796"/>
      <c r="AD796"/>
    </row>
    <row r="797" spans="1:30" x14ac:dyDescent="0.25">
      <c r="A797" t="s">
        <v>5073</v>
      </c>
      <c r="B797" t="s">
        <v>5074</v>
      </c>
      <c r="C797" s="9" t="s">
        <v>5075</v>
      </c>
      <c r="D797" s="9" t="s">
        <v>5076</v>
      </c>
      <c r="E797" s="5" t="s">
        <v>3514</v>
      </c>
      <c r="F797" s="1" t="s">
        <v>4083</v>
      </c>
      <c r="G797" s="25">
        <v>44378</v>
      </c>
      <c r="H797" s="1" t="s">
        <v>3897</v>
      </c>
      <c r="I797" s="14" t="s">
        <v>1254</v>
      </c>
      <c r="J797" s="1" t="s">
        <v>3006</v>
      </c>
      <c r="K797" s="14" t="s">
        <v>3007</v>
      </c>
      <c r="L797" s="1" t="s">
        <v>3008</v>
      </c>
      <c r="M797" s="1" t="s">
        <v>3016</v>
      </c>
      <c r="N797" s="1">
        <v>570</v>
      </c>
      <c r="O797" s="1" t="s">
        <v>976</v>
      </c>
      <c r="P797" s="5">
        <v>850.74</v>
      </c>
      <c r="Q797" s="5">
        <v>92</v>
      </c>
      <c r="R797" s="5">
        <v>920</v>
      </c>
      <c r="S797" s="5">
        <v>22.74</v>
      </c>
      <c r="T797" s="5" t="s">
        <v>24</v>
      </c>
      <c r="U797" s="5" t="s">
        <v>2443</v>
      </c>
      <c r="V797" s="5" t="s">
        <v>912</v>
      </c>
      <c r="AB797"/>
      <c r="AC797"/>
      <c r="AD797"/>
    </row>
    <row r="798" spans="1:30" x14ac:dyDescent="0.25">
      <c r="A798" t="s">
        <v>5073</v>
      </c>
      <c r="B798" t="s">
        <v>5074</v>
      </c>
      <c r="C798" s="9" t="s">
        <v>5075</v>
      </c>
      <c r="D798" s="9" t="s">
        <v>5076</v>
      </c>
      <c r="E798" s="5" t="s">
        <v>3514</v>
      </c>
      <c r="F798" s="1" t="s">
        <v>4083</v>
      </c>
      <c r="G798" s="25">
        <v>44455</v>
      </c>
      <c r="H798" s="1" t="s">
        <v>3640</v>
      </c>
      <c r="I798" s="14" t="s">
        <v>2930</v>
      </c>
      <c r="J798" s="1" t="s">
        <v>3006</v>
      </c>
      <c r="K798" s="14" t="s">
        <v>3007</v>
      </c>
      <c r="L798" s="1" t="s">
        <v>3008</v>
      </c>
      <c r="M798" s="1" t="s">
        <v>3016</v>
      </c>
      <c r="N798" s="1">
        <v>919</v>
      </c>
      <c r="O798" s="1" t="s">
        <v>976</v>
      </c>
      <c r="P798" s="5">
        <v>597.82000000000005</v>
      </c>
      <c r="Q798" s="5">
        <v>0</v>
      </c>
      <c r="R798" s="5">
        <v>575</v>
      </c>
      <c r="S798" s="5">
        <v>22.82</v>
      </c>
      <c r="T798" s="5" t="s">
        <v>24</v>
      </c>
      <c r="U798" s="5" t="s">
        <v>2447</v>
      </c>
      <c r="V798" s="5" t="s">
        <v>919</v>
      </c>
      <c r="AB798"/>
      <c r="AC798"/>
      <c r="AD798"/>
    </row>
    <row r="799" spans="1:30" x14ac:dyDescent="0.25">
      <c r="A799" t="s">
        <v>5073</v>
      </c>
      <c r="B799" t="s">
        <v>5074</v>
      </c>
      <c r="C799" s="9" t="s">
        <v>5075</v>
      </c>
      <c r="D799" s="9" t="s">
        <v>5076</v>
      </c>
      <c r="E799" s="5" t="s">
        <v>3514</v>
      </c>
      <c r="F799" s="1" t="s">
        <v>4083</v>
      </c>
      <c r="G799" s="25">
        <v>44488</v>
      </c>
      <c r="H799" s="1" t="s">
        <v>5077</v>
      </c>
      <c r="I799" s="14" t="s">
        <v>384</v>
      </c>
      <c r="J799" s="1" t="s">
        <v>3006</v>
      </c>
      <c r="K799" s="14" t="s">
        <v>3007</v>
      </c>
      <c r="L799" s="1" t="s">
        <v>3008</v>
      </c>
      <c r="M799" s="1" t="s">
        <v>3016</v>
      </c>
      <c r="N799" s="1">
        <v>1068</v>
      </c>
      <c r="O799" s="1" t="s">
        <v>976</v>
      </c>
      <c r="P799" s="5">
        <v>588.61</v>
      </c>
      <c r="Q799" s="5">
        <v>0</v>
      </c>
      <c r="R799" s="5">
        <v>575</v>
      </c>
      <c r="S799" s="5">
        <v>13.61</v>
      </c>
      <c r="T799" s="5" t="s">
        <v>24</v>
      </c>
      <c r="V799" s="5" t="s">
        <v>384</v>
      </c>
      <c r="AB799"/>
      <c r="AC799"/>
      <c r="AD799"/>
    </row>
    <row r="800" spans="1:30" x14ac:dyDescent="0.25">
      <c r="A800" t="s">
        <v>5073</v>
      </c>
      <c r="B800" t="s">
        <v>5074</v>
      </c>
      <c r="C800" s="9" t="s">
        <v>5075</v>
      </c>
      <c r="D800" s="9" t="s">
        <v>5076</v>
      </c>
      <c r="E800" s="5" t="s">
        <v>3514</v>
      </c>
      <c r="F800" s="1" t="s">
        <v>4083</v>
      </c>
      <c r="G800" s="25">
        <v>44488</v>
      </c>
      <c r="H800" s="1" t="s">
        <v>4443</v>
      </c>
      <c r="I800" s="14" t="s">
        <v>417</v>
      </c>
      <c r="J800" s="1" t="s">
        <v>3006</v>
      </c>
      <c r="K800" s="14" t="s">
        <v>3007</v>
      </c>
      <c r="L800" s="1" t="s">
        <v>3008</v>
      </c>
      <c r="M800" s="1" t="s">
        <v>3016</v>
      </c>
      <c r="N800" s="1">
        <v>1068</v>
      </c>
      <c r="O800" s="1" t="s">
        <v>976</v>
      </c>
      <c r="P800" s="5">
        <v>890.6</v>
      </c>
      <c r="Q800" s="5">
        <v>0</v>
      </c>
      <c r="R800" s="5">
        <v>870</v>
      </c>
      <c r="S800" s="5">
        <v>20.6</v>
      </c>
      <c r="T800" s="5">
        <v>41</v>
      </c>
      <c r="V800" s="5" t="s">
        <v>417</v>
      </c>
      <c r="AB800"/>
      <c r="AC800"/>
      <c r="AD800"/>
    </row>
    <row r="801" spans="1:30" x14ac:dyDescent="0.25">
      <c r="A801" t="s">
        <v>5078</v>
      </c>
      <c r="B801" t="s">
        <v>5079</v>
      </c>
      <c r="C801" s="9" t="s">
        <v>5080</v>
      </c>
      <c r="D801" s="9" t="s">
        <v>5081</v>
      </c>
      <c r="E801" s="5" t="s">
        <v>3041</v>
      </c>
      <c r="F801" s="1" t="s">
        <v>3042</v>
      </c>
      <c r="G801" s="25">
        <v>44551</v>
      </c>
      <c r="H801" s="1" t="s">
        <v>5082</v>
      </c>
      <c r="I801" s="14" t="s">
        <v>2850</v>
      </c>
      <c r="J801" s="1" t="s">
        <v>3006</v>
      </c>
      <c r="K801" s="14" t="s">
        <v>3007</v>
      </c>
      <c r="L801" s="1" t="s">
        <v>3008</v>
      </c>
      <c r="M801" s="1" t="s">
        <v>3009</v>
      </c>
      <c r="N801" s="1">
        <v>1521</v>
      </c>
      <c r="O801" s="1" t="s">
        <v>976</v>
      </c>
      <c r="P801" s="5">
        <v>670</v>
      </c>
      <c r="Q801" s="5">
        <v>0</v>
      </c>
      <c r="R801" s="5">
        <v>670</v>
      </c>
      <c r="S801" s="5">
        <v>0</v>
      </c>
      <c r="T801" s="5" t="s">
        <v>22</v>
      </c>
      <c r="U801" s="5" t="s">
        <v>2447</v>
      </c>
      <c r="V801" s="5" t="s">
        <v>838</v>
      </c>
      <c r="AB801"/>
      <c r="AC801"/>
      <c r="AD801"/>
    </row>
    <row r="802" spans="1:30" x14ac:dyDescent="0.25">
      <c r="A802" t="s">
        <v>5078</v>
      </c>
      <c r="B802" t="s">
        <v>5079</v>
      </c>
      <c r="C802" s="9" t="s">
        <v>5080</v>
      </c>
      <c r="D802" s="9" t="s">
        <v>5081</v>
      </c>
      <c r="E802" s="5" t="s">
        <v>3041</v>
      </c>
      <c r="F802" s="1" t="s">
        <v>3042</v>
      </c>
      <c r="G802" s="25">
        <v>44551</v>
      </c>
      <c r="H802" s="1" t="s">
        <v>5083</v>
      </c>
      <c r="I802" s="14" t="s">
        <v>435</v>
      </c>
      <c r="J802" s="1" t="s">
        <v>3006</v>
      </c>
      <c r="K802" s="14" t="s">
        <v>3007</v>
      </c>
      <c r="L802" s="1" t="s">
        <v>3008</v>
      </c>
      <c r="M802" s="1" t="s">
        <v>3009</v>
      </c>
      <c r="N802" s="1">
        <v>1521</v>
      </c>
      <c r="O802" s="1" t="s">
        <v>976</v>
      </c>
      <c r="P802" s="5">
        <v>595</v>
      </c>
      <c r="Q802" s="5">
        <v>0</v>
      </c>
      <c r="R802" s="5">
        <v>595</v>
      </c>
      <c r="S802" s="5">
        <v>0</v>
      </c>
      <c r="T802" s="5">
        <v>40</v>
      </c>
      <c r="V802" s="5" t="s">
        <v>435</v>
      </c>
      <c r="AB802"/>
      <c r="AC802"/>
      <c r="AD802"/>
    </row>
    <row r="803" spans="1:30" x14ac:dyDescent="0.25">
      <c r="A803" t="s">
        <v>5084</v>
      </c>
      <c r="B803" t="s">
        <v>5085</v>
      </c>
      <c r="C803" s="9" t="s">
        <v>5086</v>
      </c>
      <c r="D803" s="9" t="s">
        <v>5087</v>
      </c>
      <c r="E803" s="5" t="s">
        <v>3013</v>
      </c>
      <c r="F803" s="1" t="s">
        <v>3067</v>
      </c>
      <c r="G803" s="25">
        <v>44375</v>
      </c>
      <c r="H803" s="1" t="s">
        <v>3258</v>
      </c>
      <c r="I803" s="14" t="s">
        <v>2805</v>
      </c>
      <c r="J803" s="1" t="s">
        <v>3006</v>
      </c>
      <c r="K803" s="14" t="s">
        <v>3007</v>
      </c>
      <c r="L803" s="1" t="s">
        <v>3008</v>
      </c>
      <c r="M803" s="1" t="s">
        <v>3009</v>
      </c>
      <c r="N803" s="1">
        <v>559</v>
      </c>
      <c r="O803" s="1" t="s">
        <v>976</v>
      </c>
      <c r="P803" s="5">
        <v>510.59</v>
      </c>
      <c r="Q803" s="5">
        <v>0</v>
      </c>
      <c r="R803" s="5">
        <v>470</v>
      </c>
      <c r="S803" s="5">
        <v>40.590000000000003</v>
      </c>
      <c r="T803" s="5">
        <v>38</v>
      </c>
      <c r="U803" s="5" t="s">
        <v>2443</v>
      </c>
      <c r="V803" s="5" t="s">
        <v>776</v>
      </c>
      <c r="AB803"/>
      <c r="AC803"/>
      <c r="AD803"/>
    </row>
    <row r="804" spans="1:30" x14ac:dyDescent="0.25">
      <c r="A804" t="s">
        <v>5088</v>
      </c>
      <c r="B804" t="s">
        <v>5089</v>
      </c>
      <c r="C804" s="9" t="s">
        <v>5090</v>
      </c>
      <c r="D804" s="9">
        <v>996887372</v>
      </c>
      <c r="E804" s="5" t="s">
        <v>3041</v>
      </c>
      <c r="F804" s="1" t="s">
        <v>3042</v>
      </c>
      <c r="G804" s="25">
        <v>44487</v>
      </c>
      <c r="H804" s="1" t="s">
        <v>3020</v>
      </c>
      <c r="I804" s="14" t="s">
        <v>2867</v>
      </c>
      <c r="J804" s="1" t="s">
        <v>3006</v>
      </c>
      <c r="K804" s="14" t="s">
        <v>3007</v>
      </c>
      <c r="L804" s="1" t="s">
        <v>3008</v>
      </c>
      <c r="M804" s="1" t="s">
        <v>3009</v>
      </c>
      <c r="N804" s="1">
        <v>1059</v>
      </c>
      <c r="O804" s="1" t="s">
        <v>976</v>
      </c>
      <c r="P804" s="5">
        <v>445.74</v>
      </c>
      <c r="Q804" s="5">
        <v>47</v>
      </c>
      <c r="R804" s="5">
        <v>470</v>
      </c>
      <c r="S804" s="5">
        <v>22.74</v>
      </c>
      <c r="T804" s="5" t="s">
        <v>24</v>
      </c>
      <c r="U804" s="5" t="s">
        <v>2482</v>
      </c>
      <c r="V804" s="5" t="s">
        <v>869</v>
      </c>
      <c r="AB804"/>
      <c r="AC804"/>
      <c r="AD804"/>
    </row>
    <row r="805" spans="1:30" x14ac:dyDescent="0.25">
      <c r="A805" t="s">
        <v>5091</v>
      </c>
      <c r="B805" t="s">
        <v>5092</v>
      </c>
      <c r="C805" s="9" t="s">
        <v>5093</v>
      </c>
      <c r="D805" s="9" t="s">
        <v>5094</v>
      </c>
      <c r="E805" s="5" t="s">
        <v>3003</v>
      </c>
      <c r="F805" s="1" t="s">
        <v>3004</v>
      </c>
      <c r="G805" s="25">
        <v>44547</v>
      </c>
      <c r="H805" s="1" t="s">
        <v>4169</v>
      </c>
      <c r="I805" s="14" t="s">
        <v>229</v>
      </c>
      <c r="J805" s="1" t="s">
        <v>3006</v>
      </c>
      <c r="K805" s="14" t="s">
        <v>3007</v>
      </c>
      <c r="L805" s="1" t="s">
        <v>3008</v>
      </c>
      <c r="M805" s="1" t="s">
        <v>3009</v>
      </c>
      <c r="N805" s="1">
        <v>1484</v>
      </c>
      <c r="O805" s="1" t="s">
        <v>976</v>
      </c>
      <c r="P805" s="5">
        <v>415.24</v>
      </c>
      <c r="Q805" s="5">
        <v>0</v>
      </c>
      <c r="R805" s="5">
        <v>390</v>
      </c>
      <c r="S805" s="5">
        <v>25.24</v>
      </c>
      <c r="T805" s="5" t="s">
        <v>23</v>
      </c>
      <c r="V805" s="5" t="s">
        <v>229</v>
      </c>
      <c r="AB805"/>
      <c r="AC805"/>
      <c r="AD805"/>
    </row>
    <row r="806" spans="1:30" x14ac:dyDescent="0.25">
      <c r="A806" t="s">
        <v>5091</v>
      </c>
      <c r="B806" t="s">
        <v>5092</v>
      </c>
      <c r="C806" s="9" t="s">
        <v>5093</v>
      </c>
      <c r="D806" s="9" t="s">
        <v>5094</v>
      </c>
      <c r="E806" s="5" t="s">
        <v>3003</v>
      </c>
      <c r="F806" s="1" t="s">
        <v>3004</v>
      </c>
      <c r="G806" s="25">
        <v>44547</v>
      </c>
      <c r="H806" s="1" t="s">
        <v>3277</v>
      </c>
      <c r="I806" s="14" t="s">
        <v>2774</v>
      </c>
      <c r="J806" s="1" t="s">
        <v>3006</v>
      </c>
      <c r="K806" s="14" t="s">
        <v>3007</v>
      </c>
      <c r="L806" s="1" t="s">
        <v>3008</v>
      </c>
      <c r="M806" s="1" t="s">
        <v>3009</v>
      </c>
      <c r="N806" s="1">
        <v>1484</v>
      </c>
      <c r="O806" s="1" t="s">
        <v>976</v>
      </c>
      <c r="P806" s="5">
        <v>370.53</v>
      </c>
      <c r="Q806" s="5">
        <v>0</v>
      </c>
      <c r="R806" s="5">
        <v>348</v>
      </c>
      <c r="S806" s="5">
        <v>22.53</v>
      </c>
      <c r="T806" s="5" t="s">
        <v>23</v>
      </c>
      <c r="U806" s="5" t="s">
        <v>2447</v>
      </c>
      <c r="V806" s="5" t="s">
        <v>739</v>
      </c>
      <c r="AB806"/>
      <c r="AC806"/>
      <c r="AD806"/>
    </row>
    <row r="807" spans="1:30" x14ac:dyDescent="0.25">
      <c r="A807" t="s">
        <v>5091</v>
      </c>
      <c r="B807" t="s">
        <v>5092</v>
      </c>
      <c r="C807" s="9" t="s">
        <v>5093</v>
      </c>
      <c r="D807" s="9" t="s">
        <v>5094</v>
      </c>
      <c r="E807" s="5" t="s">
        <v>3003</v>
      </c>
      <c r="F807" s="1" t="s">
        <v>3004</v>
      </c>
      <c r="G807" s="25">
        <v>44547</v>
      </c>
      <c r="H807" s="1" t="s">
        <v>3278</v>
      </c>
      <c r="I807" s="14" t="s">
        <v>2774</v>
      </c>
      <c r="J807" s="1" t="s">
        <v>3006</v>
      </c>
      <c r="K807" s="14" t="s">
        <v>3007</v>
      </c>
      <c r="L807" s="1" t="s">
        <v>3008</v>
      </c>
      <c r="M807" s="1" t="s">
        <v>3009</v>
      </c>
      <c r="N807" s="1">
        <v>1484</v>
      </c>
      <c r="O807" s="1" t="s">
        <v>976</v>
      </c>
      <c r="P807" s="5">
        <v>370.53</v>
      </c>
      <c r="Q807" s="5">
        <v>0</v>
      </c>
      <c r="R807" s="5">
        <v>348</v>
      </c>
      <c r="S807" s="5">
        <v>22.53</v>
      </c>
      <c r="T807" s="5" t="s">
        <v>23</v>
      </c>
      <c r="U807" s="5" t="s">
        <v>2482</v>
      </c>
      <c r="V807" s="5" t="s">
        <v>740</v>
      </c>
      <c r="AB807"/>
      <c r="AC807"/>
      <c r="AD807"/>
    </row>
    <row r="808" spans="1:30" x14ac:dyDescent="0.25">
      <c r="A808" t="s">
        <v>5091</v>
      </c>
      <c r="B808" t="s">
        <v>5092</v>
      </c>
      <c r="C808" s="9" t="s">
        <v>5093</v>
      </c>
      <c r="D808" s="9" t="s">
        <v>5094</v>
      </c>
      <c r="E808" s="5" t="s">
        <v>3003</v>
      </c>
      <c r="F808" s="1" t="s">
        <v>3004</v>
      </c>
      <c r="G808" s="25">
        <v>44547</v>
      </c>
      <c r="H808" s="1" t="s">
        <v>3629</v>
      </c>
      <c r="I808" s="14" t="s">
        <v>2870</v>
      </c>
      <c r="J808" s="1" t="s">
        <v>3006</v>
      </c>
      <c r="K808" s="14" t="s">
        <v>3007</v>
      </c>
      <c r="L808" s="1" t="s">
        <v>3008</v>
      </c>
      <c r="M808" s="1" t="s">
        <v>3009</v>
      </c>
      <c r="N808" s="1">
        <v>1484</v>
      </c>
      <c r="O808" s="1" t="s">
        <v>976</v>
      </c>
      <c r="P808" s="5">
        <v>415.24</v>
      </c>
      <c r="Q808" s="5">
        <v>0</v>
      </c>
      <c r="R808" s="5">
        <v>390</v>
      </c>
      <c r="S808" s="5">
        <v>25.24</v>
      </c>
      <c r="T808" s="5" t="s">
        <v>23</v>
      </c>
      <c r="U808" s="5" t="s">
        <v>2528</v>
      </c>
      <c r="V808" s="5" t="s">
        <v>874</v>
      </c>
      <c r="AB808"/>
      <c r="AC808"/>
      <c r="AD808"/>
    </row>
    <row r="809" spans="1:30" x14ac:dyDescent="0.25">
      <c r="A809" t="s">
        <v>5091</v>
      </c>
      <c r="B809" t="s">
        <v>5092</v>
      </c>
      <c r="C809" s="9" t="s">
        <v>5093</v>
      </c>
      <c r="D809" s="9" t="s">
        <v>5094</v>
      </c>
      <c r="E809" s="5" t="s">
        <v>3003</v>
      </c>
      <c r="F809" s="1" t="s">
        <v>3004</v>
      </c>
      <c r="G809" s="25">
        <v>44599</v>
      </c>
      <c r="H809" s="1" t="s">
        <v>3824</v>
      </c>
      <c r="I809" s="14" t="s">
        <v>2814</v>
      </c>
      <c r="J809" s="1" t="s">
        <v>3006</v>
      </c>
      <c r="K809" s="14" t="s">
        <v>3007</v>
      </c>
      <c r="L809" s="1" t="s">
        <v>3008</v>
      </c>
      <c r="M809" s="1" t="s">
        <v>3009</v>
      </c>
      <c r="N809" s="1">
        <v>1767</v>
      </c>
      <c r="O809" s="1" t="s">
        <v>976</v>
      </c>
      <c r="P809" s="5">
        <v>575</v>
      </c>
      <c r="Q809" s="5">
        <v>0</v>
      </c>
      <c r="R809" s="5">
        <v>575</v>
      </c>
      <c r="S809" s="5">
        <v>0</v>
      </c>
      <c r="T809" s="5" t="s">
        <v>23</v>
      </c>
      <c r="U809" s="5" t="s">
        <v>2472</v>
      </c>
      <c r="V809" s="5" t="s">
        <v>788</v>
      </c>
      <c r="AB809"/>
      <c r="AC809"/>
      <c r="AD809"/>
    </row>
    <row r="810" spans="1:30" x14ac:dyDescent="0.25">
      <c r="A810" t="s">
        <v>5091</v>
      </c>
      <c r="B810" t="s">
        <v>5092</v>
      </c>
      <c r="C810" s="9" t="s">
        <v>5093</v>
      </c>
      <c r="D810" s="9" t="s">
        <v>5094</v>
      </c>
      <c r="E810" s="5" t="s">
        <v>3003</v>
      </c>
      <c r="F810" s="1" t="s">
        <v>3004</v>
      </c>
      <c r="G810" s="25">
        <v>44599</v>
      </c>
      <c r="H810" s="1" t="s">
        <v>4205</v>
      </c>
      <c r="I810" s="14" t="s">
        <v>2868</v>
      </c>
      <c r="J810" s="1" t="s">
        <v>3006</v>
      </c>
      <c r="K810" s="14" t="s">
        <v>3007</v>
      </c>
      <c r="L810" s="1" t="s">
        <v>3008</v>
      </c>
      <c r="M810" s="1" t="s">
        <v>3009</v>
      </c>
      <c r="N810" s="1">
        <v>1767</v>
      </c>
      <c r="O810" s="1" t="s">
        <v>976</v>
      </c>
      <c r="P810" s="5">
        <v>330</v>
      </c>
      <c r="Q810" s="5">
        <v>0</v>
      </c>
      <c r="R810" s="5">
        <v>330</v>
      </c>
      <c r="S810" s="5">
        <v>0</v>
      </c>
      <c r="T810" s="5" t="s">
        <v>23</v>
      </c>
      <c r="U810" s="5" t="s">
        <v>2443</v>
      </c>
      <c r="V810" s="5" t="s">
        <v>870</v>
      </c>
      <c r="AB810"/>
      <c r="AC810"/>
      <c r="AD810"/>
    </row>
    <row r="811" spans="1:30" x14ac:dyDescent="0.25">
      <c r="A811" t="s">
        <v>5091</v>
      </c>
      <c r="B811" t="s">
        <v>5092</v>
      </c>
      <c r="C811" s="9" t="s">
        <v>5093</v>
      </c>
      <c r="D811" s="9" t="s">
        <v>5094</v>
      </c>
      <c r="E811" s="5" t="s">
        <v>3003</v>
      </c>
      <c r="F811" s="1" t="s">
        <v>3004</v>
      </c>
      <c r="G811" s="25">
        <v>44599</v>
      </c>
      <c r="H811" s="1" t="s">
        <v>4206</v>
      </c>
      <c r="I811" s="14" t="s">
        <v>2886</v>
      </c>
      <c r="J811" s="1" t="s">
        <v>3006</v>
      </c>
      <c r="K811" s="14" t="s">
        <v>3007</v>
      </c>
      <c r="L811" s="1" t="s">
        <v>3008</v>
      </c>
      <c r="M811" s="1" t="s">
        <v>3009</v>
      </c>
      <c r="N811" s="1">
        <v>1767</v>
      </c>
      <c r="O811" s="1" t="s">
        <v>976</v>
      </c>
      <c r="P811" s="5">
        <v>390</v>
      </c>
      <c r="Q811" s="5">
        <v>0</v>
      </c>
      <c r="R811" s="5">
        <v>390</v>
      </c>
      <c r="S811" s="5">
        <v>0</v>
      </c>
      <c r="T811" s="5" t="s">
        <v>23</v>
      </c>
      <c r="U811" s="5" t="s">
        <v>2579</v>
      </c>
      <c r="V811" s="5" t="s">
        <v>894</v>
      </c>
      <c r="AB811"/>
      <c r="AC811"/>
      <c r="AD811"/>
    </row>
    <row r="812" spans="1:30" x14ac:dyDescent="0.25">
      <c r="A812" t="s">
        <v>5095</v>
      </c>
      <c r="B812" t="s">
        <v>5096</v>
      </c>
      <c r="C812" s="9" t="s">
        <v>5097</v>
      </c>
      <c r="D812" s="9" t="s">
        <v>5098</v>
      </c>
      <c r="E812" s="5" t="s">
        <v>3003</v>
      </c>
      <c r="F812" s="1" t="s">
        <v>3004</v>
      </c>
      <c r="G812" s="25">
        <v>44181</v>
      </c>
      <c r="H812" s="1" t="s">
        <v>5099</v>
      </c>
      <c r="I812" s="14" t="s">
        <v>280</v>
      </c>
      <c r="J812" s="1" t="s">
        <v>3006</v>
      </c>
      <c r="K812" s="14" t="s">
        <v>3007</v>
      </c>
      <c r="L812" s="1" t="s">
        <v>3008</v>
      </c>
      <c r="M812" s="1" t="s">
        <v>3016</v>
      </c>
      <c r="N812" s="1">
        <v>107</v>
      </c>
      <c r="O812" s="1" t="s">
        <v>976</v>
      </c>
      <c r="P812" s="5">
        <v>780</v>
      </c>
      <c r="Q812" s="5">
        <v>0</v>
      </c>
      <c r="R812" s="5">
        <v>780</v>
      </c>
      <c r="S812" s="5">
        <v>0</v>
      </c>
      <c r="T812" s="5" t="s">
        <v>5574</v>
      </c>
      <c r="V812" s="5" t="s">
        <v>280</v>
      </c>
      <c r="AB812"/>
      <c r="AC812"/>
      <c r="AD812"/>
    </row>
    <row r="813" spans="1:30" x14ac:dyDescent="0.25">
      <c r="A813" t="s">
        <v>5095</v>
      </c>
      <c r="B813" t="s">
        <v>5096</v>
      </c>
      <c r="C813" s="9" t="s">
        <v>5097</v>
      </c>
      <c r="D813" s="9" t="s">
        <v>5098</v>
      </c>
      <c r="E813" s="5" t="s">
        <v>3003</v>
      </c>
      <c r="F813" s="1" t="s">
        <v>3004</v>
      </c>
      <c r="G813" s="25">
        <v>44488</v>
      </c>
      <c r="H813" s="1" t="s">
        <v>3379</v>
      </c>
      <c r="I813" s="14" t="s">
        <v>302</v>
      </c>
      <c r="J813" s="1" t="s">
        <v>3006</v>
      </c>
      <c r="K813" s="14" t="s">
        <v>3007</v>
      </c>
      <c r="L813" s="1" t="s">
        <v>3008</v>
      </c>
      <c r="M813" s="1" t="s">
        <v>3009</v>
      </c>
      <c r="N813" s="1">
        <v>1069</v>
      </c>
      <c r="O813" s="1" t="s">
        <v>976</v>
      </c>
      <c r="P813" s="5">
        <v>790</v>
      </c>
      <c r="Q813" s="5">
        <v>0</v>
      </c>
      <c r="R813" s="5">
        <v>790</v>
      </c>
      <c r="S813" s="5">
        <v>0</v>
      </c>
      <c r="T813" s="5" t="s">
        <v>23</v>
      </c>
      <c r="V813" s="5" t="s">
        <v>302</v>
      </c>
      <c r="AB813"/>
      <c r="AC813"/>
      <c r="AD813"/>
    </row>
    <row r="814" spans="1:30" x14ac:dyDescent="0.25">
      <c r="A814" t="s">
        <v>5095</v>
      </c>
      <c r="B814" t="s">
        <v>5096</v>
      </c>
      <c r="C814" s="9" t="s">
        <v>5097</v>
      </c>
      <c r="D814" s="9" t="s">
        <v>5098</v>
      </c>
      <c r="E814" s="5" t="s">
        <v>3003</v>
      </c>
      <c r="F814" s="1" t="s">
        <v>3004</v>
      </c>
      <c r="G814" s="25">
        <v>44488</v>
      </c>
      <c r="H814" s="1" t="s">
        <v>5100</v>
      </c>
      <c r="I814" s="14" t="s">
        <v>418</v>
      </c>
      <c r="J814" s="1" t="s">
        <v>3006</v>
      </c>
      <c r="K814" s="14" t="s">
        <v>3007</v>
      </c>
      <c r="L814" s="1" t="s">
        <v>3008</v>
      </c>
      <c r="M814" s="1" t="s">
        <v>3009</v>
      </c>
      <c r="N814" s="1">
        <v>1069</v>
      </c>
      <c r="O814" s="1" t="s">
        <v>976</v>
      </c>
      <c r="P814" s="5">
        <v>870</v>
      </c>
      <c r="Q814" s="5">
        <v>0</v>
      </c>
      <c r="R814" s="5">
        <v>870</v>
      </c>
      <c r="S814" s="5">
        <v>0</v>
      </c>
      <c r="T814" s="5">
        <v>42</v>
      </c>
      <c r="V814" s="5" t="s">
        <v>418</v>
      </c>
      <c r="AB814"/>
      <c r="AC814"/>
      <c r="AD814"/>
    </row>
    <row r="815" spans="1:30" x14ac:dyDescent="0.25">
      <c r="A815" t="s">
        <v>5101</v>
      </c>
      <c r="B815" t="s">
        <v>5102</v>
      </c>
      <c r="C815" s="9" t="s">
        <v>5103</v>
      </c>
      <c r="D815" s="9">
        <v>11948881412</v>
      </c>
      <c r="E815" s="5" t="s">
        <v>3003</v>
      </c>
      <c r="F815" s="1" t="s">
        <v>3004</v>
      </c>
      <c r="G815" s="25">
        <v>44182</v>
      </c>
      <c r="H815" s="1" t="s">
        <v>3015</v>
      </c>
      <c r="I815" s="14" t="s">
        <v>252</v>
      </c>
      <c r="J815" s="1" t="s">
        <v>3006</v>
      </c>
      <c r="K815" s="14" t="s">
        <v>3007</v>
      </c>
      <c r="L815" s="1" t="s">
        <v>3008</v>
      </c>
      <c r="M815" s="1" t="s">
        <v>3016</v>
      </c>
      <c r="N815" s="1">
        <v>108</v>
      </c>
      <c r="O815" s="1" t="s">
        <v>976</v>
      </c>
      <c r="P815" s="5">
        <v>1045</v>
      </c>
      <c r="Q815" s="5">
        <v>55</v>
      </c>
      <c r="R815" s="5">
        <v>1100</v>
      </c>
      <c r="S815" s="5">
        <v>0</v>
      </c>
      <c r="T815" s="5" t="s">
        <v>22</v>
      </c>
      <c r="V815" s="5" t="s">
        <v>252</v>
      </c>
      <c r="AB815"/>
      <c r="AC815"/>
      <c r="AD815"/>
    </row>
    <row r="816" spans="1:30" x14ac:dyDescent="0.25">
      <c r="A816" t="s">
        <v>5104</v>
      </c>
      <c r="B816" t="s">
        <v>5105</v>
      </c>
      <c r="C816" s="9" t="s">
        <v>5106</v>
      </c>
      <c r="D816" s="9">
        <v>982159715</v>
      </c>
      <c r="E816" s="5" t="s">
        <v>3148</v>
      </c>
      <c r="F816" s="1" t="s">
        <v>3606</v>
      </c>
      <c r="G816" s="25">
        <v>44176</v>
      </c>
      <c r="H816" s="1" t="s">
        <v>3564</v>
      </c>
      <c r="I816" s="14" t="s">
        <v>295</v>
      </c>
      <c r="J816" s="1" t="s">
        <v>3006</v>
      </c>
      <c r="K816" s="14" t="s">
        <v>3007</v>
      </c>
      <c r="L816" s="1" t="s">
        <v>3008</v>
      </c>
      <c r="M816" s="1" t="s">
        <v>3009</v>
      </c>
      <c r="N816" s="1">
        <v>79</v>
      </c>
      <c r="O816" s="1" t="s">
        <v>976</v>
      </c>
      <c r="P816" s="5">
        <v>637.74</v>
      </c>
      <c r="Q816" s="5">
        <v>0</v>
      </c>
      <c r="R816" s="5">
        <v>615</v>
      </c>
      <c r="S816" s="5">
        <v>22.74</v>
      </c>
      <c r="T816" s="5" t="s">
        <v>24</v>
      </c>
      <c r="V816" s="5" t="s">
        <v>295</v>
      </c>
      <c r="AB816"/>
      <c r="AC816"/>
      <c r="AD816"/>
    </row>
    <row r="817" spans="1:30" x14ac:dyDescent="0.25">
      <c r="A817" t="s">
        <v>5104</v>
      </c>
      <c r="B817" t="s">
        <v>5105</v>
      </c>
      <c r="C817" s="9" t="s">
        <v>5106</v>
      </c>
      <c r="D817" s="9">
        <v>982159715</v>
      </c>
      <c r="E817" s="5" t="s">
        <v>3148</v>
      </c>
      <c r="F817" s="1" t="s">
        <v>3606</v>
      </c>
      <c r="G817" s="25">
        <v>44215</v>
      </c>
      <c r="H817" s="1" t="s">
        <v>3343</v>
      </c>
      <c r="I817" s="14" t="s">
        <v>253</v>
      </c>
      <c r="J817" s="1" t="s">
        <v>3006</v>
      </c>
      <c r="K817" s="14" t="s">
        <v>3007</v>
      </c>
      <c r="L817" s="1" t="s">
        <v>3008</v>
      </c>
      <c r="M817" s="1" t="s">
        <v>3009</v>
      </c>
      <c r="N817" s="1">
        <v>165</v>
      </c>
      <c r="O817" s="1" t="s">
        <v>976</v>
      </c>
      <c r="P817" s="5">
        <v>1595</v>
      </c>
      <c r="Q817" s="5">
        <v>0</v>
      </c>
      <c r="R817" s="5">
        <v>1595</v>
      </c>
      <c r="S817" s="5">
        <v>0</v>
      </c>
      <c r="T817" s="5" t="s">
        <v>24</v>
      </c>
      <c r="V817" s="5" t="s">
        <v>253</v>
      </c>
      <c r="AB817"/>
      <c r="AC817"/>
      <c r="AD817"/>
    </row>
    <row r="818" spans="1:30" x14ac:dyDescent="0.25">
      <c r="A818" t="s">
        <v>5104</v>
      </c>
      <c r="B818" t="s">
        <v>5105</v>
      </c>
      <c r="C818" s="9" t="s">
        <v>5106</v>
      </c>
      <c r="D818" s="9">
        <v>982159715</v>
      </c>
      <c r="E818" s="5" t="s">
        <v>3148</v>
      </c>
      <c r="F818" s="1" t="s">
        <v>3606</v>
      </c>
      <c r="G818" s="25">
        <v>44551</v>
      </c>
      <c r="H818" s="1" t="s">
        <v>3075</v>
      </c>
      <c r="I818" s="14" t="s">
        <v>2791</v>
      </c>
      <c r="J818" s="1" t="s">
        <v>3006</v>
      </c>
      <c r="K818" s="14" t="s">
        <v>3007</v>
      </c>
      <c r="L818" s="1" t="s">
        <v>3008</v>
      </c>
      <c r="M818" s="1" t="s">
        <v>3009</v>
      </c>
      <c r="N818" s="1">
        <v>1519</v>
      </c>
      <c r="O818" s="1" t="s">
        <v>976</v>
      </c>
      <c r="P818" s="5">
        <v>1711.61</v>
      </c>
      <c r="Q818" s="5">
        <v>0</v>
      </c>
      <c r="R818" s="5">
        <v>1665</v>
      </c>
      <c r="S818" s="5">
        <v>46.61</v>
      </c>
      <c r="T818" s="5" t="s">
        <v>22</v>
      </c>
      <c r="U818" s="5" t="s">
        <v>2443</v>
      </c>
      <c r="V818" s="5" t="s">
        <v>763</v>
      </c>
      <c r="AB818"/>
      <c r="AC818"/>
      <c r="AD818"/>
    </row>
    <row r="819" spans="1:30" x14ac:dyDescent="0.25">
      <c r="A819" t="s">
        <v>5104</v>
      </c>
      <c r="B819" t="s">
        <v>5105</v>
      </c>
      <c r="C819" s="9" t="s">
        <v>5106</v>
      </c>
      <c r="D819" s="9">
        <v>982159715</v>
      </c>
      <c r="E819" s="5" t="s">
        <v>3148</v>
      </c>
      <c r="F819" s="1" t="s">
        <v>3606</v>
      </c>
      <c r="G819" s="25">
        <v>44551</v>
      </c>
      <c r="H819" s="1" t="s">
        <v>3996</v>
      </c>
      <c r="I819" s="14" t="s">
        <v>2856</v>
      </c>
      <c r="J819" s="1" t="s">
        <v>3006</v>
      </c>
      <c r="K819" s="14" t="s">
        <v>3007</v>
      </c>
      <c r="L819" s="1" t="s">
        <v>3008</v>
      </c>
      <c r="M819" s="1" t="s">
        <v>3009</v>
      </c>
      <c r="N819" s="1">
        <v>1519</v>
      </c>
      <c r="O819" s="1" t="s">
        <v>976</v>
      </c>
      <c r="P819" s="5">
        <v>699.03</v>
      </c>
      <c r="Q819" s="5">
        <v>0</v>
      </c>
      <c r="R819" s="5">
        <v>680</v>
      </c>
      <c r="S819" s="5">
        <v>19.03</v>
      </c>
      <c r="T819" s="5" t="s">
        <v>21</v>
      </c>
      <c r="U819" s="5" t="s">
        <v>2447</v>
      </c>
      <c r="V819" s="5" t="s">
        <v>851</v>
      </c>
      <c r="AB819"/>
      <c r="AC819"/>
      <c r="AD819"/>
    </row>
    <row r="820" spans="1:30" x14ac:dyDescent="0.25">
      <c r="A820" t="s">
        <v>5107</v>
      </c>
      <c r="B820" t="s">
        <v>5108</v>
      </c>
      <c r="C820" s="9" t="s">
        <v>5109</v>
      </c>
      <c r="D820" s="9" t="s">
        <v>976</v>
      </c>
      <c r="E820" s="5" t="s">
        <v>3003</v>
      </c>
      <c r="F820" s="1" t="s">
        <v>3004</v>
      </c>
      <c r="G820" s="25">
        <v>44413</v>
      </c>
      <c r="H820" s="1" t="s">
        <v>3258</v>
      </c>
      <c r="I820" s="14" t="s">
        <v>2805</v>
      </c>
      <c r="J820" s="1" t="s">
        <v>3006</v>
      </c>
      <c r="K820" s="14" t="s">
        <v>3007</v>
      </c>
      <c r="L820" s="1" t="s">
        <v>3008</v>
      </c>
      <c r="M820" s="1" t="s">
        <v>3016</v>
      </c>
      <c r="N820" s="1">
        <v>744</v>
      </c>
      <c r="O820" s="1" t="s">
        <v>976</v>
      </c>
      <c r="P820" s="5">
        <v>470</v>
      </c>
      <c r="Q820" s="5">
        <v>0</v>
      </c>
      <c r="R820" s="5">
        <v>470</v>
      </c>
      <c r="S820" s="5">
        <v>0</v>
      </c>
      <c r="T820" s="5">
        <v>38</v>
      </c>
      <c r="U820" s="5" t="s">
        <v>2443</v>
      </c>
      <c r="V820" s="5" t="s">
        <v>776</v>
      </c>
      <c r="AB820"/>
      <c r="AC820"/>
      <c r="AD820"/>
    </row>
    <row r="821" spans="1:30" x14ac:dyDescent="0.25">
      <c r="A821" t="s">
        <v>5110</v>
      </c>
      <c r="B821" t="s">
        <v>5111</v>
      </c>
      <c r="C821" s="9" t="s">
        <v>5112</v>
      </c>
      <c r="D821" s="9">
        <v>999994858</v>
      </c>
      <c r="E821" s="5" t="s">
        <v>3514</v>
      </c>
      <c r="F821" s="1" t="s">
        <v>4083</v>
      </c>
      <c r="G821" s="25">
        <v>44392</v>
      </c>
      <c r="H821" s="1" t="s">
        <v>3195</v>
      </c>
      <c r="I821" s="14" t="s">
        <v>2814</v>
      </c>
      <c r="J821" s="1" t="s">
        <v>3006</v>
      </c>
      <c r="K821" s="14" t="s">
        <v>3007</v>
      </c>
      <c r="L821" s="1" t="s">
        <v>3008</v>
      </c>
      <c r="M821" s="1" t="s">
        <v>3016</v>
      </c>
      <c r="N821" s="1">
        <v>636</v>
      </c>
      <c r="O821" s="1" t="s">
        <v>976</v>
      </c>
      <c r="P821" s="5">
        <v>600.76</v>
      </c>
      <c r="Q821" s="5">
        <v>0</v>
      </c>
      <c r="R821" s="5">
        <v>585</v>
      </c>
      <c r="S821" s="5">
        <v>15.76</v>
      </c>
      <c r="T821" s="5" t="s">
        <v>23</v>
      </c>
      <c r="U821" s="5" t="s">
        <v>2482</v>
      </c>
      <c r="V821" s="5" t="s">
        <v>789</v>
      </c>
      <c r="AB821"/>
      <c r="AC821"/>
      <c r="AD821"/>
    </row>
    <row r="822" spans="1:30" x14ac:dyDescent="0.25">
      <c r="A822" t="s">
        <v>5110</v>
      </c>
      <c r="B822" t="s">
        <v>5111</v>
      </c>
      <c r="C822" s="9" t="s">
        <v>5112</v>
      </c>
      <c r="D822" s="9">
        <v>999994858</v>
      </c>
      <c r="E822" s="5" t="s">
        <v>3514</v>
      </c>
      <c r="F822" s="1" t="s">
        <v>4083</v>
      </c>
      <c r="G822" s="25">
        <v>44392</v>
      </c>
      <c r="H822" s="1" t="s">
        <v>3805</v>
      </c>
      <c r="I822" s="14" t="s">
        <v>487</v>
      </c>
      <c r="J822" s="1" t="s">
        <v>3006</v>
      </c>
      <c r="K822" s="14" t="s">
        <v>3007</v>
      </c>
      <c r="L822" s="1" t="s">
        <v>3008</v>
      </c>
      <c r="M822" s="1" t="s">
        <v>3016</v>
      </c>
      <c r="N822" s="1">
        <v>636</v>
      </c>
      <c r="O822" s="1" t="s">
        <v>976</v>
      </c>
      <c r="P822" s="5">
        <v>297.81</v>
      </c>
      <c r="Q822" s="5">
        <v>0</v>
      </c>
      <c r="R822" s="5">
        <v>290</v>
      </c>
      <c r="S822" s="5">
        <v>7.81</v>
      </c>
      <c r="T822" s="5" t="s">
        <v>23</v>
      </c>
      <c r="V822" s="5" t="s">
        <v>487</v>
      </c>
      <c r="AB822"/>
      <c r="AC822"/>
      <c r="AD822"/>
    </row>
    <row r="823" spans="1:30" x14ac:dyDescent="0.25">
      <c r="A823" t="s">
        <v>5110</v>
      </c>
      <c r="B823" t="s">
        <v>5111</v>
      </c>
      <c r="C823" s="9" t="s">
        <v>5112</v>
      </c>
      <c r="D823" s="9">
        <v>999994858</v>
      </c>
      <c r="E823" s="5" t="s">
        <v>3514</v>
      </c>
      <c r="F823" s="1" t="s">
        <v>4083</v>
      </c>
      <c r="G823" s="25">
        <v>44392</v>
      </c>
      <c r="H823" s="1" t="s">
        <v>3335</v>
      </c>
      <c r="I823" s="14" t="s">
        <v>499</v>
      </c>
      <c r="J823" s="1" t="s">
        <v>3006</v>
      </c>
      <c r="K823" s="14" t="s">
        <v>3007</v>
      </c>
      <c r="L823" s="1" t="s">
        <v>3008</v>
      </c>
      <c r="M823" s="1" t="s">
        <v>3016</v>
      </c>
      <c r="N823" s="1">
        <v>636</v>
      </c>
      <c r="O823" s="1" t="s">
        <v>976</v>
      </c>
      <c r="P823" s="5">
        <v>297.81</v>
      </c>
      <c r="Q823" s="5">
        <v>0</v>
      </c>
      <c r="R823" s="5">
        <v>290</v>
      </c>
      <c r="S823" s="5">
        <v>7.81</v>
      </c>
      <c r="T823" s="5" t="s">
        <v>23</v>
      </c>
      <c r="V823" s="5" t="s">
        <v>499</v>
      </c>
      <c r="AB823"/>
      <c r="AC823"/>
      <c r="AD823"/>
    </row>
    <row r="824" spans="1:30" x14ac:dyDescent="0.25">
      <c r="A824" t="s">
        <v>5113</v>
      </c>
      <c r="B824" t="s">
        <v>5114</v>
      </c>
      <c r="C824" s="9" t="s">
        <v>5115</v>
      </c>
      <c r="D824" s="9">
        <v>991644220</v>
      </c>
      <c r="E824" s="5" t="s">
        <v>3733</v>
      </c>
      <c r="F824" s="1" t="s">
        <v>3734</v>
      </c>
      <c r="G824" s="25">
        <v>44543</v>
      </c>
      <c r="H824" s="1" t="s">
        <v>3015</v>
      </c>
      <c r="I824" s="14" t="s">
        <v>252</v>
      </c>
      <c r="J824" s="1" t="s">
        <v>3006</v>
      </c>
      <c r="K824" s="14" t="s">
        <v>3007</v>
      </c>
      <c r="L824" s="1" t="s">
        <v>3008</v>
      </c>
      <c r="M824" s="1" t="s">
        <v>3009</v>
      </c>
      <c r="N824" s="1">
        <v>1443</v>
      </c>
      <c r="O824" s="1" t="s">
        <v>976</v>
      </c>
      <c r="P824" s="5">
        <v>1524.17</v>
      </c>
      <c r="Q824" s="5">
        <v>166.5</v>
      </c>
      <c r="R824" s="5">
        <v>1665</v>
      </c>
      <c r="S824" s="5">
        <v>25.67</v>
      </c>
      <c r="T824" s="5" t="s">
        <v>22</v>
      </c>
      <c r="V824" s="5" t="s">
        <v>252</v>
      </c>
      <c r="AB824"/>
      <c r="AC824"/>
      <c r="AD824"/>
    </row>
    <row r="825" spans="1:30" x14ac:dyDescent="0.25">
      <c r="A825" t="s">
        <v>5113</v>
      </c>
      <c r="B825" t="s">
        <v>5114</v>
      </c>
      <c r="C825" s="9" t="s">
        <v>5115</v>
      </c>
      <c r="D825" s="9">
        <v>991644220</v>
      </c>
      <c r="E825" s="5" t="s">
        <v>3733</v>
      </c>
      <c r="F825" s="1" t="s">
        <v>3734</v>
      </c>
      <c r="G825" s="25">
        <v>44543</v>
      </c>
      <c r="H825" s="1" t="s">
        <v>4280</v>
      </c>
      <c r="I825" s="14" t="s">
        <v>558</v>
      </c>
      <c r="J825" s="1" t="s">
        <v>3006</v>
      </c>
      <c r="K825" s="14" t="s">
        <v>3007</v>
      </c>
      <c r="L825" s="1" t="s">
        <v>3008</v>
      </c>
      <c r="M825" s="1" t="s">
        <v>3009</v>
      </c>
      <c r="N825" s="1">
        <v>1443</v>
      </c>
      <c r="O825" s="1" t="s">
        <v>976</v>
      </c>
      <c r="P825" s="5">
        <v>100.7</v>
      </c>
      <c r="Q825" s="5">
        <v>11</v>
      </c>
      <c r="R825" s="5">
        <v>110</v>
      </c>
      <c r="S825" s="5">
        <v>1.7</v>
      </c>
      <c r="T825" s="5" t="s">
        <v>22</v>
      </c>
      <c r="V825" s="5" t="s">
        <v>558</v>
      </c>
      <c r="AB825"/>
      <c r="AC825"/>
      <c r="AD825"/>
    </row>
    <row r="826" spans="1:30" x14ac:dyDescent="0.25">
      <c r="A826" t="s">
        <v>5113</v>
      </c>
      <c r="B826" t="s">
        <v>5114</v>
      </c>
      <c r="C826" s="9" t="s">
        <v>5115</v>
      </c>
      <c r="D826" s="9">
        <v>991644220</v>
      </c>
      <c r="E826" s="5" t="s">
        <v>3733</v>
      </c>
      <c r="F826" s="1" t="s">
        <v>3734</v>
      </c>
      <c r="G826" s="25">
        <v>44543</v>
      </c>
      <c r="H826" s="1" t="s">
        <v>4596</v>
      </c>
      <c r="I826" s="14" t="s">
        <v>2823</v>
      </c>
      <c r="J826" s="1" t="s">
        <v>3006</v>
      </c>
      <c r="K826" s="14" t="s">
        <v>3007</v>
      </c>
      <c r="L826" s="1" t="s">
        <v>3008</v>
      </c>
      <c r="M826" s="1" t="s">
        <v>3009</v>
      </c>
      <c r="N826" s="1">
        <v>1443</v>
      </c>
      <c r="O826" s="1" t="s">
        <v>976</v>
      </c>
      <c r="P826" s="5">
        <v>210.54</v>
      </c>
      <c r="Q826" s="5">
        <v>23</v>
      </c>
      <c r="R826" s="5">
        <v>230</v>
      </c>
      <c r="S826" s="5">
        <v>3.54</v>
      </c>
      <c r="T826" s="5" t="s">
        <v>24</v>
      </c>
      <c r="U826" s="5" t="s">
        <v>2459</v>
      </c>
      <c r="V826" s="5" t="s">
        <v>804</v>
      </c>
      <c r="AB826"/>
      <c r="AC826"/>
      <c r="AD826"/>
    </row>
    <row r="827" spans="1:30" x14ac:dyDescent="0.25">
      <c r="A827" t="s">
        <v>5116</v>
      </c>
      <c r="B827" t="s">
        <v>5117</v>
      </c>
      <c r="C827" s="9" t="s">
        <v>5118</v>
      </c>
      <c r="D827" s="9">
        <v>988805664</v>
      </c>
      <c r="E827" s="5" t="s">
        <v>3041</v>
      </c>
      <c r="F827" s="1" t="s">
        <v>3042</v>
      </c>
      <c r="G827" s="25">
        <v>44500</v>
      </c>
      <c r="H827" s="1" t="s">
        <v>3027</v>
      </c>
      <c r="I827" s="14" t="s">
        <v>254</v>
      </c>
      <c r="J827" s="1" t="s">
        <v>3006</v>
      </c>
      <c r="K827" s="14" t="s">
        <v>3007</v>
      </c>
      <c r="L827" s="1" t="s">
        <v>3008</v>
      </c>
      <c r="M827" s="1" t="s">
        <v>3009</v>
      </c>
      <c r="N827" s="1">
        <v>1151</v>
      </c>
      <c r="O827" s="1" t="s">
        <v>976</v>
      </c>
      <c r="P827" s="5">
        <v>1404.05</v>
      </c>
      <c r="Q827" s="5">
        <v>0</v>
      </c>
      <c r="R827" s="5">
        <v>1380</v>
      </c>
      <c r="S827" s="5">
        <v>24.05</v>
      </c>
      <c r="T827" s="5" t="s">
        <v>22</v>
      </c>
      <c r="V827" s="5" t="s">
        <v>254</v>
      </c>
      <c r="AB827"/>
      <c r="AC827"/>
      <c r="AD827"/>
    </row>
    <row r="828" spans="1:30" x14ac:dyDescent="0.25">
      <c r="A828" t="s">
        <v>5116</v>
      </c>
      <c r="B828" t="s">
        <v>5117</v>
      </c>
      <c r="C828" s="9" t="s">
        <v>5118</v>
      </c>
      <c r="D828" s="9">
        <v>988805664</v>
      </c>
      <c r="E828" s="5" t="s">
        <v>3041</v>
      </c>
      <c r="F828" s="1" t="s">
        <v>3042</v>
      </c>
      <c r="G828" s="25">
        <v>44500</v>
      </c>
      <c r="H828" s="1" t="s">
        <v>4819</v>
      </c>
      <c r="I828" s="14" t="s">
        <v>2940</v>
      </c>
      <c r="J828" s="1" t="s">
        <v>3006</v>
      </c>
      <c r="K828" s="14" t="s">
        <v>3007</v>
      </c>
      <c r="L828" s="1" t="s">
        <v>3008</v>
      </c>
      <c r="M828" s="1" t="s">
        <v>3009</v>
      </c>
      <c r="N828" s="1">
        <v>1151</v>
      </c>
      <c r="O828" s="1" t="s">
        <v>976</v>
      </c>
      <c r="P828" s="5">
        <v>803.76</v>
      </c>
      <c r="Q828" s="5">
        <v>0</v>
      </c>
      <c r="R828" s="5">
        <v>790</v>
      </c>
      <c r="S828" s="5">
        <v>13.76</v>
      </c>
      <c r="T828" s="5">
        <v>36</v>
      </c>
      <c r="U828" s="5" t="s">
        <v>2495</v>
      </c>
      <c r="V828" s="5" t="s">
        <v>924</v>
      </c>
      <c r="AB828"/>
      <c r="AC828"/>
      <c r="AD828"/>
    </row>
    <row r="829" spans="1:30" x14ac:dyDescent="0.25">
      <c r="A829" t="s">
        <v>5119</v>
      </c>
      <c r="B829" t="s">
        <v>5120</v>
      </c>
      <c r="C829" s="9" t="s">
        <v>5121</v>
      </c>
      <c r="D829" s="9">
        <v>972296959</v>
      </c>
      <c r="E829" s="5" t="s">
        <v>3041</v>
      </c>
      <c r="F829" s="1" t="s">
        <v>3042</v>
      </c>
      <c r="G829" s="25">
        <v>44445</v>
      </c>
      <c r="H829" s="1" t="s">
        <v>5122</v>
      </c>
      <c r="I829" s="14" t="s">
        <v>2867</v>
      </c>
      <c r="J829" s="1" t="s">
        <v>3006</v>
      </c>
      <c r="K829" s="14" t="s">
        <v>3007</v>
      </c>
      <c r="L829" s="1" t="s">
        <v>3008</v>
      </c>
      <c r="M829" s="1" t="s">
        <v>3009</v>
      </c>
      <c r="N829" s="1">
        <v>868</v>
      </c>
      <c r="O829" s="1" t="s">
        <v>976</v>
      </c>
      <c r="P829" s="5">
        <v>507.28</v>
      </c>
      <c r="Q829" s="5">
        <v>0</v>
      </c>
      <c r="R829" s="5">
        <v>485</v>
      </c>
      <c r="S829" s="5">
        <v>22.28</v>
      </c>
      <c r="T829" s="5" t="s">
        <v>21</v>
      </c>
      <c r="U829" s="5" t="s">
        <v>2482</v>
      </c>
      <c r="V829" s="5" t="s">
        <v>869</v>
      </c>
      <c r="AB829"/>
      <c r="AC829"/>
      <c r="AD829"/>
    </row>
    <row r="830" spans="1:30" x14ac:dyDescent="0.25">
      <c r="A830" t="s">
        <v>5123</v>
      </c>
      <c r="B830" t="s">
        <v>5124</v>
      </c>
      <c r="C830" s="9" t="s">
        <v>5125</v>
      </c>
      <c r="D830" s="9">
        <v>972712922</v>
      </c>
      <c r="E830" s="5" t="s">
        <v>3041</v>
      </c>
      <c r="F830" s="1" t="s">
        <v>3042</v>
      </c>
      <c r="G830" s="25">
        <v>44579</v>
      </c>
      <c r="H830" s="1" t="s">
        <v>4596</v>
      </c>
      <c r="I830" s="14" t="s">
        <v>2823</v>
      </c>
      <c r="J830" s="1" t="s">
        <v>3006</v>
      </c>
      <c r="K830" s="14" t="s">
        <v>3007</v>
      </c>
      <c r="L830" s="1" t="s">
        <v>3008</v>
      </c>
      <c r="M830" s="1" t="s">
        <v>3016</v>
      </c>
      <c r="N830" s="1">
        <v>1675</v>
      </c>
      <c r="O830" s="1" t="s">
        <v>976</v>
      </c>
      <c r="P830" s="5">
        <v>230</v>
      </c>
      <c r="Q830" s="5">
        <v>0</v>
      </c>
      <c r="R830" s="5">
        <v>230</v>
      </c>
      <c r="S830" s="5">
        <v>0</v>
      </c>
      <c r="T830" s="5" t="s">
        <v>24</v>
      </c>
      <c r="U830" s="5" t="s">
        <v>2459</v>
      </c>
      <c r="V830" s="5" t="s">
        <v>804</v>
      </c>
      <c r="AB830"/>
      <c r="AC830"/>
      <c r="AD830"/>
    </row>
    <row r="831" spans="1:30" x14ac:dyDescent="0.25">
      <c r="A831" t="s">
        <v>5126</v>
      </c>
      <c r="B831" t="s">
        <v>5127</v>
      </c>
      <c r="C831" s="9" t="s">
        <v>5128</v>
      </c>
      <c r="D831" s="9" t="s">
        <v>5129</v>
      </c>
      <c r="E831" s="5" t="s">
        <v>3003</v>
      </c>
      <c r="F831" s="1" t="s">
        <v>3004</v>
      </c>
      <c r="G831" s="25">
        <v>44232</v>
      </c>
      <c r="H831" s="1" t="s">
        <v>3870</v>
      </c>
      <c r="I831" s="14" t="s">
        <v>323</v>
      </c>
      <c r="J831" s="1" t="s">
        <v>3006</v>
      </c>
      <c r="K831" s="14" t="s">
        <v>3007</v>
      </c>
      <c r="L831" s="1" t="s">
        <v>3008</v>
      </c>
      <c r="M831" s="1" t="s">
        <v>3009</v>
      </c>
      <c r="N831" s="1">
        <v>201</v>
      </c>
      <c r="O831" s="1" t="s">
        <v>976</v>
      </c>
      <c r="P831" s="5">
        <v>833</v>
      </c>
      <c r="Q831" s="5">
        <v>147</v>
      </c>
      <c r="R831" s="5">
        <v>980</v>
      </c>
      <c r="S831" s="5">
        <v>0</v>
      </c>
      <c r="T831" s="5" t="s">
        <v>23</v>
      </c>
      <c r="V831" s="5" t="s">
        <v>323</v>
      </c>
      <c r="AB831"/>
      <c r="AC831"/>
      <c r="AD831"/>
    </row>
    <row r="832" spans="1:30" x14ac:dyDescent="0.25">
      <c r="A832" t="s">
        <v>5130</v>
      </c>
      <c r="B832" t="s">
        <v>5131</v>
      </c>
      <c r="C832" s="9" t="s">
        <v>5132</v>
      </c>
      <c r="D832" s="9" t="s">
        <v>5133</v>
      </c>
      <c r="E832" s="5" t="s">
        <v>3133</v>
      </c>
      <c r="F832" s="1" t="s">
        <v>3248</v>
      </c>
      <c r="G832" s="25">
        <v>44125</v>
      </c>
      <c r="H832" s="1" t="s">
        <v>5134</v>
      </c>
      <c r="I832" s="14" t="s">
        <v>2875</v>
      </c>
      <c r="J832" s="1" t="s">
        <v>3006</v>
      </c>
      <c r="K832" s="14" t="s">
        <v>3007</v>
      </c>
      <c r="L832" s="1" t="s">
        <v>3614</v>
      </c>
      <c r="M832" s="1" t="s">
        <v>3016</v>
      </c>
      <c r="N832" s="1">
        <v>36</v>
      </c>
      <c r="O832" s="1" t="s">
        <v>976</v>
      </c>
      <c r="P832" s="5">
        <v>640</v>
      </c>
      <c r="Q832" s="5">
        <v>0</v>
      </c>
      <c r="R832" s="5">
        <v>640</v>
      </c>
      <c r="S832" s="5">
        <v>0</v>
      </c>
      <c r="T832" s="5" t="s">
        <v>23</v>
      </c>
      <c r="U832" s="5" t="s">
        <v>2482</v>
      </c>
      <c r="V832" s="5" t="s">
        <v>881</v>
      </c>
      <c r="AB832"/>
      <c r="AC832"/>
      <c r="AD832"/>
    </row>
    <row r="833" spans="1:30" x14ac:dyDescent="0.25">
      <c r="A833" t="s">
        <v>5130</v>
      </c>
      <c r="B833" t="s">
        <v>5131</v>
      </c>
      <c r="C833" s="9" t="s">
        <v>5132</v>
      </c>
      <c r="D833" s="9" t="s">
        <v>5133</v>
      </c>
      <c r="E833" s="5" t="s">
        <v>3133</v>
      </c>
      <c r="F833" s="1" t="s">
        <v>3248</v>
      </c>
      <c r="G833" s="25">
        <v>44134</v>
      </c>
      <c r="H833" s="1" t="s">
        <v>5135</v>
      </c>
      <c r="I833" s="14" t="s">
        <v>2886</v>
      </c>
      <c r="J833" s="1" t="s">
        <v>3006</v>
      </c>
      <c r="K833" s="14" t="s">
        <v>3007</v>
      </c>
      <c r="L833" s="1" t="s">
        <v>3008</v>
      </c>
      <c r="M833" s="1" t="s">
        <v>3016</v>
      </c>
      <c r="N833" s="1">
        <v>42</v>
      </c>
      <c r="O833" s="1" t="s">
        <v>976</v>
      </c>
      <c r="P833" s="5">
        <v>390</v>
      </c>
      <c r="Q833" s="5">
        <v>0</v>
      </c>
      <c r="R833" s="5">
        <v>390</v>
      </c>
      <c r="S833" s="5">
        <v>0</v>
      </c>
      <c r="T833" s="5" t="s">
        <v>23</v>
      </c>
      <c r="U833" s="5" t="s">
        <v>2482</v>
      </c>
      <c r="V833" s="5" t="s">
        <v>895</v>
      </c>
      <c r="AB833"/>
      <c r="AC833"/>
      <c r="AD833"/>
    </row>
    <row r="834" spans="1:30" x14ac:dyDescent="0.25">
      <c r="A834" t="s">
        <v>5130</v>
      </c>
      <c r="B834" t="s">
        <v>5131</v>
      </c>
      <c r="C834" s="9" t="s">
        <v>5132</v>
      </c>
      <c r="D834" s="9" t="s">
        <v>5133</v>
      </c>
      <c r="E834" s="5" t="s">
        <v>3133</v>
      </c>
      <c r="F834" s="1" t="s">
        <v>3248</v>
      </c>
      <c r="G834" s="25">
        <v>44166</v>
      </c>
      <c r="H834" s="1" t="s">
        <v>3392</v>
      </c>
      <c r="I834" s="14" t="s">
        <v>297</v>
      </c>
      <c r="J834" s="1" t="s">
        <v>3006</v>
      </c>
      <c r="K834" s="14" t="s">
        <v>3007</v>
      </c>
      <c r="L834" s="1" t="s">
        <v>3008</v>
      </c>
      <c r="M834" s="1" t="s">
        <v>3016</v>
      </c>
      <c r="N834" s="1">
        <v>53</v>
      </c>
      <c r="O834" s="1" t="s">
        <v>976</v>
      </c>
      <c r="P834" s="5">
        <v>615</v>
      </c>
      <c r="Q834" s="5">
        <v>0</v>
      </c>
      <c r="R834" s="5">
        <v>615</v>
      </c>
      <c r="S834" s="5">
        <v>0</v>
      </c>
      <c r="T834" s="5" t="s">
        <v>23</v>
      </c>
      <c r="V834" s="5" t="s">
        <v>297</v>
      </c>
      <c r="AB834"/>
      <c r="AC834"/>
      <c r="AD834"/>
    </row>
    <row r="835" spans="1:30" x14ac:dyDescent="0.25">
      <c r="A835" t="s">
        <v>5130</v>
      </c>
      <c r="B835" t="s">
        <v>5131</v>
      </c>
      <c r="C835" s="9" t="s">
        <v>5132</v>
      </c>
      <c r="D835" s="9" t="s">
        <v>5133</v>
      </c>
      <c r="E835" s="5" t="s">
        <v>3133</v>
      </c>
      <c r="F835" s="1" t="s">
        <v>3248</v>
      </c>
      <c r="G835" s="25">
        <v>44223</v>
      </c>
      <c r="H835" s="1" t="s">
        <v>3784</v>
      </c>
      <c r="I835" s="14" t="s">
        <v>597</v>
      </c>
      <c r="J835" s="1" t="s">
        <v>3006</v>
      </c>
      <c r="K835" s="14" t="s">
        <v>3007</v>
      </c>
      <c r="L835" s="1" t="s">
        <v>3008</v>
      </c>
      <c r="M835" s="1" t="s">
        <v>3016</v>
      </c>
      <c r="N835" s="1">
        <v>181</v>
      </c>
      <c r="O835" s="1" t="s">
        <v>976</v>
      </c>
      <c r="P835" s="5">
        <v>645.15</v>
      </c>
      <c r="Q835" s="5">
        <v>113.85</v>
      </c>
      <c r="R835" s="5">
        <v>759</v>
      </c>
      <c r="S835" s="5">
        <v>0</v>
      </c>
      <c r="T835" s="5" t="s">
        <v>23</v>
      </c>
      <c r="V835" s="5" t="s">
        <v>597</v>
      </c>
      <c r="AB835"/>
      <c r="AC835"/>
      <c r="AD835"/>
    </row>
    <row r="836" spans="1:30" x14ac:dyDescent="0.25">
      <c r="A836" t="s">
        <v>5130</v>
      </c>
      <c r="B836" t="s">
        <v>5131</v>
      </c>
      <c r="C836" s="9" t="s">
        <v>5132</v>
      </c>
      <c r="D836" s="9" t="s">
        <v>5133</v>
      </c>
      <c r="E836" s="5" t="s">
        <v>3133</v>
      </c>
      <c r="F836" s="1" t="s">
        <v>3248</v>
      </c>
      <c r="G836" s="25">
        <v>44314</v>
      </c>
      <c r="H836" s="1" t="s">
        <v>3290</v>
      </c>
      <c r="I836" s="14" t="s">
        <v>223</v>
      </c>
      <c r="J836" s="1" t="s">
        <v>3006</v>
      </c>
      <c r="K836" s="14" t="s">
        <v>3007</v>
      </c>
      <c r="L836" s="1" t="s">
        <v>3008</v>
      </c>
      <c r="M836" s="1" t="s">
        <v>3009</v>
      </c>
      <c r="N836" s="1">
        <v>361</v>
      </c>
      <c r="O836" s="1" t="s">
        <v>976</v>
      </c>
      <c r="P836" s="5">
        <v>8280.34</v>
      </c>
      <c r="Q836" s="5">
        <v>0</v>
      </c>
      <c r="R836" s="5">
        <v>7975</v>
      </c>
      <c r="S836" s="5">
        <v>305.33999999999997</v>
      </c>
      <c r="T836" s="5" t="s">
        <v>5576</v>
      </c>
      <c r="V836" s="5" t="s">
        <v>223</v>
      </c>
      <c r="AB836"/>
      <c r="AC836"/>
      <c r="AD836"/>
    </row>
    <row r="837" spans="1:30" x14ac:dyDescent="0.25">
      <c r="A837" t="s">
        <v>5130</v>
      </c>
      <c r="B837" t="s">
        <v>5131</v>
      </c>
      <c r="C837" s="9" t="s">
        <v>5132</v>
      </c>
      <c r="D837" s="9" t="s">
        <v>5133</v>
      </c>
      <c r="E837" s="5" t="s">
        <v>3133</v>
      </c>
      <c r="F837" s="1" t="s">
        <v>3248</v>
      </c>
      <c r="G837" s="25">
        <v>44327</v>
      </c>
      <c r="H837" s="1" t="s">
        <v>3027</v>
      </c>
      <c r="I837" s="14" t="s">
        <v>254</v>
      </c>
      <c r="J837" s="1" t="s">
        <v>3006</v>
      </c>
      <c r="K837" s="14" t="s">
        <v>3007</v>
      </c>
      <c r="L837" s="1" t="s">
        <v>3008</v>
      </c>
      <c r="M837" s="1" t="s">
        <v>3009</v>
      </c>
      <c r="N837" s="1">
        <v>403</v>
      </c>
      <c r="O837" s="1" t="s">
        <v>976</v>
      </c>
      <c r="P837" s="5">
        <v>605</v>
      </c>
      <c r="Q837" s="5">
        <v>595</v>
      </c>
      <c r="R837" s="5">
        <v>1200</v>
      </c>
      <c r="S837" s="5">
        <v>0</v>
      </c>
      <c r="T837" s="5" t="s">
        <v>22</v>
      </c>
      <c r="V837" s="5" t="s">
        <v>254</v>
      </c>
      <c r="AB837"/>
      <c r="AC837"/>
      <c r="AD837"/>
    </row>
    <row r="838" spans="1:30" x14ac:dyDescent="0.25">
      <c r="A838" t="s">
        <v>5130</v>
      </c>
      <c r="B838" t="s">
        <v>5131</v>
      </c>
      <c r="C838" s="9" t="s">
        <v>5132</v>
      </c>
      <c r="D838" s="9" t="s">
        <v>5133</v>
      </c>
      <c r="E838" s="5" t="s">
        <v>3133</v>
      </c>
      <c r="F838" s="1" t="s">
        <v>3248</v>
      </c>
      <c r="G838" s="25">
        <v>44593</v>
      </c>
      <c r="H838" s="1" t="s">
        <v>5136</v>
      </c>
      <c r="I838" s="14" t="s">
        <v>2765</v>
      </c>
      <c r="J838" s="1" t="s">
        <v>3006</v>
      </c>
      <c r="K838" s="14" t="s">
        <v>3007</v>
      </c>
      <c r="L838" s="1" t="s">
        <v>3008</v>
      </c>
      <c r="M838" s="1" t="s">
        <v>3016</v>
      </c>
      <c r="N838" s="1">
        <v>1743</v>
      </c>
      <c r="O838" s="1" t="s">
        <v>976</v>
      </c>
      <c r="P838" s="5">
        <v>635.66</v>
      </c>
      <c r="Q838" s="5">
        <v>109.5</v>
      </c>
      <c r="R838" s="5">
        <v>730</v>
      </c>
      <c r="S838" s="5">
        <v>15.16</v>
      </c>
      <c r="T838" s="5">
        <v>38</v>
      </c>
      <c r="U838" s="5" t="s">
        <v>2447</v>
      </c>
      <c r="V838" s="5" t="s">
        <v>730</v>
      </c>
      <c r="AB838"/>
      <c r="AC838"/>
      <c r="AD838"/>
    </row>
    <row r="839" spans="1:30" x14ac:dyDescent="0.25">
      <c r="A839" t="s">
        <v>5130</v>
      </c>
      <c r="B839" t="s">
        <v>5131</v>
      </c>
      <c r="C839" s="9" t="s">
        <v>5132</v>
      </c>
      <c r="D839" s="9" t="s">
        <v>5133</v>
      </c>
      <c r="E839" s="5" t="s">
        <v>3133</v>
      </c>
      <c r="F839" s="1" t="s">
        <v>3248</v>
      </c>
      <c r="G839" s="25">
        <v>44593</v>
      </c>
      <c r="H839" s="1" t="s">
        <v>3257</v>
      </c>
      <c r="I839" s="14" t="s">
        <v>564</v>
      </c>
      <c r="J839" s="1" t="s">
        <v>3006</v>
      </c>
      <c r="K839" s="14" t="s">
        <v>3007</v>
      </c>
      <c r="L839" s="1" t="s">
        <v>3008</v>
      </c>
      <c r="M839" s="1" t="s">
        <v>3016</v>
      </c>
      <c r="N839" s="1">
        <v>1743</v>
      </c>
      <c r="O839" s="1" t="s">
        <v>976</v>
      </c>
      <c r="P839" s="5">
        <v>505.04</v>
      </c>
      <c r="Q839" s="5">
        <v>87</v>
      </c>
      <c r="R839" s="5">
        <v>580</v>
      </c>
      <c r="S839" s="5">
        <v>12.04</v>
      </c>
      <c r="T839" s="5">
        <v>38</v>
      </c>
      <c r="V839" s="5" t="s">
        <v>564</v>
      </c>
      <c r="AB839"/>
      <c r="AC839"/>
      <c r="AD839"/>
    </row>
    <row r="840" spans="1:30" x14ac:dyDescent="0.25">
      <c r="A840" t="s">
        <v>5130</v>
      </c>
      <c r="B840" t="s">
        <v>5131</v>
      </c>
      <c r="C840" s="9" t="s">
        <v>5132</v>
      </c>
      <c r="D840" s="9" t="s">
        <v>5133</v>
      </c>
      <c r="E840" s="5" t="s">
        <v>3133</v>
      </c>
      <c r="F840" s="1" t="s">
        <v>3248</v>
      </c>
      <c r="G840" s="25">
        <v>44593</v>
      </c>
      <c r="H840" s="1" t="s">
        <v>4210</v>
      </c>
      <c r="I840" s="14" t="s">
        <v>257</v>
      </c>
      <c r="J840" s="1" t="s">
        <v>3006</v>
      </c>
      <c r="K840" s="14" t="s">
        <v>3007</v>
      </c>
      <c r="L840" s="1" t="s">
        <v>3008</v>
      </c>
      <c r="M840" s="1" t="s">
        <v>3016</v>
      </c>
      <c r="N840" s="1">
        <v>1743</v>
      </c>
      <c r="O840" s="1" t="s">
        <v>976</v>
      </c>
      <c r="P840" s="5">
        <v>200.28</v>
      </c>
      <c r="Q840" s="5">
        <v>34.5</v>
      </c>
      <c r="R840" s="5">
        <v>230</v>
      </c>
      <c r="S840" s="5">
        <v>4.78</v>
      </c>
      <c r="T840" s="5" t="s">
        <v>24</v>
      </c>
      <c r="V840" s="5" t="s">
        <v>257</v>
      </c>
      <c r="AB840"/>
      <c r="AC840"/>
      <c r="AD840"/>
    </row>
    <row r="841" spans="1:30" x14ac:dyDescent="0.25">
      <c r="A841" t="s">
        <v>5130</v>
      </c>
      <c r="B841" t="s">
        <v>5131</v>
      </c>
      <c r="C841" s="9" t="s">
        <v>5132</v>
      </c>
      <c r="D841" s="9" t="s">
        <v>5133</v>
      </c>
      <c r="E841" s="5" t="s">
        <v>3133</v>
      </c>
      <c r="F841" s="1" t="s">
        <v>3248</v>
      </c>
      <c r="G841" s="25">
        <v>44593</v>
      </c>
      <c r="H841" s="1" t="s">
        <v>3708</v>
      </c>
      <c r="I841" s="14" t="s">
        <v>328</v>
      </c>
      <c r="J841" s="1" t="s">
        <v>3006</v>
      </c>
      <c r="K841" s="14" t="s">
        <v>3007</v>
      </c>
      <c r="L841" s="1" t="s">
        <v>3008</v>
      </c>
      <c r="M841" s="1" t="s">
        <v>3016</v>
      </c>
      <c r="N841" s="1">
        <v>1743</v>
      </c>
      <c r="O841" s="1" t="s">
        <v>976</v>
      </c>
      <c r="P841" s="5">
        <v>766.27</v>
      </c>
      <c r="Q841" s="5">
        <v>132</v>
      </c>
      <c r="R841" s="5">
        <v>880</v>
      </c>
      <c r="S841" s="5">
        <v>18.27</v>
      </c>
      <c r="T841" s="5" t="s">
        <v>22</v>
      </c>
      <c r="V841" s="5" t="s">
        <v>328</v>
      </c>
      <c r="AB841"/>
      <c r="AC841"/>
      <c r="AD841"/>
    </row>
    <row r="842" spans="1:30" x14ac:dyDescent="0.25">
      <c r="A842" t="s">
        <v>5137</v>
      </c>
      <c r="B842" t="s">
        <v>5138</v>
      </c>
      <c r="C842" s="9" t="s">
        <v>5139</v>
      </c>
      <c r="D842" s="9">
        <v>981285757</v>
      </c>
      <c r="E842" s="5" t="s">
        <v>3013</v>
      </c>
      <c r="F842" s="1" t="s">
        <v>3067</v>
      </c>
      <c r="G842" s="25">
        <v>44568</v>
      </c>
      <c r="H842" s="1" t="s">
        <v>5140</v>
      </c>
      <c r="I842" s="14" t="s">
        <v>2886</v>
      </c>
      <c r="J842" s="1" t="s">
        <v>3006</v>
      </c>
      <c r="K842" s="14" t="s">
        <v>3007</v>
      </c>
      <c r="L842" s="1" t="s">
        <v>3008</v>
      </c>
      <c r="M842" s="1" t="s">
        <v>3009</v>
      </c>
      <c r="N842" s="1">
        <v>1611</v>
      </c>
      <c r="O842" s="1" t="s">
        <v>976</v>
      </c>
      <c r="P842" s="5">
        <v>430.59</v>
      </c>
      <c r="Q842" s="5">
        <v>0</v>
      </c>
      <c r="R842" s="5">
        <v>390</v>
      </c>
      <c r="S842" s="5">
        <v>40.590000000000003</v>
      </c>
      <c r="T842" s="5" t="s">
        <v>22</v>
      </c>
      <c r="U842" s="5" t="s">
        <v>2579</v>
      </c>
      <c r="V842" s="5" t="s">
        <v>894</v>
      </c>
      <c r="AB842"/>
      <c r="AC842"/>
      <c r="AD842"/>
    </row>
    <row r="843" spans="1:30" x14ac:dyDescent="0.25">
      <c r="A843" t="s">
        <v>5137</v>
      </c>
      <c r="B843" t="s">
        <v>5138</v>
      </c>
      <c r="C843" s="9" t="s">
        <v>5139</v>
      </c>
      <c r="D843" s="9">
        <v>981285757</v>
      </c>
      <c r="E843" s="5" t="s">
        <v>3013</v>
      </c>
      <c r="F843" s="1" t="s">
        <v>3067</v>
      </c>
      <c r="G843" s="25">
        <v>44572</v>
      </c>
      <c r="H843" s="1" t="s">
        <v>5141</v>
      </c>
      <c r="I843" s="14" t="s">
        <v>304</v>
      </c>
      <c r="J843" s="1" t="s">
        <v>3006</v>
      </c>
      <c r="K843" s="14" t="s">
        <v>3007</v>
      </c>
      <c r="L843" s="1" t="s">
        <v>3008</v>
      </c>
      <c r="M843" s="1" t="s">
        <v>3009</v>
      </c>
      <c r="N843" s="1">
        <v>1621</v>
      </c>
      <c r="O843" s="1" t="s">
        <v>976</v>
      </c>
      <c r="P843" s="5">
        <v>758.42</v>
      </c>
      <c r="Q843" s="5">
        <v>79</v>
      </c>
      <c r="R843" s="5">
        <v>790</v>
      </c>
      <c r="S843" s="5">
        <v>47.42</v>
      </c>
      <c r="T843" s="5" t="s">
        <v>21</v>
      </c>
      <c r="V843" s="5" t="s">
        <v>304</v>
      </c>
      <c r="AB843"/>
      <c r="AC843"/>
      <c r="AD843"/>
    </row>
    <row r="844" spans="1:30" x14ac:dyDescent="0.25">
      <c r="A844" t="s">
        <v>5137</v>
      </c>
      <c r="B844" t="s">
        <v>5138</v>
      </c>
      <c r="C844" s="9" t="s">
        <v>5139</v>
      </c>
      <c r="D844" s="9">
        <v>981285757</v>
      </c>
      <c r="E844" s="5" t="s">
        <v>3013</v>
      </c>
      <c r="F844" s="1" t="s">
        <v>3067</v>
      </c>
      <c r="G844" s="25">
        <v>44596</v>
      </c>
      <c r="H844" s="1" t="s">
        <v>3627</v>
      </c>
      <c r="I844" s="14" t="s">
        <v>2840</v>
      </c>
      <c r="J844" s="1" t="s">
        <v>3006</v>
      </c>
      <c r="K844" s="14" t="s">
        <v>3007</v>
      </c>
      <c r="L844" s="1" t="s">
        <v>3008</v>
      </c>
      <c r="M844" s="1" t="s">
        <v>3009</v>
      </c>
      <c r="N844" s="1">
        <v>1766</v>
      </c>
      <c r="O844" s="1" t="s">
        <v>976</v>
      </c>
      <c r="P844" s="5">
        <v>79.849999999999994</v>
      </c>
      <c r="Q844" s="5">
        <v>13.35</v>
      </c>
      <c r="R844" s="5">
        <v>89</v>
      </c>
      <c r="S844" s="5">
        <v>4.2</v>
      </c>
      <c r="T844" s="5">
        <v>41</v>
      </c>
      <c r="U844" s="5" t="s">
        <v>2472</v>
      </c>
      <c r="V844" s="5" t="s">
        <v>825</v>
      </c>
      <c r="AB844"/>
      <c r="AC844"/>
      <c r="AD844"/>
    </row>
    <row r="845" spans="1:30" x14ac:dyDescent="0.25">
      <c r="A845" t="s">
        <v>5137</v>
      </c>
      <c r="B845" t="s">
        <v>5138</v>
      </c>
      <c r="C845" s="9" t="s">
        <v>5139</v>
      </c>
      <c r="D845" s="9">
        <v>981285757</v>
      </c>
      <c r="E845" s="5" t="s">
        <v>3013</v>
      </c>
      <c r="F845" s="1" t="s">
        <v>3067</v>
      </c>
      <c r="G845" s="25">
        <v>44596</v>
      </c>
      <c r="H845" s="1" t="s">
        <v>3739</v>
      </c>
      <c r="I845" s="14" t="s">
        <v>2851</v>
      </c>
      <c r="J845" s="1" t="s">
        <v>3006</v>
      </c>
      <c r="K845" s="14" t="s">
        <v>3007</v>
      </c>
      <c r="L845" s="1" t="s">
        <v>3008</v>
      </c>
      <c r="M845" s="1" t="s">
        <v>3009</v>
      </c>
      <c r="N845" s="1">
        <v>1766</v>
      </c>
      <c r="O845" s="1" t="s">
        <v>976</v>
      </c>
      <c r="P845" s="5">
        <v>533.84</v>
      </c>
      <c r="Q845" s="5">
        <v>89.25</v>
      </c>
      <c r="R845" s="5">
        <v>595</v>
      </c>
      <c r="S845" s="5">
        <v>28.09</v>
      </c>
      <c r="T845" s="5" t="s">
        <v>22</v>
      </c>
      <c r="U845" s="5" t="s">
        <v>2443</v>
      </c>
      <c r="V845" s="5" t="s">
        <v>872</v>
      </c>
      <c r="AB845"/>
      <c r="AC845"/>
      <c r="AD845"/>
    </row>
    <row r="846" spans="1:30" x14ac:dyDescent="0.25">
      <c r="A846" t="s">
        <v>5137</v>
      </c>
      <c r="B846" t="s">
        <v>5138</v>
      </c>
      <c r="C846" s="9" t="s">
        <v>5139</v>
      </c>
      <c r="D846" s="9">
        <v>981285757</v>
      </c>
      <c r="E846" s="5" t="s">
        <v>3013</v>
      </c>
      <c r="F846" s="1" t="s">
        <v>3067</v>
      </c>
      <c r="G846" s="25">
        <v>44596</v>
      </c>
      <c r="H846" s="1" t="s">
        <v>5142</v>
      </c>
      <c r="I846" s="14" t="s">
        <v>332</v>
      </c>
      <c r="J846" s="1" t="s">
        <v>3006</v>
      </c>
      <c r="K846" s="14" t="s">
        <v>3007</v>
      </c>
      <c r="L846" s="1" t="s">
        <v>3008</v>
      </c>
      <c r="M846" s="1" t="s">
        <v>3009</v>
      </c>
      <c r="N846" s="1">
        <v>1766</v>
      </c>
      <c r="O846" s="1" t="s">
        <v>976</v>
      </c>
      <c r="P846" s="5">
        <v>524.86</v>
      </c>
      <c r="Q846" s="5">
        <v>87.75</v>
      </c>
      <c r="R846" s="5">
        <v>585</v>
      </c>
      <c r="S846" s="5">
        <v>27.61</v>
      </c>
      <c r="T846" s="5" t="s">
        <v>22</v>
      </c>
      <c r="V846" s="5" t="s">
        <v>332</v>
      </c>
      <c r="AB846"/>
      <c r="AC846"/>
      <c r="AD846"/>
    </row>
    <row r="847" spans="1:30" x14ac:dyDescent="0.25">
      <c r="A847" t="s">
        <v>5143</v>
      </c>
      <c r="B847" t="s">
        <v>5144</v>
      </c>
      <c r="C847" s="9" t="s">
        <v>5145</v>
      </c>
      <c r="D847" s="9">
        <v>994110320</v>
      </c>
      <c r="E847" s="5" t="s">
        <v>3003</v>
      </c>
      <c r="F847" s="1" t="s">
        <v>3004</v>
      </c>
      <c r="G847" s="25">
        <v>44177</v>
      </c>
      <c r="H847" s="1" t="s">
        <v>5146</v>
      </c>
      <c r="I847" s="14" t="s">
        <v>2771</v>
      </c>
      <c r="J847" s="1" t="s">
        <v>3006</v>
      </c>
      <c r="K847" s="14" t="s">
        <v>3007</v>
      </c>
      <c r="L847" s="1" t="s">
        <v>3008</v>
      </c>
      <c r="M847" s="1" t="s">
        <v>3009</v>
      </c>
      <c r="N847" s="1">
        <v>87</v>
      </c>
      <c r="O847" s="1" t="s">
        <v>976</v>
      </c>
      <c r="P847" s="5">
        <v>274.86</v>
      </c>
      <c r="Q847" s="5">
        <v>0</v>
      </c>
      <c r="R847" s="5">
        <v>270</v>
      </c>
      <c r="S847" s="5">
        <v>4.8600000000000003</v>
      </c>
      <c r="T847" s="5" t="s">
        <v>24</v>
      </c>
      <c r="U847" s="5" t="s">
        <v>2443</v>
      </c>
      <c r="V847" s="5" t="s">
        <v>734</v>
      </c>
      <c r="AB847"/>
      <c r="AC847"/>
      <c r="AD847"/>
    </row>
    <row r="848" spans="1:30" x14ac:dyDescent="0.25">
      <c r="A848" t="s">
        <v>5143</v>
      </c>
      <c r="B848" t="s">
        <v>5144</v>
      </c>
      <c r="C848" s="9" t="s">
        <v>5145</v>
      </c>
      <c r="D848" s="9">
        <v>994110320</v>
      </c>
      <c r="E848" s="5" t="s">
        <v>3003</v>
      </c>
      <c r="F848" s="1" t="s">
        <v>3004</v>
      </c>
      <c r="G848" s="25">
        <v>44177</v>
      </c>
      <c r="H848" s="1" t="s">
        <v>3170</v>
      </c>
      <c r="I848" s="14" t="s">
        <v>2822</v>
      </c>
      <c r="J848" s="1" t="s">
        <v>3006</v>
      </c>
      <c r="K848" s="14" t="s">
        <v>3007</v>
      </c>
      <c r="L848" s="1" t="s">
        <v>3008</v>
      </c>
      <c r="M848" s="1" t="s">
        <v>3009</v>
      </c>
      <c r="N848" s="1">
        <v>87</v>
      </c>
      <c r="O848" s="1" t="s">
        <v>976</v>
      </c>
      <c r="P848" s="5">
        <v>249.4</v>
      </c>
      <c r="Q848" s="5">
        <v>0</v>
      </c>
      <c r="R848" s="5">
        <v>245</v>
      </c>
      <c r="S848" s="5">
        <v>4.4000000000000004</v>
      </c>
      <c r="T848" s="5" t="s">
        <v>23</v>
      </c>
      <c r="U848" s="5" t="s">
        <v>2508</v>
      </c>
      <c r="V848" s="5" t="s">
        <v>801</v>
      </c>
      <c r="AB848"/>
      <c r="AC848"/>
      <c r="AD848"/>
    </row>
    <row r="849" spans="1:30" x14ac:dyDescent="0.25">
      <c r="A849" t="s">
        <v>5143</v>
      </c>
      <c r="B849" t="s">
        <v>5144</v>
      </c>
      <c r="C849" s="9" t="s">
        <v>5145</v>
      </c>
      <c r="D849" s="9">
        <v>994110320</v>
      </c>
      <c r="E849" s="5" t="s">
        <v>3003</v>
      </c>
      <c r="F849" s="1" t="s">
        <v>3004</v>
      </c>
      <c r="G849" s="25">
        <v>44177</v>
      </c>
      <c r="H849" s="1" t="s">
        <v>3982</v>
      </c>
      <c r="I849" s="14" t="s">
        <v>263</v>
      </c>
      <c r="J849" s="1" t="s">
        <v>3006</v>
      </c>
      <c r="K849" s="14" t="s">
        <v>3007</v>
      </c>
      <c r="L849" s="1" t="s">
        <v>3008</v>
      </c>
      <c r="M849" s="1" t="s">
        <v>3009</v>
      </c>
      <c r="N849" s="1">
        <v>87</v>
      </c>
      <c r="O849" s="1" t="s">
        <v>976</v>
      </c>
      <c r="P849" s="5">
        <v>188.33</v>
      </c>
      <c r="Q849" s="5">
        <v>0</v>
      </c>
      <c r="R849" s="5">
        <v>185</v>
      </c>
      <c r="S849" s="5">
        <v>3.33</v>
      </c>
      <c r="T849" s="5" t="s">
        <v>23</v>
      </c>
      <c r="V849" s="5" t="s">
        <v>263</v>
      </c>
      <c r="AB849"/>
      <c r="AC849"/>
      <c r="AD849"/>
    </row>
    <row r="850" spans="1:30" x14ac:dyDescent="0.25">
      <c r="A850" t="s">
        <v>5143</v>
      </c>
      <c r="B850" t="s">
        <v>5144</v>
      </c>
      <c r="C850" s="9" t="s">
        <v>5145</v>
      </c>
      <c r="D850" s="9">
        <v>994110320</v>
      </c>
      <c r="E850" s="5" t="s">
        <v>3003</v>
      </c>
      <c r="F850" s="1" t="s">
        <v>3004</v>
      </c>
      <c r="G850" s="25">
        <v>44177</v>
      </c>
      <c r="H850" s="1" t="s">
        <v>3259</v>
      </c>
      <c r="I850" s="14" t="s">
        <v>512</v>
      </c>
      <c r="J850" s="1" t="s">
        <v>3006</v>
      </c>
      <c r="K850" s="14" t="s">
        <v>3007</v>
      </c>
      <c r="L850" s="1" t="s">
        <v>3008</v>
      </c>
      <c r="M850" s="1" t="s">
        <v>3009</v>
      </c>
      <c r="N850" s="1">
        <v>87</v>
      </c>
      <c r="O850" s="1" t="s">
        <v>976</v>
      </c>
      <c r="P850" s="5">
        <v>188.33</v>
      </c>
      <c r="Q850" s="5">
        <v>0</v>
      </c>
      <c r="R850" s="5">
        <v>185</v>
      </c>
      <c r="S850" s="5">
        <v>3.33</v>
      </c>
      <c r="T850" s="5" t="s">
        <v>23</v>
      </c>
      <c r="V850" s="5" t="s">
        <v>512</v>
      </c>
      <c r="AB850"/>
      <c r="AC850"/>
      <c r="AD850"/>
    </row>
    <row r="851" spans="1:30" x14ac:dyDescent="0.25">
      <c r="A851" t="s">
        <v>5143</v>
      </c>
      <c r="B851" t="s">
        <v>5144</v>
      </c>
      <c r="C851" s="9" t="s">
        <v>5145</v>
      </c>
      <c r="D851" s="9">
        <v>994110320</v>
      </c>
      <c r="E851" s="5" t="s">
        <v>3003</v>
      </c>
      <c r="F851" s="1" t="s">
        <v>3004</v>
      </c>
      <c r="G851" s="25">
        <v>44183</v>
      </c>
      <c r="H851" s="1" t="s">
        <v>3479</v>
      </c>
      <c r="I851" s="14" t="s">
        <v>2888</v>
      </c>
      <c r="J851" s="1" t="s">
        <v>3006</v>
      </c>
      <c r="K851" s="14" t="s">
        <v>3007</v>
      </c>
      <c r="L851" s="1" t="s">
        <v>3008</v>
      </c>
      <c r="M851" s="1" t="s">
        <v>3016</v>
      </c>
      <c r="N851" s="1">
        <v>116</v>
      </c>
      <c r="O851" s="1" t="s">
        <v>976</v>
      </c>
      <c r="P851" s="5">
        <v>245.92</v>
      </c>
      <c r="Q851" s="5">
        <v>0</v>
      </c>
      <c r="R851" s="5">
        <v>230</v>
      </c>
      <c r="S851" s="5">
        <v>15.92</v>
      </c>
      <c r="T851" s="5" t="s">
        <v>23</v>
      </c>
      <c r="U851" s="5" t="s">
        <v>2579</v>
      </c>
      <c r="V851" s="5" t="s">
        <v>896</v>
      </c>
      <c r="AB851"/>
      <c r="AC851"/>
      <c r="AD851"/>
    </row>
    <row r="852" spans="1:30" x14ac:dyDescent="0.25">
      <c r="A852" t="s">
        <v>5143</v>
      </c>
      <c r="B852" t="s">
        <v>5144</v>
      </c>
      <c r="C852" s="9" t="s">
        <v>5145</v>
      </c>
      <c r="D852" s="9">
        <v>994110320</v>
      </c>
      <c r="E852" s="5" t="s">
        <v>3003</v>
      </c>
      <c r="F852" s="1" t="s">
        <v>3004</v>
      </c>
      <c r="G852" s="25">
        <v>44457</v>
      </c>
      <c r="H852" s="1" t="s">
        <v>3083</v>
      </c>
      <c r="I852" s="14" t="s">
        <v>2930</v>
      </c>
      <c r="J852" s="1" t="s">
        <v>3006</v>
      </c>
      <c r="K852" s="14" t="s">
        <v>3007</v>
      </c>
      <c r="L852" s="1" t="s">
        <v>3008</v>
      </c>
      <c r="M852" s="1" t="s">
        <v>3009</v>
      </c>
      <c r="N852" s="1">
        <v>943</v>
      </c>
      <c r="O852" s="1" t="s">
        <v>976</v>
      </c>
      <c r="P852" s="5">
        <v>589.03</v>
      </c>
      <c r="Q852" s="5">
        <v>0</v>
      </c>
      <c r="R852" s="5">
        <v>575</v>
      </c>
      <c r="S852" s="5">
        <v>14.03</v>
      </c>
      <c r="T852" s="5" t="s">
        <v>23</v>
      </c>
      <c r="U852" s="5" t="s">
        <v>2443</v>
      </c>
      <c r="V852" s="5" t="s">
        <v>920</v>
      </c>
      <c r="AB852"/>
      <c r="AC852"/>
      <c r="AD852"/>
    </row>
    <row r="853" spans="1:30" x14ac:dyDescent="0.25">
      <c r="A853" t="s">
        <v>5147</v>
      </c>
      <c r="B853" t="s">
        <v>5148</v>
      </c>
      <c r="C853" s="9" t="s">
        <v>5149</v>
      </c>
      <c r="D853" s="9" t="s">
        <v>5150</v>
      </c>
      <c r="E853" s="5" t="s">
        <v>3003</v>
      </c>
      <c r="F853" s="1" t="s">
        <v>4875</v>
      </c>
      <c r="G853" s="25">
        <v>44181</v>
      </c>
      <c r="H853" s="1" t="s">
        <v>5151</v>
      </c>
      <c r="I853" s="14" t="s">
        <v>2888</v>
      </c>
      <c r="J853" s="1" t="s">
        <v>3006</v>
      </c>
      <c r="K853" s="14" t="s">
        <v>3007</v>
      </c>
      <c r="L853" s="1" t="s">
        <v>3008</v>
      </c>
      <c r="M853" s="1" t="s">
        <v>3016</v>
      </c>
      <c r="N853" s="1">
        <v>104</v>
      </c>
      <c r="O853" s="1" t="s">
        <v>976</v>
      </c>
      <c r="P853" s="5">
        <v>250.76</v>
      </c>
      <c r="Q853" s="5">
        <v>0</v>
      </c>
      <c r="R853" s="5">
        <v>230</v>
      </c>
      <c r="S853" s="5">
        <v>20.76</v>
      </c>
      <c r="T853" s="5" t="s">
        <v>24</v>
      </c>
      <c r="U853" s="5" t="s">
        <v>2482</v>
      </c>
      <c r="V853" s="5" t="s">
        <v>897</v>
      </c>
      <c r="AB853"/>
      <c r="AC853"/>
      <c r="AD853"/>
    </row>
    <row r="854" spans="1:30" x14ac:dyDescent="0.25">
      <c r="A854" t="s">
        <v>5152</v>
      </c>
      <c r="B854" t="s">
        <v>5153</v>
      </c>
      <c r="C854" s="9" t="s">
        <v>5154</v>
      </c>
      <c r="D854" s="9">
        <v>999622717</v>
      </c>
      <c r="E854" s="5" t="s">
        <v>3003</v>
      </c>
      <c r="F854" s="1" t="s">
        <v>3004</v>
      </c>
      <c r="G854" s="25">
        <v>44312</v>
      </c>
      <c r="H854" s="1" t="s">
        <v>3027</v>
      </c>
      <c r="I854" s="14" t="s">
        <v>254</v>
      </c>
      <c r="J854" s="1" t="s">
        <v>3006</v>
      </c>
      <c r="K854" s="14" t="s">
        <v>3007</v>
      </c>
      <c r="L854" s="1" t="s">
        <v>3008</v>
      </c>
      <c r="M854" s="1" t="s">
        <v>3009</v>
      </c>
      <c r="N854" s="1">
        <v>347</v>
      </c>
      <c r="O854" s="1" t="s">
        <v>976</v>
      </c>
      <c r="P854" s="5">
        <v>1100</v>
      </c>
      <c r="Q854" s="5">
        <v>0</v>
      </c>
      <c r="R854" s="5">
        <v>1100</v>
      </c>
      <c r="S854" s="5">
        <v>0</v>
      </c>
      <c r="T854" s="5" t="s">
        <v>22</v>
      </c>
      <c r="V854" s="5" t="s">
        <v>254</v>
      </c>
      <c r="AB854"/>
      <c r="AC854"/>
      <c r="AD854"/>
    </row>
    <row r="855" spans="1:30" x14ac:dyDescent="0.25">
      <c r="A855" t="s">
        <v>5155</v>
      </c>
      <c r="B855" t="s">
        <v>5156</v>
      </c>
      <c r="C855" s="9" t="s">
        <v>5157</v>
      </c>
      <c r="D855" s="9" t="s">
        <v>5158</v>
      </c>
      <c r="E855" s="5" t="s">
        <v>3003</v>
      </c>
      <c r="F855" s="1" t="s">
        <v>5159</v>
      </c>
      <c r="G855" s="25">
        <v>44587</v>
      </c>
      <c r="H855" s="1" t="s">
        <v>3701</v>
      </c>
      <c r="I855" s="14" t="s">
        <v>436</v>
      </c>
      <c r="J855" s="1" t="s">
        <v>3006</v>
      </c>
      <c r="K855" s="14" t="s">
        <v>3007</v>
      </c>
      <c r="L855" s="1" t="s">
        <v>3008</v>
      </c>
      <c r="M855" s="1" t="s">
        <v>3009</v>
      </c>
      <c r="N855" s="1">
        <v>1721</v>
      </c>
      <c r="O855" s="1" t="s">
        <v>976</v>
      </c>
      <c r="P855" s="5">
        <v>595</v>
      </c>
      <c r="Q855" s="5">
        <v>0</v>
      </c>
      <c r="R855" s="5">
        <v>595</v>
      </c>
      <c r="S855" s="5">
        <v>0</v>
      </c>
      <c r="T855" s="5">
        <v>42</v>
      </c>
      <c r="V855" s="5" t="s">
        <v>436</v>
      </c>
      <c r="AB855"/>
      <c r="AC855"/>
      <c r="AD855"/>
    </row>
    <row r="856" spans="1:30" x14ac:dyDescent="0.25">
      <c r="A856" t="s">
        <v>5155</v>
      </c>
      <c r="B856" t="s">
        <v>5156</v>
      </c>
      <c r="C856" s="9" t="s">
        <v>5157</v>
      </c>
      <c r="D856" s="9" t="s">
        <v>5158</v>
      </c>
      <c r="E856" s="5" t="s">
        <v>3003</v>
      </c>
      <c r="F856" s="1" t="s">
        <v>5159</v>
      </c>
      <c r="G856" s="25">
        <v>44587</v>
      </c>
      <c r="H856" s="1" t="s">
        <v>5160</v>
      </c>
      <c r="I856" s="14" t="s">
        <v>2965</v>
      </c>
      <c r="J856" s="1" t="s">
        <v>3006</v>
      </c>
      <c r="K856" s="14" t="s">
        <v>3007</v>
      </c>
      <c r="L856" s="1" t="s">
        <v>3008</v>
      </c>
      <c r="M856" s="1" t="s">
        <v>3009</v>
      </c>
      <c r="N856" s="1">
        <v>1721</v>
      </c>
      <c r="O856" s="1" t="s">
        <v>976</v>
      </c>
      <c r="P856" s="5">
        <v>595</v>
      </c>
      <c r="Q856" s="5">
        <v>0</v>
      </c>
      <c r="R856" s="5">
        <v>595</v>
      </c>
      <c r="S856" s="5">
        <v>0</v>
      </c>
      <c r="T856" s="5">
        <v>44</v>
      </c>
      <c r="U856" s="5" t="s">
        <v>2482</v>
      </c>
      <c r="V856" s="5" t="s">
        <v>937</v>
      </c>
      <c r="AB856"/>
      <c r="AC856"/>
      <c r="AD856"/>
    </row>
    <row r="857" spans="1:30" x14ac:dyDescent="0.25">
      <c r="A857" t="s">
        <v>5155</v>
      </c>
      <c r="B857" t="s">
        <v>5156</v>
      </c>
      <c r="C857" s="9" t="s">
        <v>5157</v>
      </c>
      <c r="D857" s="9" t="s">
        <v>5158</v>
      </c>
      <c r="E857" s="5" t="s">
        <v>3003</v>
      </c>
      <c r="F857" s="1" t="s">
        <v>5159</v>
      </c>
      <c r="G857" s="25">
        <v>44592</v>
      </c>
      <c r="H857" s="1" t="s">
        <v>5161</v>
      </c>
      <c r="I857" s="14" t="s">
        <v>591</v>
      </c>
      <c r="J857" s="1" t="s">
        <v>3006</v>
      </c>
      <c r="K857" s="14" t="s">
        <v>3007</v>
      </c>
      <c r="L857" s="1" t="s">
        <v>3008</v>
      </c>
      <c r="M857" s="1" t="s">
        <v>3009</v>
      </c>
      <c r="N857" s="1">
        <v>1741</v>
      </c>
      <c r="O857" s="1" t="s">
        <v>976</v>
      </c>
      <c r="P857" s="5">
        <v>805.15</v>
      </c>
      <c r="Q857" s="5">
        <v>0</v>
      </c>
      <c r="R857" s="5">
        <v>790</v>
      </c>
      <c r="S857" s="5">
        <v>15.15</v>
      </c>
      <c r="T857" s="5" t="s">
        <v>23</v>
      </c>
      <c r="V857" s="5" t="s">
        <v>591</v>
      </c>
      <c r="AB857"/>
      <c r="AC857"/>
      <c r="AD857"/>
    </row>
    <row r="858" spans="1:30" x14ac:dyDescent="0.25">
      <c r="A858" t="s">
        <v>5155</v>
      </c>
      <c r="B858" t="s">
        <v>5156</v>
      </c>
      <c r="C858" s="9" t="s">
        <v>5157</v>
      </c>
      <c r="D858" s="9" t="s">
        <v>5158</v>
      </c>
      <c r="E858" s="5" t="s">
        <v>3003</v>
      </c>
      <c r="F858" s="1" t="s">
        <v>5159</v>
      </c>
      <c r="G858" s="25">
        <v>44592</v>
      </c>
      <c r="H858" s="1" t="s">
        <v>4703</v>
      </c>
      <c r="I858" s="14" t="s">
        <v>448</v>
      </c>
      <c r="J858" s="1" t="s">
        <v>3006</v>
      </c>
      <c r="K858" s="14" t="s">
        <v>3007</v>
      </c>
      <c r="L858" s="1" t="s">
        <v>3008</v>
      </c>
      <c r="M858" s="1" t="s">
        <v>3009</v>
      </c>
      <c r="N858" s="1">
        <v>1741</v>
      </c>
      <c r="O858" s="1" t="s">
        <v>976</v>
      </c>
      <c r="P858" s="5">
        <v>703.23</v>
      </c>
      <c r="Q858" s="5">
        <v>0</v>
      </c>
      <c r="R858" s="5">
        <v>690</v>
      </c>
      <c r="S858" s="5">
        <v>13.23</v>
      </c>
      <c r="T858" s="5">
        <v>42</v>
      </c>
      <c r="V858" s="5" t="s">
        <v>448</v>
      </c>
      <c r="AB858"/>
      <c r="AC858"/>
      <c r="AD858"/>
    </row>
    <row r="859" spans="1:30" x14ac:dyDescent="0.25">
      <c r="A859" t="s">
        <v>5162</v>
      </c>
      <c r="B859" t="s">
        <v>5163</v>
      </c>
      <c r="C859" s="9" t="s">
        <v>5164</v>
      </c>
      <c r="D859" s="9">
        <v>937540011</v>
      </c>
      <c r="E859" s="5" t="s">
        <v>4229</v>
      </c>
      <c r="F859" s="1" t="s">
        <v>4352</v>
      </c>
      <c r="G859" s="25">
        <v>44553</v>
      </c>
      <c r="H859" s="1" t="s">
        <v>3015</v>
      </c>
      <c r="I859" s="14" t="s">
        <v>252</v>
      </c>
      <c r="J859" s="1" t="s">
        <v>3006</v>
      </c>
      <c r="K859" s="14" t="s">
        <v>3007</v>
      </c>
      <c r="L859" s="1" t="s">
        <v>3008</v>
      </c>
      <c r="M859" s="1" t="s">
        <v>3009</v>
      </c>
      <c r="N859" s="1">
        <v>1536</v>
      </c>
      <c r="O859" s="1" t="s">
        <v>976</v>
      </c>
      <c r="P859" s="5">
        <v>1532.33</v>
      </c>
      <c r="Q859" s="5">
        <v>166.5</v>
      </c>
      <c r="R859" s="5">
        <v>1665</v>
      </c>
      <c r="S859" s="5">
        <v>33.83</v>
      </c>
      <c r="T859" s="5" t="s">
        <v>22</v>
      </c>
      <c r="V859" s="5" t="s">
        <v>252</v>
      </c>
      <c r="AB859"/>
      <c r="AC859"/>
      <c r="AD859"/>
    </row>
    <row r="860" spans="1:30" x14ac:dyDescent="0.25">
      <c r="A860" t="s">
        <v>5165</v>
      </c>
      <c r="B860" t="s">
        <v>5166</v>
      </c>
      <c r="C860" s="9" t="s">
        <v>5167</v>
      </c>
      <c r="D860" s="9">
        <v>982012977</v>
      </c>
      <c r="E860" s="5" t="s">
        <v>3003</v>
      </c>
      <c r="F860" s="1" t="s">
        <v>5168</v>
      </c>
      <c r="G860" s="25">
        <v>44312</v>
      </c>
      <c r="H860" s="1" t="s">
        <v>3027</v>
      </c>
      <c r="I860" s="14" t="s">
        <v>254</v>
      </c>
      <c r="J860" s="1" t="s">
        <v>3006</v>
      </c>
      <c r="K860" s="14" t="s">
        <v>3007</v>
      </c>
      <c r="L860" s="1" t="s">
        <v>3008</v>
      </c>
      <c r="M860" s="1" t="s">
        <v>3009</v>
      </c>
      <c r="N860" s="1">
        <v>342</v>
      </c>
      <c r="O860" s="1" t="s">
        <v>976</v>
      </c>
      <c r="P860" s="5">
        <v>1100</v>
      </c>
      <c r="Q860" s="5">
        <v>0</v>
      </c>
      <c r="R860" s="5">
        <v>1100</v>
      </c>
      <c r="S860" s="5">
        <v>0</v>
      </c>
      <c r="T860" s="5" t="s">
        <v>22</v>
      </c>
      <c r="V860" s="5" t="s">
        <v>254</v>
      </c>
      <c r="AB860"/>
      <c r="AC860"/>
      <c r="AD860"/>
    </row>
    <row r="861" spans="1:30" x14ac:dyDescent="0.25">
      <c r="A861" t="s">
        <v>5169</v>
      </c>
      <c r="B861" t="s">
        <v>5170</v>
      </c>
      <c r="C861" s="9" t="s">
        <v>5171</v>
      </c>
      <c r="D861" s="9" t="s">
        <v>5172</v>
      </c>
      <c r="E861" s="5" t="s">
        <v>3003</v>
      </c>
      <c r="F861" s="1" t="s">
        <v>3004</v>
      </c>
      <c r="G861" s="25">
        <v>44505</v>
      </c>
      <c r="H861" s="1" t="s">
        <v>3075</v>
      </c>
      <c r="I861" s="14" t="s">
        <v>2791</v>
      </c>
      <c r="J861" s="1" t="s">
        <v>3006</v>
      </c>
      <c r="K861" s="14" t="s">
        <v>3007</v>
      </c>
      <c r="L861" s="1" t="s">
        <v>3008</v>
      </c>
      <c r="M861" s="1" t="s">
        <v>3016</v>
      </c>
      <c r="N861" s="1">
        <v>1165</v>
      </c>
      <c r="O861" s="1" t="s">
        <v>976</v>
      </c>
      <c r="P861" s="5">
        <v>1173</v>
      </c>
      <c r="Q861" s="5">
        <v>207</v>
      </c>
      <c r="R861" s="5">
        <v>1380</v>
      </c>
      <c r="S861" s="5">
        <v>0</v>
      </c>
      <c r="T861" s="5" t="s">
        <v>22</v>
      </c>
      <c r="U861" s="5" t="s">
        <v>2443</v>
      </c>
      <c r="V861" s="5" t="s">
        <v>763</v>
      </c>
      <c r="AB861"/>
      <c r="AC861"/>
      <c r="AD861"/>
    </row>
    <row r="862" spans="1:30" x14ac:dyDescent="0.25">
      <c r="A862" t="s">
        <v>5169</v>
      </c>
      <c r="B862" t="s">
        <v>5170</v>
      </c>
      <c r="C862" s="9" t="s">
        <v>5171</v>
      </c>
      <c r="D862" s="9" t="s">
        <v>5172</v>
      </c>
      <c r="E862" s="5" t="s">
        <v>3003</v>
      </c>
      <c r="F862" s="1" t="s">
        <v>3004</v>
      </c>
      <c r="G862" s="25">
        <v>44528</v>
      </c>
      <c r="H862" s="1" t="s">
        <v>3027</v>
      </c>
      <c r="I862" s="14" t="s">
        <v>254</v>
      </c>
      <c r="J862" s="1" t="s">
        <v>3006</v>
      </c>
      <c r="K862" s="14" t="s">
        <v>3007</v>
      </c>
      <c r="L862" s="1" t="s">
        <v>3008</v>
      </c>
      <c r="M862" s="1" t="s">
        <v>3009</v>
      </c>
      <c r="N862" s="1">
        <v>1305</v>
      </c>
      <c r="O862" s="1" t="s">
        <v>976</v>
      </c>
      <c r="P862" s="5">
        <v>1380</v>
      </c>
      <c r="Q862" s="5">
        <v>0</v>
      </c>
      <c r="R862" s="5">
        <v>1380</v>
      </c>
      <c r="S862" s="5">
        <v>0</v>
      </c>
      <c r="T862" s="5" t="s">
        <v>22</v>
      </c>
      <c r="V862" s="5" t="s">
        <v>254</v>
      </c>
      <c r="AB862"/>
      <c r="AC862"/>
      <c r="AD862"/>
    </row>
    <row r="863" spans="1:30" x14ac:dyDescent="0.25">
      <c r="A863" t="s">
        <v>5173</v>
      </c>
      <c r="B863" t="s">
        <v>5174</v>
      </c>
      <c r="C863" s="9" t="s">
        <v>5175</v>
      </c>
      <c r="D863" s="9">
        <v>996234004</v>
      </c>
      <c r="E863" s="5" t="s">
        <v>3753</v>
      </c>
      <c r="F863" s="1" t="s">
        <v>3754</v>
      </c>
      <c r="G863" s="25">
        <v>44580</v>
      </c>
      <c r="H863" s="1" t="s">
        <v>5176</v>
      </c>
      <c r="I863" s="14" t="s">
        <v>2966</v>
      </c>
      <c r="J863" s="1" t="s">
        <v>3006</v>
      </c>
      <c r="K863" s="14" t="s">
        <v>3007</v>
      </c>
      <c r="L863" s="1" t="s">
        <v>3008</v>
      </c>
      <c r="M863" s="1" t="s">
        <v>3016</v>
      </c>
      <c r="N863" s="1">
        <v>1689</v>
      </c>
      <c r="O863" s="1" t="s">
        <v>976</v>
      </c>
      <c r="P863" s="5">
        <v>297.60000000000002</v>
      </c>
      <c r="Q863" s="5">
        <v>662.4</v>
      </c>
      <c r="R863" s="5">
        <v>960</v>
      </c>
      <c r="S863" s="5">
        <v>0</v>
      </c>
      <c r="T863" s="5">
        <v>40</v>
      </c>
      <c r="U863" s="5" t="s">
        <v>2447</v>
      </c>
      <c r="V863" s="5" t="s">
        <v>938</v>
      </c>
      <c r="AB863"/>
      <c r="AC863"/>
      <c r="AD863"/>
    </row>
    <row r="864" spans="1:30" x14ac:dyDescent="0.25">
      <c r="A864" t="s">
        <v>5177</v>
      </c>
      <c r="B864" t="s">
        <v>5178</v>
      </c>
      <c r="C864" s="9" t="s">
        <v>5179</v>
      </c>
      <c r="D864" s="9">
        <v>988472162</v>
      </c>
      <c r="E864" s="5" t="s">
        <v>3133</v>
      </c>
      <c r="F864" s="1" t="s">
        <v>5180</v>
      </c>
      <c r="G864" s="25">
        <v>44446</v>
      </c>
      <c r="H864" s="1" t="s">
        <v>3142</v>
      </c>
      <c r="I864" s="14" t="s">
        <v>2926</v>
      </c>
      <c r="J864" s="1" t="s">
        <v>3006</v>
      </c>
      <c r="K864" s="14" t="s">
        <v>3007</v>
      </c>
      <c r="L864" s="1" t="s">
        <v>3008</v>
      </c>
      <c r="M864" s="1" t="s">
        <v>3009</v>
      </c>
      <c r="N864" s="1">
        <v>869</v>
      </c>
      <c r="O864" s="1" t="s">
        <v>976</v>
      </c>
      <c r="P864" s="5">
        <v>918.97</v>
      </c>
      <c r="Q864" s="5">
        <v>0</v>
      </c>
      <c r="R864" s="5">
        <v>890</v>
      </c>
      <c r="S864" s="5">
        <v>28.97</v>
      </c>
      <c r="T864" s="5" t="s">
        <v>5574</v>
      </c>
      <c r="U864" s="5" t="s">
        <v>2472</v>
      </c>
      <c r="V864" s="5" t="s">
        <v>918</v>
      </c>
      <c r="AB864"/>
      <c r="AC864"/>
      <c r="AD864"/>
    </row>
    <row r="865" spans="1:30" x14ac:dyDescent="0.25">
      <c r="A865" t="s">
        <v>5181</v>
      </c>
      <c r="B865" t="s">
        <v>5182</v>
      </c>
      <c r="C865" s="9" t="s">
        <v>5183</v>
      </c>
      <c r="D865" s="9">
        <v>981024100</v>
      </c>
      <c r="E865" s="5" t="s">
        <v>3003</v>
      </c>
      <c r="F865" s="1" t="s">
        <v>3004</v>
      </c>
      <c r="G865" s="25">
        <v>44327</v>
      </c>
      <c r="H865" s="1" t="s">
        <v>3075</v>
      </c>
      <c r="I865" s="14" t="s">
        <v>2791</v>
      </c>
      <c r="J865" s="1" t="s">
        <v>3006</v>
      </c>
      <c r="K865" s="14" t="s">
        <v>3007</v>
      </c>
      <c r="L865" s="1" t="s">
        <v>3008</v>
      </c>
      <c r="M865" s="1" t="s">
        <v>3009</v>
      </c>
      <c r="N865" s="1">
        <v>401</v>
      </c>
      <c r="O865" s="1" t="s">
        <v>976</v>
      </c>
      <c r="P865" s="5">
        <v>1215.94</v>
      </c>
      <c r="Q865" s="5">
        <v>0</v>
      </c>
      <c r="R865" s="5">
        <v>1200</v>
      </c>
      <c r="S865" s="5">
        <v>15.94</v>
      </c>
      <c r="T865" s="5" t="s">
        <v>22</v>
      </c>
      <c r="U865" s="5" t="s">
        <v>2443</v>
      </c>
      <c r="V865" s="5" t="s">
        <v>763</v>
      </c>
      <c r="AB865"/>
      <c r="AC865"/>
      <c r="AD865"/>
    </row>
    <row r="866" spans="1:30" x14ac:dyDescent="0.25">
      <c r="A866" t="s">
        <v>5184</v>
      </c>
      <c r="B866" t="s">
        <v>5185</v>
      </c>
      <c r="C866" s="9" t="s">
        <v>5186</v>
      </c>
      <c r="D866" s="9" t="s">
        <v>5187</v>
      </c>
      <c r="E866" s="5" t="s">
        <v>3003</v>
      </c>
      <c r="F866" s="1" t="s">
        <v>3004</v>
      </c>
      <c r="G866" s="25">
        <v>44587</v>
      </c>
      <c r="H866" s="1" t="s">
        <v>5188</v>
      </c>
      <c r="I866" s="14" t="s">
        <v>2829</v>
      </c>
      <c r="J866" s="1" t="s">
        <v>3006</v>
      </c>
      <c r="K866" s="14" t="s">
        <v>3007</v>
      </c>
      <c r="L866" s="1" t="s">
        <v>3008</v>
      </c>
      <c r="M866" s="1" t="s">
        <v>3009</v>
      </c>
      <c r="N866" s="1">
        <v>1720</v>
      </c>
      <c r="O866" s="1" t="s">
        <v>976</v>
      </c>
      <c r="P866" s="5">
        <v>2070</v>
      </c>
      <c r="Q866" s="5">
        <v>230</v>
      </c>
      <c r="R866" s="5">
        <v>2300</v>
      </c>
      <c r="S866" s="5">
        <v>0</v>
      </c>
      <c r="T866" s="5" t="s">
        <v>22</v>
      </c>
      <c r="U866" s="5" t="s">
        <v>2579</v>
      </c>
      <c r="V866" s="5" t="s">
        <v>812</v>
      </c>
      <c r="AB866"/>
      <c r="AC866"/>
      <c r="AD866"/>
    </row>
    <row r="867" spans="1:30" x14ac:dyDescent="0.25">
      <c r="A867" t="s">
        <v>5184</v>
      </c>
      <c r="B867" t="s">
        <v>5185</v>
      </c>
      <c r="C867" s="9" t="s">
        <v>5186</v>
      </c>
      <c r="D867" s="9" t="s">
        <v>5187</v>
      </c>
      <c r="E867" s="5" t="s">
        <v>3003</v>
      </c>
      <c r="F867" s="1" t="s">
        <v>3004</v>
      </c>
      <c r="G867" s="25">
        <v>44594</v>
      </c>
      <c r="H867" s="1" t="s">
        <v>3708</v>
      </c>
      <c r="I867" s="14" t="s">
        <v>328</v>
      </c>
      <c r="J867" s="1" t="s">
        <v>3006</v>
      </c>
      <c r="K867" s="14" t="s">
        <v>3007</v>
      </c>
      <c r="L867" s="1" t="s">
        <v>3008</v>
      </c>
      <c r="M867" s="1" t="s">
        <v>3009</v>
      </c>
      <c r="N867" s="1">
        <v>1751</v>
      </c>
      <c r="O867" s="1" t="s">
        <v>976</v>
      </c>
      <c r="P867" s="5">
        <v>891</v>
      </c>
      <c r="Q867" s="5">
        <v>0</v>
      </c>
      <c r="R867" s="5">
        <v>880</v>
      </c>
      <c r="S867" s="5">
        <v>11</v>
      </c>
      <c r="T867" s="5" t="s">
        <v>22</v>
      </c>
      <c r="V867" s="5" t="s">
        <v>328</v>
      </c>
      <c r="AB867"/>
      <c r="AC867"/>
      <c r="AD867"/>
    </row>
    <row r="868" spans="1:30" x14ac:dyDescent="0.25">
      <c r="A868" t="s">
        <v>5189</v>
      </c>
      <c r="B868" t="s">
        <v>5190</v>
      </c>
      <c r="C868" s="9" t="s">
        <v>5191</v>
      </c>
      <c r="D868" s="9">
        <v>999212631</v>
      </c>
      <c r="E868" s="5" t="s">
        <v>3013</v>
      </c>
      <c r="F868" s="1" t="s">
        <v>5192</v>
      </c>
      <c r="G868" s="25">
        <v>44428</v>
      </c>
      <c r="H868" s="1" t="s">
        <v>3027</v>
      </c>
      <c r="I868" s="14" t="s">
        <v>254</v>
      </c>
      <c r="J868" s="1" t="s">
        <v>3006</v>
      </c>
      <c r="K868" s="14" t="s">
        <v>3007</v>
      </c>
      <c r="L868" s="1" t="s">
        <v>3008</v>
      </c>
      <c r="M868" s="1" t="s">
        <v>3009</v>
      </c>
      <c r="N868" s="1">
        <v>797</v>
      </c>
      <c r="O868" s="1" t="s">
        <v>976</v>
      </c>
      <c r="P868" s="5">
        <v>1225.97</v>
      </c>
      <c r="Q868" s="5">
        <v>133</v>
      </c>
      <c r="R868" s="5">
        <v>1330</v>
      </c>
      <c r="S868" s="5">
        <v>28.97</v>
      </c>
      <c r="T868" s="5" t="s">
        <v>22</v>
      </c>
      <c r="V868" s="5" t="s">
        <v>254</v>
      </c>
      <c r="AB868"/>
      <c r="AC868"/>
      <c r="AD868"/>
    </row>
    <row r="869" spans="1:30" x14ac:dyDescent="0.25">
      <c r="A869" t="s">
        <v>5193</v>
      </c>
      <c r="B869" t="s">
        <v>5194</v>
      </c>
      <c r="C869" s="9" t="s">
        <v>5195</v>
      </c>
      <c r="D869" s="9" t="s">
        <v>5196</v>
      </c>
      <c r="E869" s="5" t="s">
        <v>3003</v>
      </c>
      <c r="F869" s="1" t="s">
        <v>3004</v>
      </c>
      <c r="G869" s="25">
        <v>44462</v>
      </c>
      <c r="H869" s="1" t="s">
        <v>3075</v>
      </c>
      <c r="I869" s="14" t="s">
        <v>2791</v>
      </c>
      <c r="J869" s="1" t="s">
        <v>3006</v>
      </c>
      <c r="K869" s="14" t="s">
        <v>3007</v>
      </c>
      <c r="L869" s="1" t="s">
        <v>3008</v>
      </c>
      <c r="M869" s="1" t="s">
        <v>3009</v>
      </c>
      <c r="N869" s="1">
        <v>960</v>
      </c>
      <c r="O869" s="1" t="s">
        <v>976</v>
      </c>
      <c r="P869" s="5">
        <v>1330</v>
      </c>
      <c r="Q869" s="5">
        <v>0</v>
      </c>
      <c r="R869" s="5">
        <v>1330</v>
      </c>
      <c r="S869" s="5">
        <v>0</v>
      </c>
      <c r="T869" s="5" t="s">
        <v>22</v>
      </c>
      <c r="U869" s="5" t="s">
        <v>2443</v>
      </c>
      <c r="V869" s="5" t="s">
        <v>763</v>
      </c>
      <c r="AB869"/>
      <c r="AC869"/>
      <c r="AD869"/>
    </row>
    <row r="870" spans="1:30" x14ac:dyDescent="0.25">
      <c r="A870" t="s">
        <v>5197</v>
      </c>
      <c r="B870" t="s">
        <v>5198</v>
      </c>
      <c r="C870" s="9" t="s">
        <v>5199</v>
      </c>
      <c r="D870" s="9" t="s">
        <v>5200</v>
      </c>
      <c r="E870" s="5" t="s">
        <v>5201</v>
      </c>
      <c r="F870" s="1" t="s">
        <v>5202</v>
      </c>
      <c r="G870" s="25">
        <v>44483</v>
      </c>
      <c r="H870" s="1" t="s">
        <v>5203</v>
      </c>
      <c r="I870" s="14" t="s">
        <v>2765</v>
      </c>
      <c r="J870" s="1" t="s">
        <v>3006</v>
      </c>
      <c r="K870" s="14" t="s">
        <v>3007</v>
      </c>
      <c r="L870" s="1" t="s">
        <v>3008</v>
      </c>
      <c r="M870" s="1" t="s">
        <v>3009</v>
      </c>
      <c r="N870" s="1">
        <v>1048</v>
      </c>
      <c r="O870" s="1" t="s">
        <v>976</v>
      </c>
      <c r="P870" s="5">
        <v>790</v>
      </c>
      <c r="Q870" s="5">
        <v>0</v>
      </c>
      <c r="R870" s="5">
        <v>790</v>
      </c>
      <c r="S870" s="5">
        <v>0</v>
      </c>
      <c r="T870" s="5">
        <v>36</v>
      </c>
      <c r="U870" s="5" t="s">
        <v>2447</v>
      </c>
      <c r="V870" s="5" t="s">
        <v>730</v>
      </c>
      <c r="AB870"/>
      <c r="AC870"/>
      <c r="AD870"/>
    </row>
    <row r="871" spans="1:30" x14ac:dyDescent="0.25">
      <c r="A871" t="s">
        <v>5197</v>
      </c>
      <c r="B871" t="s">
        <v>5198</v>
      </c>
      <c r="C871" s="9" t="s">
        <v>5199</v>
      </c>
      <c r="D871" s="9" t="s">
        <v>5200</v>
      </c>
      <c r="E871" s="5" t="s">
        <v>5201</v>
      </c>
      <c r="F871" s="1" t="s">
        <v>5202</v>
      </c>
      <c r="G871" s="25">
        <v>44483</v>
      </c>
      <c r="H871" s="1" t="s">
        <v>5204</v>
      </c>
      <c r="I871" s="14" t="s">
        <v>2891</v>
      </c>
      <c r="J871" s="1" t="s">
        <v>3006</v>
      </c>
      <c r="K871" s="14" t="s">
        <v>3007</v>
      </c>
      <c r="L871" s="1" t="s">
        <v>3008</v>
      </c>
      <c r="M871" s="1" t="s">
        <v>3009</v>
      </c>
      <c r="N871" s="1">
        <v>1048</v>
      </c>
      <c r="O871" s="1" t="s">
        <v>976</v>
      </c>
      <c r="P871" s="5">
        <v>1240</v>
      </c>
      <c r="Q871" s="5">
        <v>0</v>
      </c>
      <c r="R871" s="5">
        <v>1240</v>
      </c>
      <c r="S871" s="5">
        <v>0</v>
      </c>
      <c r="T871" s="5" t="s">
        <v>24</v>
      </c>
      <c r="U871" s="5" t="s">
        <v>2447</v>
      </c>
      <c r="V871" s="5" t="s">
        <v>899</v>
      </c>
      <c r="AB871"/>
      <c r="AC871"/>
      <c r="AD871"/>
    </row>
    <row r="872" spans="1:30" x14ac:dyDescent="0.25">
      <c r="A872" t="s">
        <v>5205</v>
      </c>
      <c r="B872" t="s">
        <v>5206</v>
      </c>
      <c r="C872" s="9" t="s">
        <v>5207</v>
      </c>
      <c r="D872" s="9">
        <v>982855716</v>
      </c>
      <c r="E872" s="5" t="s">
        <v>3133</v>
      </c>
      <c r="F872" s="1" t="s">
        <v>5208</v>
      </c>
      <c r="G872" s="25">
        <v>44109</v>
      </c>
      <c r="H872" s="1" t="s">
        <v>3982</v>
      </c>
      <c r="I872" s="14" t="s">
        <v>263</v>
      </c>
      <c r="J872" s="1" t="s">
        <v>3006</v>
      </c>
      <c r="K872" s="14" t="s">
        <v>3007</v>
      </c>
      <c r="L872" s="1" t="s">
        <v>3614</v>
      </c>
      <c r="M872" s="1" t="s">
        <v>3016</v>
      </c>
      <c r="N872" s="1">
        <v>29</v>
      </c>
      <c r="O872" s="1" t="s">
        <v>976</v>
      </c>
      <c r="P872" s="5">
        <v>156.75</v>
      </c>
      <c r="Q872" s="5">
        <v>8.25</v>
      </c>
      <c r="R872" s="5">
        <v>165</v>
      </c>
      <c r="S872" s="5">
        <v>0</v>
      </c>
      <c r="T872" s="5" t="s">
        <v>23</v>
      </c>
      <c r="V872" s="5" t="s">
        <v>263</v>
      </c>
      <c r="AB872"/>
      <c r="AC872"/>
      <c r="AD872"/>
    </row>
    <row r="873" spans="1:30" x14ac:dyDescent="0.25">
      <c r="A873" t="s">
        <v>5205</v>
      </c>
      <c r="B873" t="s">
        <v>5206</v>
      </c>
      <c r="C873" s="9" t="s">
        <v>5207</v>
      </c>
      <c r="D873" s="9">
        <v>982855716</v>
      </c>
      <c r="E873" s="5" t="s">
        <v>3133</v>
      </c>
      <c r="F873" s="1" t="s">
        <v>5208</v>
      </c>
      <c r="G873" s="25">
        <v>44201</v>
      </c>
      <c r="H873" s="1" t="s">
        <v>4390</v>
      </c>
      <c r="I873" s="14" t="s">
        <v>522</v>
      </c>
      <c r="J873" s="1" t="s">
        <v>3006</v>
      </c>
      <c r="K873" s="14" t="s">
        <v>3007</v>
      </c>
      <c r="L873" s="1" t="s">
        <v>3008</v>
      </c>
      <c r="M873" s="1" t="s">
        <v>3016</v>
      </c>
      <c r="N873" s="1">
        <v>138</v>
      </c>
      <c r="O873" s="1" t="s">
        <v>976</v>
      </c>
      <c r="P873" s="5">
        <v>214.01</v>
      </c>
      <c r="Q873" s="5">
        <v>0</v>
      </c>
      <c r="R873" s="5">
        <v>185</v>
      </c>
      <c r="S873" s="5">
        <v>29.01</v>
      </c>
      <c r="T873" s="5" t="s">
        <v>23</v>
      </c>
      <c r="V873" s="5" t="s">
        <v>522</v>
      </c>
      <c r="AB873"/>
      <c r="AC873"/>
      <c r="AD873"/>
    </row>
    <row r="874" spans="1:30" x14ac:dyDescent="0.25">
      <c r="A874" t="s">
        <v>5209</v>
      </c>
      <c r="B874" t="s">
        <v>5210</v>
      </c>
      <c r="C874" s="9" t="s">
        <v>5211</v>
      </c>
      <c r="D874" s="9">
        <v>998621272</v>
      </c>
      <c r="E874" s="5" t="s">
        <v>3733</v>
      </c>
      <c r="F874" s="1" t="s">
        <v>3808</v>
      </c>
      <c r="G874" s="25">
        <v>44233</v>
      </c>
      <c r="H874" s="1" t="s">
        <v>4640</v>
      </c>
      <c r="I874" s="14" t="s">
        <v>582</v>
      </c>
      <c r="J874" s="1" t="s">
        <v>3006</v>
      </c>
      <c r="K874" s="14" t="s">
        <v>3007</v>
      </c>
      <c r="L874" s="1" t="s">
        <v>3008</v>
      </c>
      <c r="M874" s="1" t="s">
        <v>3009</v>
      </c>
      <c r="N874" s="1">
        <v>203</v>
      </c>
      <c r="O874" s="1" t="s">
        <v>976</v>
      </c>
      <c r="P874" s="5">
        <v>518.70000000000005</v>
      </c>
      <c r="Q874" s="5">
        <v>0</v>
      </c>
      <c r="R874" s="5">
        <v>490</v>
      </c>
      <c r="S874" s="5">
        <v>28.7</v>
      </c>
      <c r="T874" s="5" t="s">
        <v>24</v>
      </c>
      <c r="V874" s="5" t="s">
        <v>582</v>
      </c>
      <c r="AB874"/>
      <c r="AC874"/>
      <c r="AD874"/>
    </row>
    <row r="875" spans="1:30" x14ac:dyDescent="0.25">
      <c r="A875" t="s">
        <v>5209</v>
      </c>
      <c r="B875" t="s">
        <v>5210</v>
      </c>
      <c r="C875" s="9" t="s">
        <v>5211</v>
      </c>
      <c r="D875" s="9">
        <v>998621272</v>
      </c>
      <c r="E875" s="5" t="s">
        <v>3733</v>
      </c>
      <c r="F875" s="1" t="s">
        <v>3808</v>
      </c>
      <c r="G875" s="25">
        <v>44263</v>
      </c>
      <c r="H875" s="1" t="s">
        <v>4169</v>
      </c>
      <c r="I875" s="14" t="s">
        <v>229</v>
      </c>
      <c r="J875" s="1" t="s">
        <v>3006</v>
      </c>
      <c r="K875" s="14" t="s">
        <v>3007</v>
      </c>
      <c r="L875" s="1" t="s">
        <v>3008</v>
      </c>
      <c r="M875" s="1" t="s">
        <v>3009</v>
      </c>
      <c r="N875" s="1">
        <v>271</v>
      </c>
      <c r="O875" s="1" t="s">
        <v>976</v>
      </c>
      <c r="P875" s="5">
        <v>402.31</v>
      </c>
      <c r="Q875" s="5">
        <v>0</v>
      </c>
      <c r="R875" s="5">
        <v>390</v>
      </c>
      <c r="S875" s="5">
        <v>12.31</v>
      </c>
      <c r="T875" s="5" t="s">
        <v>23</v>
      </c>
      <c r="V875" s="5" t="s">
        <v>229</v>
      </c>
      <c r="AB875"/>
      <c r="AC875"/>
      <c r="AD875"/>
    </row>
    <row r="876" spans="1:30" x14ac:dyDescent="0.25">
      <c r="A876" t="s">
        <v>5209</v>
      </c>
      <c r="B876" t="s">
        <v>5210</v>
      </c>
      <c r="C876" s="9" t="s">
        <v>5211</v>
      </c>
      <c r="D876" s="9">
        <v>998621272</v>
      </c>
      <c r="E876" s="5" t="s">
        <v>3733</v>
      </c>
      <c r="F876" s="1" t="s">
        <v>3808</v>
      </c>
      <c r="G876" s="25">
        <v>44263</v>
      </c>
      <c r="H876" s="1" t="s">
        <v>4569</v>
      </c>
      <c r="I876" s="14" t="s">
        <v>2814</v>
      </c>
      <c r="J876" s="1" t="s">
        <v>3006</v>
      </c>
      <c r="K876" s="14" t="s">
        <v>3007</v>
      </c>
      <c r="L876" s="1" t="s">
        <v>3008</v>
      </c>
      <c r="M876" s="1" t="s">
        <v>3009</v>
      </c>
      <c r="N876" s="1">
        <v>271</v>
      </c>
      <c r="O876" s="1" t="s">
        <v>976</v>
      </c>
      <c r="P876" s="5">
        <v>593.15</v>
      </c>
      <c r="Q876" s="5">
        <v>0</v>
      </c>
      <c r="R876" s="5">
        <v>575</v>
      </c>
      <c r="S876" s="5">
        <v>18.149999999999999</v>
      </c>
      <c r="T876" s="5" t="s">
        <v>22</v>
      </c>
      <c r="U876" s="5" t="s">
        <v>2472</v>
      </c>
      <c r="V876" s="5" t="s">
        <v>788</v>
      </c>
      <c r="AB876"/>
      <c r="AC876"/>
      <c r="AD876"/>
    </row>
    <row r="877" spans="1:30" x14ac:dyDescent="0.25">
      <c r="A877" t="s">
        <v>5209</v>
      </c>
      <c r="B877" t="s">
        <v>5210</v>
      </c>
      <c r="C877" s="9" t="s">
        <v>5211</v>
      </c>
      <c r="D877" s="9">
        <v>998621272</v>
      </c>
      <c r="E877" s="5" t="s">
        <v>3733</v>
      </c>
      <c r="F877" s="1" t="s">
        <v>3808</v>
      </c>
      <c r="G877" s="25">
        <v>44263</v>
      </c>
      <c r="H877" s="1" t="s">
        <v>3629</v>
      </c>
      <c r="I877" s="14" t="s">
        <v>2870</v>
      </c>
      <c r="J877" s="1" t="s">
        <v>3006</v>
      </c>
      <c r="K877" s="14" t="s">
        <v>3007</v>
      </c>
      <c r="L877" s="1" t="s">
        <v>3008</v>
      </c>
      <c r="M877" s="1" t="s">
        <v>3009</v>
      </c>
      <c r="N877" s="1">
        <v>271</v>
      </c>
      <c r="O877" s="1" t="s">
        <v>976</v>
      </c>
      <c r="P877" s="5">
        <v>402.31</v>
      </c>
      <c r="Q877" s="5">
        <v>0</v>
      </c>
      <c r="R877" s="5">
        <v>390</v>
      </c>
      <c r="S877" s="5">
        <v>12.31</v>
      </c>
      <c r="T877" s="5" t="s">
        <v>23</v>
      </c>
      <c r="U877" s="5" t="s">
        <v>2528</v>
      </c>
      <c r="V877" s="5" t="s">
        <v>874</v>
      </c>
      <c r="AB877"/>
      <c r="AC877"/>
      <c r="AD877"/>
    </row>
    <row r="878" spans="1:30" x14ac:dyDescent="0.25">
      <c r="A878" t="s">
        <v>5209</v>
      </c>
      <c r="B878" t="s">
        <v>5210</v>
      </c>
      <c r="C878" s="9" t="s">
        <v>5211</v>
      </c>
      <c r="D878" s="9">
        <v>998621272</v>
      </c>
      <c r="E878" s="5" t="s">
        <v>3733</v>
      </c>
      <c r="F878" s="1" t="s">
        <v>3808</v>
      </c>
      <c r="G878" s="25">
        <v>44312</v>
      </c>
      <c r="H878" s="1" t="s">
        <v>4632</v>
      </c>
      <c r="I878" s="14" t="s">
        <v>2772</v>
      </c>
      <c r="J878" s="1" t="s">
        <v>3006</v>
      </c>
      <c r="K878" s="14" t="s">
        <v>3007</v>
      </c>
      <c r="L878" s="1" t="s">
        <v>3008</v>
      </c>
      <c r="M878" s="1" t="s">
        <v>976</v>
      </c>
      <c r="N878" s="1">
        <v>338</v>
      </c>
      <c r="O878" s="1" t="s">
        <v>976</v>
      </c>
      <c r="P878" s="5">
        <v>397.78</v>
      </c>
      <c r="Q878" s="5">
        <v>0</v>
      </c>
      <c r="R878" s="5">
        <v>390</v>
      </c>
      <c r="S878" s="5">
        <v>7.78</v>
      </c>
      <c r="T878" s="5" t="s">
        <v>23</v>
      </c>
      <c r="U878" s="5" t="s">
        <v>2508</v>
      </c>
      <c r="V878" s="5" t="s">
        <v>735</v>
      </c>
      <c r="AB878"/>
      <c r="AC878"/>
      <c r="AD878"/>
    </row>
    <row r="879" spans="1:30" x14ac:dyDescent="0.25">
      <c r="A879" t="s">
        <v>5209</v>
      </c>
      <c r="B879" t="s">
        <v>5210</v>
      </c>
      <c r="C879" s="9" t="s">
        <v>5211</v>
      </c>
      <c r="D879" s="9">
        <v>998621272</v>
      </c>
      <c r="E879" s="5" t="s">
        <v>3733</v>
      </c>
      <c r="F879" s="1" t="s">
        <v>3808</v>
      </c>
      <c r="G879" s="25">
        <v>44312</v>
      </c>
      <c r="H879" s="1" t="s">
        <v>3075</v>
      </c>
      <c r="I879" s="14" t="s">
        <v>2791</v>
      </c>
      <c r="J879" s="1" t="s">
        <v>3006</v>
      </c>
      <c r="K879" s="14" t="s">
        <v>3007</v>
      </c>
      <c r="L879" s="1" t="s">
        <v>3008</v>
      </c>
      <c r="M879" s="1" t="s">
        <v>976</v>
      </c>
      <c r="N879" s="1">
        <v>338</v>
      </c>
      <c r="O879" s="1" t="s">
        <v>976</v>
      </c>
      <c r="P879" s="5">
        <v>1121.94</v>
      </c>
      <c r="Q879" s="5">
        <v>0</v>
      </c>
      <c r="R879" s="5">
        <v>1100</v>
      </c>
      <c r="S879" s="5">
        <v>21.94</v>
      </c>
      <c r="T879" s="5" t="s">
        <v>22</v>
      </c>
      <c r="U879" s="5" t="s">
        <v>2443</v>
      </c>
      <c r="V879" s="5" t="s">
        <v>763</v>
      </c>
      <c r="AB879"/>
      <c r="AC879"/>
      <c r="AD879"/>
    </row>
    <row r="880" spans="1:30" x14ac:dyDescent="0.25">
      <c r="A880" t="s">
        <v>5209</v>
      </c>
      <c r="B880" t="s">
        <v>5210</v>
      </c>
      <c r="C880" s="9" t="s">
        <v>5211</v>
      </c>
      <c r="D880" s="9">
        <v>998621272</v>
      </c>
      <c r="E880" s="5" t="s">
        <v>3733</v>
      </c>
      <c r="F880" s="1" t="s">
        <v>3808</v>
      </c>
      <c r="G880" s="25">
        <v>44312</v>
      </c>
      <c r="H880" s="1" t="s">
        <v>3165</v>
      </c>
      <c r="I880" s="14" t="s">
        <v>2814</v>
      </c>
      <c r="J880" s="1" t="s">
        <v>3006</v>
      </c>
      <c r="K880" s="14" t="s">
        <v>3007</v>
      </c>
      <c r="L880" s="1" t="s">
        <v>3008</v>
      </c>
      <c r="M880" s="1" t="s">
        <v>976</v>
      </c>
      <c r="N880" s="1">
        <v>338</v>
      </c>
      <c r="O880" s="1" t="s">
        <v>976</v>
      </c>
      <c r="P880" s="5">
        <v>596.66999999999996</v>
      </c>
      <c r="Q880" s="5">
        <v>0</v>
      </c>
      <c r="R880" s="5">
        <v>585</v>
      </c>
      <c r="S880" s="5">
        <v>11.67</v>
      </c>
      <c r="T880" s="5" t="s">
        <v>22</v>
      </c>
      <c r="U880" s="5" t="s">
        <v>2482</v>
      </c>
      <c r="V880" s="5" t="s">
        <v>789</v>
      </c>
      <c r="AB880"/>
      <c r="AC880"/>
      <c r="AD880"/>
    </row>
    <row r="881" spans="1:30" x14ac:dyDescent="0.25">
      <c r="A881" t="s">
        <v>5209</v>
      </c>
      <c r="B881" t="s">
        <v>5210</v>
      </c>
      <c r="C881" s="9" t="s">
        <v>5211</v>
      </c>
      <c r="D881" s="9">
        <v>998621272</v>
      </c>
      <c r="E881" s="5" t="s">
        <v>3733</v>
      </c>
      <c r="F881" s="1" t="s">
        <v>3808</v>
      </c>
      <c r="G881" s="25">
        <v>44312</v>
      </c>
      <c r="H881" s="1" t="s">
        <v>3170</v>
      </c>
      <c r="I881" s="14" t="s">
        <v>2822</v>
      </c>
      <c r="J881" s="1" t="s">
        <v>3006</v>
      </c>
      <c r="K881" s="14" t="s">
        <v>3007</v>
      </c>
      <c r="L881" s="1" t="s">
        <v>3008</v>
      </c>
      <c r="M881" s="1" t="s">
        <v>976</v>
      </c>
      <c r="N881" s="1">
        <v>338</v>
      </c>
      <c r="O881" s="1" t="s">
        <v>976</v>
      </c>
      <c r="P881" s="5">
        <v>249.89</v>
      </c>
      <c r="Q881" s="5">
        <v>0</v>
      </c>
      <c r="R881" s="5">
        <v>245</v>
      </c>
      <c r="S881" s="5">
        <v>4.8899999999999997</v>
      </c>
      <c r="T881" s="5" t="s">
        <v>23</v>
      </c>
      <c r="U881" s="5" t="s">
        <v>2508</v>
      </c>
      <c r="V881" s="5" t="s">
        <v>801</v>
      </c>
      <c r="AB881"/>
      <c r="AC881"/>
      <c r="AD881"/>
    </row>
    <row r="882" spans="1:30" x14ac:dyDescent="0.25">
      <c r="A882" t="s">
        <v>5209</v>
      </c>
      <c r="B882" t="s">
        <v>5210</v>
      </c>
      <c r="C882" s="9" t="s">
        <v>5211</v>
      </c>
      <c r="D882" s="9">
        <v>998621272</v>
      </c>
      <c r="E882" s="5" t="s">
        <v>3733</v>
      </c>
      <c r="F882" s="1" t="s">
        <v>3808</v>
      </c>
      <c r="G882" s="25">
        <v>44312</v>
      </c>
      <c r="H882" s="1" t="s">
        <v>3392</v>
      </c>
      <c r="I882" s="14" t="s">
        <v>297</v>
      </c>
      <c r="J882" s="1" t="s">
        <v>3006</v>
      </c>
      <c r="K882" s="14" t="s">
        <v>3007</v>
      </c>
      <c r="L882" s="1" t="s">
        <v>3008</v>
      </c>
      <c r="M882" s="1" t="s">
        <v>976</v>
      </c>
      <c r="N882" s="1">
        <v>338</v>
      </c>
      <c r="O882" s="1" t="s">
        <v>976</v>
      </c>
      <c r="P882" s="5">
        <v>627.27</v>
      </c>
      <c r="Q882" s="5">
        <v>0</v>
      </c>
      <c r="R882" s="5">
        <v>615</v>
      </c>
      <c r="S882" s="5">
        <v>12.27</v>
      </c>
      <c r="T882" s="5" t="s">
        <v>23</v>
      </c>
      <c r="V882" s="5" t="s">
        <v>297</v>
      </c>
      <c r="AB882"/>
      <c r="AC882"/>
      <c r="AD882"/>
    </row>
    <row r="883" spans="1:30" x14ac:dyDescent="0.25">
      <c r="A883" t="s">
        <v>5209</v>
      </c>
      <c r="B883" t="s">
        <v>5210</v>
      </c>
      <c r="C883" s="9" t="s">
        <v>5211</v>
      </c>
      <c r="D883" s="9">
        <v>998621272</v>
      </c>
      <c r="E883" s="5" t="s">
        <v>3733</v>
      </c>
      <c r="F883" s="1" t="s">
        <v>3808</v>
      </c>
      <c r="G883" s="25">
        <v>44312</v>
      </c>
      <c r="H883" s="1" t="s">
        <v>4691</v>
      </c>
      <c r="I883" s="14" t="s">
        <v>1595</v>
      </c>
      <c r="J883" s="1" t="s">
        <v>3006</v>
      </c>
      <c r="K883" s="14" t="s">
        <v>3007</v>
      </c>
      <c r="L883" s="1" t="s">
        <v>3008</v>
      </c>
      <c r="M883" s="1" t="s">
        <v>976</v>
      </c>
      <c r="N883" s="1">
        <v>338</v>
      </c>
      <c r="O883" s="1" t="s">
        <v>976</v>
      </c>
      <c r="P883" s="5">
        <v>571.16</v>
      </c>
      <c r="Q883" s="5">
        <v>0</v>
      </c>
      <c r="R883" s="5">
        <v>560</v>
      </c>
      <c r="S883" s="5">
        <v>11.16</v>
      </c>
      <c r="T883" s="5" t="s">
        <v>23</v>
      </c>
      <c r="U883" s="5" t="s">
        <v>2463</v>
      </c>
      <c r="V883" s="5" t="s">
        <v>877</v>
      </c>
      <c r="AB883"/>
      <c r="AC883"/>
      <c r="AD883"/>
    </row>
    <row r="884" spans="1:30" x14ac:dyDescent="0.25">
      <c r="A884" t="s">
        <v>5209</v>
      </c>
      <c r="B884" t="s">
        <v>5210</v>
      </c>
      <c r="C884" s="9" t="s">
        <v>5211</v>
      </c>
      <c r="D884" s="9">
        <v>998621272</v>
      </c>
      <c r="E884" s="5" t="s">
        <v>3733</v>
      </c>
      <c r="F884" s="1" t="s">
        <v>3808</v>
      </c>
      <c r="G884" s="25">
        <v>44354</v>
      </c>
      <c r="H884" s="1" t="s">
        <v>3063</v>
      </c>
      <c r="I884" s="14" t="s">
        <v>2853</v>
      </c>
      <c r="J884" s="1" t="s">
        <v>3006</v>
      </c>
      <c r="K884" s="14" t="s">
        <v>3007</v>
      </c>
      <c r="L884" s="1" t="s">
        <v>3008</v>
      </c>
      <c r="M884" s="1" t="s">
        <v>3009</v>
      </c>
      <c r="N884" s="1">
        <v>485</v>
      </c>
      <c r="O884" s="1" t="s">
        <v>976</v>
      </c>
      <c r="P884" s="5">
        <v>644.45000000000005</v>
      </c>
      <c r="Q884" s="5">
        <v>0</v>
      </c>
      <c r="R884" s="5">
        <v>615</v>
      </c>
      <c r="S884" s="5">
        <v>29.45</v>
      </c>
      <c r="T884" s="5" t="s">
        <v>22</v>
      </c>
      <c r="U884" s="5" t="s">
        <v>2727</v>
      </c>
      <c r="V884" s="5" t="s">
        <v>848</v>
      </c>
      <c r="AB884"/>
      <c r="AC884"/>
      <c r="AD884"/>
    </row>
    <row r="885" spans="1:30" x14ac:dyDescent="0.25">
      <c r="A885" t="s">
        <v>5209</v>
      </c>
      <c r="B885" t="s">
        <v>5210</v>
      </c>
      <c r="C885" s="9" t="s">
        <v>5211</v>
      </c>
      <c r="D885" s="9">
        <v>998621272</v>
      </c>
      <c r="E885" s="5" t="s">
        <v>3733</v>
      </c>
      <c r="F885" s="1" t="s">
        <v>3808</v>
      </c>
      <c r="G885" s="25">
        <v>44479</v>
      </c>
      <c r="H885" s="1" t="s">
        <v>3335</v>
      </c>
      <c r="I885" s="14" t="s">
        <v>499</v>
      </c>
      <c r="J885" s="1" t="s">
        <v>3006</v>
      </c>
      <c r="K885" s="14" t="s">
        <v>3007</v>
      </c>
      <c r="L885" s="1" t="s">
        <v>3008</v>
      </c>
      <c r="M885" s="1" t="s">
        <v>3009</v>
      </c>
      <c r="N885" s="1">
        <v>1020</v>
      </c>
      <c r="O885" s="1" t="s">
        <v>976</v>
      </c>
      <c r="P885" s="5">
        <v>342.65</v>
      </c>
      <c r="Q885" s="5">
        <v>0</v>
      </c>
      <c r="R885" s="5">
        <v>315</v>
      </c>
      <c r="S885" s="5">
        <v>27.65</v>
      </c>
      <c r="T885" s="5" t="s">
        <v>23</v>
      </c>
      <c r="V885" s="5" t="s">
        <v>499</v>
      </c>
      <c r="AB885"/>
      <c r="AC885"/>
      <c r="AD885"/>
    </row>
    <row r="886" spans="1:30" x14ac:dyDescent="0.25">
      <c r="A886" t="s">
        <v>5209</v>
      </c>
      <c r="B886" t="s">
        <v>5210</v>
      </c>
      <c r="C886" s="9" t="s">
        <v>5211</v>
      </c>
      <c r="D886" s="9">
        <v>998621272</v>
      </c>
      <c r="E886" s="5" t="s">
        <v>3733</v>
      </c>
      <c r="F886" s="1" t="s">
        <v>3808</v>
      </c>
      <c r="G886" s="25">
        <v>44486</v>
      </c>
      <c r="H886" s="1" t="s">
        <v>3805</v>
      </c>
      <c r="I886" s="14" t="s">
        <v>487</v>
      </c>
      <c r="J886" s="1" t="s">
        <v>3006</v>
      </c>
      <c r="K886" s="14" t="s">
        <v>3007</v>
      </c>
      <c r="L886" s="1" t="s">
        <v>3008</v>
      </c>
      <c r="M886" s="1" t="s">
        <v>3009</v>
      </c>
      <c r="N886" s="1">
        <v>1058</v>
      </c>
      <c r="O886" s="1" t="s">
        <v>976</v>
      </c>
      <c r="P886" s="5">
        <v>342.65</v>
      </c>
      <c r="Q886" s="5">
        <v>0</v>
      </c>
      <c r="R886" s="5">
        <v>315</v>
      </c>
      <c r="S886" s="5">
        <v>27.65</v>
      </c>
      <c r="T886" s="5" t="s">
        <v>23</v>
      </c>
      <c r="V886" s="5" t="s">
        <v>487</v>
      </c>
      <c r="AB886"/>
      <c r="AC886"/>
      <c r="AD886"/>
    </row>
    <row r="887" spans="1:30" x14ac:dyDescent="0.25">
      <c r="A887" t="s">
        <v>5212</v>
      </c>
      <c r="B887" t="s">
        <v>5213</v>
      </c>
      <c r="C887" s="9" t="s">
        <v>5214</v>
      </c>
      <c r="D887" s="9">
        <v>22350891</v>
      </c>
      <c r="E887" s="5" t="s">
        <v>3041</v>
      </c>
      <c r="F887" s="1" t="s">
        <v>3042</v>
      </c>
      <c r="G887" s="25">
        <v>44539</v>
      </c>
      <c r="H887" s="1" t="s">
        <v>3015</v>
      </c>
      <c r="I887" s="14" t="s">
        <v>252</v>
      </c>
      <c r="J887" s="1" t="s">
        <v>3006</v>
      </c>
      <c r="K887" s="14" t="s">
        <v>3007</v>
      </c>
      <c r="L887" s="1" t="s">
        <v>3008</v>
      </c>
      <c r="M887" s="1" t="s">
        <v>3016</v>
      </c>
      <c r="N887" s="1">
        <v>1398</v>
      </c>
      <c r="O887" s="1" t="s">
        <v>976</v>
      </c>
      <c r="P887" s="5">
        <v>1498.5</v>
      </c>
      <c r="Q887" s="5">
        <v>166.5</v>
      </c>
      <c r="R887" s="5">
        <v>1665</v>
      </c>
      <c r="S887" s="5">
        <v>0</v>
      </c>
      <c r="T887" s="5" t="s">
        <v>22</v>
      </c>
      <c r="V887" s="5" t="s">
        <v>252</v>
      </c>
      <c r="AB887"/>
      <c r="AC887"/>
      <c r="AD887"/>
    </row>
    <row r="888" spans="1:30" x14ac:dyDescent="0.25">
      <c r="A888" t="s">
        <v>5212</v>
      </c>
      <c r="B888" t="s">
        <v>5213</v>
      </c>
      <c r="C888" s="9" t="s">
        <v>5214</v>
      </c>
      <c r="D888" s="9">
        <v>22350891</v>
      </c>
      <c r="E888" s="5" t="s">
        <v>3041</v>
      </c>
      <c r="F888" s="1" t="s">
        <v>3042</v>
      </c>
      <c r="G888" s="25">
        <v>44539</v>
      </c>
      <c r="H888" s="1" t="s">
        <v>3335</v>
      </c>
      <c r="I888" s="14" t="s">
        <v>499</v>
      </c>
      <c r="J888" s="1" t="s">
        <v>3006</v>
      </c>
      <c r="K888" s="14" t="s">
        <v>3007</v>
      </c>
      <c r="L888" s="1" t="s">
        <v>3008</v>
      </c>
      <c r="M888" s="1" t="s">
        <v>3016</v>
      </c>
      <c r="N888" s="1">
        <v>1398</v>
      </c>
      <c r="O888" s="1" t="s">
        <v>976</v>
      </c>
      <c r="P888" s="5">
        <v>283.5</v>
      </c>
      <c r="Q888" s="5">
        <v>31.5</v>
      </c>
      <c r="R888" s="5">
        <v>315</v>
      </c>
      <c r="S888" s="5">
        <v>0</v>
      </c>
      <c r="T888" s="5" t="s">
        <v>23</v>
      </c>
      <c r="V888" s="5" t="s">
        <v>499</v>
      </c>
      <c r="AB888"/>
      <c r="AC888"/>
      <c r="AD888"/>
    </row>
    <row r="889" spans="1:30" x14ac:dyDescent="0.25">
      <c r="A889" t="s">
        <v>5215</v>
      </c>
      <c r="B889" t="s">
        <v>5216</v>
      </c>
      <c r="C889" s="9" t="s">
        <v>5217</v>
      </c>
      <c r="D889" s="9">
        <v>994229399</v>
      </c>
      <c r="E889" s="5" t="s">
        <v>3644</v>
      </c>
      <c r="F889" s="1" t="s">
        <v>3645</v>
      </c>
      <c r="G889" s="25">
        <v>44493</v>
      </c>
      <c r="H889" s="1" t="s">
        <v>3027</v>
      </c>
      <c r="I889" s="14" t="s">
        <v>254</v>
      </c>
      <c r="J889" s="1" t="s">
        <v>3006</v>
      </c>
      <c r="K889" s="14" t="s">
        <v>3007</v>
      </c>
      <c r="L889" s="1" t="s">
        <v>3008</v>
      </c>
      <c r="M889" s="1" t="s">
        <v>3009</v>
      </c>
      <c r="N889" s="1">
        <v>1104</v>
      </c>
      <c r="O889" s="1" t="s">
        <v>976</v>
      </c>
      <c r="P889" s="5">
        <v>1197</v>
      </c>
      <c r="Q889" s="5">
        <v>133</v>
      </c>
      <c r="R889" s="5">
        <v>1330</v>
      </c>
      <c r="S889" s="5">
        <v>0</v>
      </c>
      <c r="T889" s="5" t="s">
        <v>22</v>
      </c>
      <c r="V889" s="5" t="s">
        <v>254</v>
      </c>
      <c r="AB889"/>
      <c r="AC889"/>
      <c r="AD889"/>
    </row>
    <row r="890" spans="1:30" x14ac:dyDescent="0.25">
      <c r="A890" t="s">
        <v>5215</v>
      </c>
      <c r="B890" t="s">
        <v>5216</v>
      </c>
      <c r="C890" s="9" t="s">
        <v>5217</v>
      </c>
      <c r="D890" s="9">
        <v>994229399</v>
      </c>
      <c r="E890" s="5" t="s">
        <v>3644</v>
      </c>
      <c r="F890" s="1" t="s">
        <v>3645</v>
      </c>
      <c r="G890" s="25">
        <v>44493</v>
      </c>
      <c r="H890" s="1" t="s">
        <v>3516</v>
      </c>
      <c r="I890" s="14" t="s">
        <v>380</v>
      </c>
      <c r="J890" s="1" t="s">
        <v>3006</v>
      </c>
      <c r="K890" s="14" t="s">
        <v>3007</v>
      </c>
      <c r="L890" s="1" t="s">
        <v>3008</v>
      </c>
      <c r="M890" s="1" t="s">
        <v>3009</v>
      </c>
      <c r="N890" s="1">
        <v>1104</v>
      </c>
      <c r="O890" s="1" t="s">
        <v>976</v>
      </c>
      <c r="P890" s="5">
        <v>801</v>
      </c>
      <c r="Q890" s="5">
        <v>89</v>
      </c>
      <c r="R890" s="5">
        <v>890</v>
      </c>
      <c r="S890" s="5">
        <v>0</v>
      </c>
      <c r="T890" s="5" t="s">
        <v>5574</v>
      </c>
      <c r="V890" s="5" t="s">
        <v>380</v>
      </c>
      <c r="AB890"/>
      <c r="AC890"/>
      <c r="AD890"/>
    </row>
    <row r="891" spans="1:30" x14ac:dyDescent="0.25">
      <c r="A891" t="s">
        <v>5218</v>
      </c>
      <c r="B891" t="s">
        <v>5219</v>
      </c>
      <c r="C891" s="9" t="s">
        <v>5220</v>
      </c>
      <c r="D891" s="9">
        <v>996298112</v>
      </c>
      <c r="E891" s="5" t="s">
        <v>3041</v>
      </c>
      <c r="F891" s="1" t="s">
        <v>3042</v>
      </c>
      <c r="G891" s="25">
        <v>44493</v>
      </c>
      <c r="H891" s="1" t="s">
        <v>3027</v>
      </c>
      <c r="I891" s="14" t="s">
        <v>254</v>
      </c>
      <c r="J891" s="1" t="s">
        <v>3006</v>
      </c>
      <c r="K891" s="14" t="s">
        <v>3007</v>
      </c>
      <c r="L891" s="1" t="s">
        <v>3008</v>
      </c>
      <c r="M891" s="1" t="s">
        <v>3016</v>
      </c>
      <c r="N891" s="1">
        <v>1086</v>
      </c>
      <c r="O891" s="1" t="s">
        <v>976</v>
      </c>
      <c r="P891" s="5">
        <v>1226.8699999999999</v>
      </c>
      <c r="Q891" s="5">
        <v>133</v>
      </c>
      <c r="R891" s="5">
        <v>1330</v>
      </c>
      <c r="S891" s="5">
        <v>29.87</v>
      </c>
      <c r="T891" s="5" t="s">
        <v>22</v>
      </c>
      <c r="V891" s="5" t="s">
        <v>254</v>
      </c>
      <c r="AB891"/>
      <c r="AC891"/>
      <c r="AD891"/>
    </row>
    <row r="892" spans="1:30" x14ac:dyDescent="0.25">
      <c r="A892" t="s">
        <v>5221</v>
      </c>
      <c r="B892" t="s">
        <v>5222</v>
      </c>
      <c r="C892" s="9" t="s">
        <v>5223</v>
      </c>
      <c r="D892" s="9">
        <v>998023824</v>
      </c>
      <c r="E892" s="5" t="s">
        <v>3013</v>
      </c>
      <c r="F892" s="1" t="s">
        <v>3067</v>
      </c>
      <c r="G892" s="25">
        <v>44374</v>
      </c>
      <c r="H892" s="1" t="s">
        <v>3015</v>
      </c>
      <c r="I892" s="14" t="s">
        <v>252</v>
      </c>
      <c r="J892" s="1" t="s">
        <v>3006</v>
      </c>
      <c r="K892" s="14" t="s">
        <v>3007</v>
      </c>
      <c r="L892" s="1" t="s">
        <v>3008</v>
      </c>
      <c r="M892" s="1" t="s">
        <v>3009</v>
      </c>
      <c r="N892" s="1">
        <v>555</v>
      </c>
      <c r="O892" s="1" t="s">
        <v>976</v>
      </c>
      <c r="P892" s="5">
        <v>1116.58</v>
      </c>
      <c r="Q892" s="5">
        <v>120</v>
      </c>
      <c r="R892" s="5">
        <v>1200</v>
      </c>
      <c r="S892" s="5">
        <v>36.58</v>
      </c>
      <c r="T892" s="5" t="s">
        <v>22</v>
      </c>
      <c r="V892" s="5" t="s">
        <v>252</v>
      </c>
      <c r="AB892"/>
      <c r="AC892"/>
      <c r="AD892"/>
    </row>
    <row r="893" spans="1:30" x14ac:dyDescent="0.25">
      <c r="A893" t="s">
        <v>5224</v>
      </c>
      <c r="B893" t="s">
        <v>5225</v>
      </c>
      <c r="C893" s="9" t="s">
        <v>5226</v>
      </c>
      <c r="D893" s="9">
        <v>984743344</v>
      </c>
      <c r="E893" s="5" t="s">
        <v>3462</v>
      </c>
      <c r="F893" s="1" t="s">
        <v>3463</v>
      </c>
      <c r="G893" s="25">
        <v>44455</v>
      </c>
      <c r="H893" s="1" t="s">
        <v>3103</v>
      </c>
      <c r="I893" s="14" t="s">
        <v>298</v>
      </c>
      <c r="J893" s="1" t="s">
        <v>3006</v>
      </c>
      <c r="K893" s="14" t="s">
        <v>3007</v>
      </c>
      <c r="L893" s="1" t="s">
        <v>3008</v>
      </c>
      <c r="M893" s="1" t="s">
        <v>3009</v>
      </c>
      <c r="N893" s="1">
        <v>918</v>
      </c>
      <c r="O893" s="1" t="s">
        <v>976</v>
      </c>
      <c r="P893" s="5">
        <v>666.19</v>
      </c>
      <c r="Q893" s="5">
        <v>68</v>
      </c>
      <c r="R893" s="5">
        <v>680</v>
      </c>
      <c r="S893" s="5">
        <v>54.19</v>
      </c>
      <c r="T893" s="5" t="s">
        <v>22</v>
      </c>
      <c r="V893" s="5" t="s">
        <v>298</v>
      </c>
      <c r="AB893"/>
      <c r="AC893"/>
      <c r="AD893"/>
    </row>
    <row r="894" spans="1:30" x14ac:dyDescent="0.25">
      <c r="A894" t="s">
        <v>5224</v>
      </c>
      <c r="B894" t="s">
        <v>5225</v>
      </c>
      <c r="C894" s="9" t="s">
        <v>5226</v>
      </c>
      <c r="D894" s="9">
        <v>984743344</v>
      </c>
      <c r="E894" s="5" t="s">
        <v>3462</v>
      </c>
      <c r="F894" s="1" t="s">
        <v>3463</v>
      </c>
      <c r="G894" s="25">
        <v>44500</v>
      </c>
      <c r="H894" s="1" t="s">
        <v>5227</v>
      </c>
      <c r="I894" s="14" t="s">
        <v>2809</v>
      </c>
      <c r="J894" s="1" t="s">
        <v>3006</v>
      </c>
      <c r="K894" s="14" t="s">
        <v>3007</v>
      </c>
      <c r="L894" s="1" t="s">
        <v>3008</v>
      </c>
      <c r="M894" s="1" t="s">
        <v>3009</v>
      </c>
      <c r="N894" s="1">
        <v>1142</v>
      </c>
      <c r="O894" s="1" t="s">
        <v>976</v>
      </c>
      <c r="P894" s="5">
        <v>1273.6300000000001</v>
      </c>
      <c r="Q894" s="5">
        <v>0</v>
      </c>
      <c r="R894" s="5">
        <v>1210</v>
      </c>
      <c r="S894" s="5">
        <v>63.63</v>
      </c>
      <c r="T894" s="5">
        <v>40</v>
      </c>
      <c r="U894" s="5" t="s">
        <v>2472</v>
      </c>
      <c r="V894" s="5" t="s">
        <v>783</v>
      </c>
      <c r="AB894"/>
      <c r="AC894"/>
      <c r="AD894"/>
    </row>
    <row r="895" spans="1:30" x14ac:dyDescent="0.25">
      <c r="A895" t="s">
        <v>5224</v>
      </c>
      <c r="B895" t="s">
        <v>5225</v>
      </c>
      <c r="C895" s="9" t="s">
        <v>5226</v>
      </c>
      <c r="D895" s="9">
        <v>984743344</v>
      </c>
      <c r="E895" s="5" t="s">
        <v>3462</v>
      </c>
      <c r="F895" s="1" t="s">
        <v>3463</v>
      </c>
      <c r="G895" s="25">
        <v>44500</v>
      </c>
      <c r="H895" s="1" t="s">
        <v>3264</v>
      </c>
      <c r="I895" s="14" t="s">
        <v>386</v>
      </c>
      <c r="J895" s="1" t="s">
        <v>3006</v>
      </c>
      <c r="K895" s="14" t="s">
        <v>3007</v>
      </c>
      <c r="L895" s="1" t="s">
        <v>3008</v>
      </c>
      <c r="M895" s="1" t="s">
        <v>3009</v>
      </c>
      <c r="N895" s="1">
        <v>1142</v>
      </c>
      <c r="O895" s="1" t="s">
        <v>976</v>
      </c>
      <c r="P895" s="5">
        <v>605.24</v>
      </c>
      <c r="Q895" s="5">
        <v>0</v>
      </c>
      <c r="R895" s="5">
        <v>575</v>
      </c>
      <c r="S895" s="5">
        <v>30.24</v>
      </c>
      <c r="T895" s="5" t="s">
        <v>23</v>
      </c>
      <c r="V895" s="5" t="s">
        <v>386</v>
      </c>
      <c r="AB895"/>
      <c r="AC895"/>
      <c r="AD895"/>
    </row>
    <row r="896" spans="1:30" x14ac:dyDescent="0.25">
      <c r="A896" t="s">
        <v>5228</v>
      </c>
      <c r="B896" t="s">
        <v>5229</v>
      </c>
      <c r="C896" s="9" t="s">
        <v>5230</v>
      </c>
      <c r="D896" s="9" t="s">
        <v>976</v>
      </c>
      <c r="E896" s="5" t="s">
        <v>3003</v>
      </c>
      <c r="F896" s="1" t="s">
        <v>3004</v>
      </c>
      <c r="G896" s="25">
        <v>44504</v>
      </c>
      <c r="H896" s="1" t="s">
        <v>5231</v>
      </c>
      <c r="I896" s="14" t="s">
        <v>2966</v>
      </c>
      <c r="J896" s="1" t="s">
        <v>3006</v>
      </c>
      <c r="K896" s="14" t="s">
        <v>3007</v>
      </c>
      <c r="L896" s="1" t="s">
        <v>3008</v>
      </c>
      <c r="M896" s="1" t="s">
        <v>3016</v>
      </c>
      <c r="N896" s="1">
        <v>1162</v>
      </c>
      <c r="O896" s="1" t="s">
        <v>976</v>
      </c>
      <c r="P896" s="5">
        <v>768</v>
      </c>
      <c r="Q896" s="5">
        <v>192</v>
      </c>
      <c r="R896" s="5">
        <v>960</v>
      </c>
      <c r="S896" s="5">
        <v>0</v>
      </c>
      <c r="T896" s="5">
        <v>36</v>
      </c>
      <c r="U896" s="5" t="s">
        <v>2447</v>
      </c>
      <c r="V896" s="5" t="s">
        <v>938</v>
      </c>
      <c r="AB896"/>
      <c r="AC896"/>
      <c r="AD896"/>
    </row>
    <row r="897" spans="1:30" x14ac:dyDescent="0.25">
      <c r="A897" t="s">
        <v>5228</v>
      </c>
      <c r="B897" t="s">
        <v>5229</v>
      </c>
      <c r="C897" s="9" t="s">
        <v>5230</v>
      </c>
      <c r="D897" s="9" t="s">
        <v>976</v>
      </c>
      <c r="E897" s="5" t="s">
        <v>3003</v>
      </c>
      <c r="F897" s="1" t="s">
        <v>3004</v>
      </c>
      <c r="G897" s="25">
        <v>44504</v>
      </c>
      <c r="H897" s="1" t="s">
        <v>5232</v>
      </c>
      <c r="I897" s="14" t="s">
        <v>2985</v>
      </c>
      <c r="J897" s="1" t="s">
        <v>3006</v>
      </c>
      <c r="K897" s="14" t="s">
        <v>3007</v>
      </c>
      <c r="L897" s="1" t="s">
        <v>3008</v>
      </c>
      <c r="M897" s="1" t="s">
        <v>3016</v>
      </c>
      <c r="N897" s="1">
        <v>1162</v>
      </c>
      <c r="O897" s="1" t="s">
        <v>976</v>
      </c>
      <c r="P897" s="5">
        <v>628</v>
      </c>
      <c r="Q897" s="5">
        <v>157</v>
      </c>
      <c r="R897" s="5">
        <v>785</v>
      </c>
      <c r="S897" s="5">
        <v>0</v>
      </c>
      <c r="T897" s="5" t="s">
        <v>23</v>
      </c>
      <c r="U897" s="5" t="s">
        <v>2447</v>
      </c>
      <c r="V897" s="5" t="s">
        <v>949</v>
      </c>
      <c r="AB897"/>
      <c r="AC897"/>
      <c r="AD897"/>
    </row>
    <row r="898" spans="1:30" x14ac:dyDescent="0.25">
      <c r="A898" t="s">
        <v>5233</v>
      </c>
      <c r="B898" t="s">
        <v>5234</v>
      </c>
      <c r="C898" s="9" t="s">
        <v>5235</v>
      </c>
      <c r="D898" s="9" t="s">
        <v>5236</v>
      </c>
      <c r="E898" s="5" t="s">
        <v>3041</v>
      </c>
      <c r="F898" s="1" t="s">
        <v>3042</v>
      </c>
      <c r="G898" s="25">
        <v>44579</v>
      </c>
      <c r="H898" s="1" t="s">
        <v>3075</v>
      </c>
      <c r="I898" s="14" t="s">
        <v>2791</v>
      </c>
      <c r="J898" s="1" t="s">
        <v>3006</v>
      </c>
      <c r="K898" s="14" t="s">
        <v>3007</v>
      </c>
      <c r="L898" s="1" t="s">
        <v>3008</v>
      </c>
      <c r="M898" s="1" t="s">
        <v>3009</v>
      </c>
      <c r="N898" s="1">
        <v>1676</v>
      </c>
      <c r="O898" s="1" t="s">
        <v>976</v>
      </c>
      <c r="P898" s="5">
        <v>1696.44</v>
      </c>
      <c r="Q898" s="5">
        <v>0</v>
      </c>
      <c r="R898" s="5">
        <v>1665</v>
      </c>
      <c r="S898" s="5">
        <v>31.44</v>
      </c>
      <c r="T898" s="5" t="s">
        <v>22</v>
      </c>
      <c r="U898" s="5" t="s">
        <v>2443</v>
      </c>
      <c r="V898" s="5" t="s">
        <v>763</v>
      </c>
      <c r="AB898"/>
      <c r="AC898"/>
      <c r="AD898"/>
    </row>
    <row r="899" spans="1:30" x14ac:dyDescent="0.25">
      <c r="A899" t="s">
        <v>5233</v>
      </c>
      <c r="B899" t="s">
        <v>5234</v>
      </c>
      <c r="C899" s="9" t="s">
        <v>5235</v>
      </c>
      <c r="D899" s="9" t="s">
        <v>5236</v>
      </c>
      <c r="E899" s="5" t="s">
        <v>3041</v>
      </c>
      <c r="F899" s="1" t="s">
        <v>3042</v>
      </c>
      <c r="G899" s="25">
        <v>44579</v>
      </c>
      <c r="H899" s="1" t="s">
        <v>5237</v>
      </c>
      <c r="I899" s="14" t="s">
        <v>2866</v>
      </c>
      <c r="J899" s="1" t="s">
        <v>3006</v>
      </c>
      <c r="K899" s="14" t="s">
        <v>3007</v>
      </c>
      <c r="L899" s="1" t="s">
        <v>3008</v>
      </c>
      <c r="M899" s="1" t="s">
        <v>3009</v>
      </c>
      <c r="N899" s="1">
        <v>1676</v>
      </c>
      <c r="O899" s="1" t="s">
        <v>976</v>
      </c>
      <c r="P899" s="5">
        <v>641.9</v>
      </c>
      <c r="Q899" s="5">
        <v>0</v>
      </c>
      <c r="R899" s="5">
        <v>630</v>
      </c>
      <c r="S899" s="5">
        <v>11.9</v>
      </c>
      <c r="T899" s="5" t="s">
        <v>22</v>
      </c>
      <c r="U899" s="5" t="s">
        <v>2535</v>
      </c>
      <c r="V899" s="5" t="s">
        <v>868</v>
      </c>
      <c r="AB899"/>
      <c r="AC899"/>
      <c r="AD899"/>
    </row>
    <row r="900" spans="1:30" x14ac:dyDescent="0.25">
      <c r="A900" t="s">
        <v>5238</v>
      </c>
      <c r="B900" t="s">
        <v>5239</v>
      </c>
      <c r="C900" s="9" t="s">
        <v>5240</v>
      </c>
      <c r="D900" s="9">
        <v>999287799</v>
      </c>
      <c r="E900" s="5" t="s">
        <v>3013</v>
      </c>
      <c r="F900" s="1" t="s">
        <v>3067</v>
      </c>
      <c r="G900" s="25">
        <v>44565</v>
      </c>
      <c r="H900" s="1" t="s">
        <v>5241</v>
      </c>
      <c r="I900" s="14" t="s">
        <v>2813</v>
      </c>
      <c r="J900" s="1" t="s">
        <v>3006</v>
      </c>
      <c r="K900" s="14" t="s">
        <v>3007</v>
      </c>
      <c r="L900" s="1" t="s">
        <v>3008</v>
      </c>
      <c r="M900" s="1" t="s">
        <v>3009</v>
      </c>
      <c r="N900" s="1">
        <v>1576</v>
      </c>
      <c r="O900" s="1" t="s">
        <v>976</v>
      </c>
      <c r="P900" s="5">
        <v>522.32000000000005</v>
      </c>
      <c r="Q900" s="5">
        <v>0</v>
      </c>
      <c r="R900" s="5">
        <v>490</v>
      </c>
      <c r="S900" s="5">
        <v>32.32</v>
      </c>
      <c r="T900" s="5" t="s">
        <v>22</v>
      </c>
      <c r="U900" s="5" t="s">
        <v>2508</v>
      </c>
      <c r="V900" s="5" t="s">
        <v>787</v>
      </c>
      <c r="AB900"/>
      <c r="AC900"/>
      <c r="AD900"/>
    </row>
    <row r="901" spans="1:30" x14ac:dyDescent="0.25">
      <c r="A901" t="s">
        <v>5242</v>
      </c>
      <c r="B901" t="s">
        <v>5243</v>
      </c>
      <c r="C901" s="9" t="s">
        <v>5244</v>
      </c>
      <c r="D901" s="9">
        <v>999496232</v>
      </c>
      <c r="E901" s="5" t="s">
        <v>3003</v>
      </c>
      <c r="F901" s="1" t="s">
        <v>3004</v>
      </c>
      <c r="G901" s="25">
        <v>44538</v>
      </c>
      <c r="H901" s="1" t="s">
        <v>3015</v>
      </c>
      <c r="I901" s="14" t="s">
        <v>252</v>
      </c>
      <c r="J901" s="1" t="s">
        <v>3006</v>
      </c>
      <c r="K901" s="14" t="s">
        <v>3007</v>
      </c>
      <c r="L901" s="1" t="s">
        <v>3008</v>
      </c>
      <c r="M901" s="1" t="s">
        <v>3009</v>
      </c>
      <c r="N901" s="1">
        <v>1383</v>
      </c>
      <c r="O901" s="1" t="s">
        <v>976</v>
      </c>
      <c r="P901" s="5">
        <v>1681</v>
      </c>
      <c r="Q901" s="5">
        <v>0</v>
      </c>
      <c r="R901" s="5">
        <v>1665</v>
      </c>
      <c r="S901" s="5">
        <v>16</v>
      </c>
      <c r="T901" s="5" t="s">
        <v>22</v>
      </c>
      <c r="V901" s="5" t="s">
        <v>252</v>
      </c>
      <c r="AB901"/>
      <c r="AC901"/>
      <c r="AD901"/>
    </row>
    <row r="902" spans="1:30" x14ac:dyDescent="0.25">
      <c r="A902" t="s">
        <v>5245</v>
      </c>
      <c r="B902" t="s">
        <v>5246</v>
      </c>
      <c r="C902" s="9" t="s">
        <v>5247</v>
      </c>
      <c r="D902" s="9">
        <v>991119747</v>
      </c>
      <c r="E902" s="5" t="s">
        <v>3187</v>
      </c>
      <c r="F902" s="1" t="s">
        <v>3188</v>
      </c>
      <c r="G902" s="25">
        <v>44585</v>
      </c>
      <c r="H902" s="1" t="s">
        <v>3640</v>
      </c>
      <c r="I902" s="14" t="s">
        <v>2930</v>
      </c>
      <c r="J902" s="1" t="s">
        <v>3006</v>
      </c>
      <c r="K902" s="14" t="s">
        <v>3007</v>
      </c>
      <c r="L902" s="1" t="s">
        <v>3008</v>
      </c>
      <c r="M902" s="1" t="s">
        <v>3009</v>
      </c>
      <c r="N902" s="1">
        <v>1714</v>
      </c>
      <c r="O902" s="1" t="s">
        <v>976</v>
      </c>
      <c r="P902" s="5">
        <v>650</v>
      </c>
      <c r="Q902" s="5">
        <v>0</v>
      </c>
      <c r="R902" s="5">
        <v>650</v>
      </c>
      <c r="S902" s="5">
        <v>0</v>
      </c>
      <c r="T902" s="5" t="s">
        <v>24</v>
      </c>
      <c r="U902" s="5" t="s">
        <v>2447</v>
      </c>
      <c r="V902" s="5" t="s">
        <v>919</v>
      </c>
      <c r="AB902"/>
      <c r="AC902"/>
      <c r="AD902"/>
    </row>
    <row r="903" spans="1:30" x14ac:dyDescent="0.25">
      <c r="A903" t="s">
        <v>5245</v>
      </c>
      <c r="B903" t="s">
        <v>5246</v>
      </c>
      <c r="C903" s="9" t="s">
        <v>5247</v>
      </c>
      <c r="D903" s="9">
        <v>991119747</v>
      </c>
      <c r="E903" s="5" t="s">
        <v>3187</v>
      </c>
      <c r="F903" s="1" t="s">
        <v>3188</v>
      </c>
      <c r="G903" s="25">
        <v>44585</v>
      </c>
      <c r="H903" s="1" t="s">
        <v>5248</v>
      </c>
      <c r="I903" s="14" t="s">
        <v>2930</v>
      </c>
      <c r="J903" s="1" t="s">
        <v>3006</v>
      </c>
      <c r="K903" s="14" t="s">
        <v>3007</v>
      </c>
      <c r="L903" s="1" t="s">
        <v>3008</v>
      </c>
      <c r="M903" s="1" t="s">
        <v>3009</v>
      </c>
      <c r="N903" s="1">
        <v>1714</v>
      </c>
      <c r="O903" s="1" t="s">
        <v>976</v>
      </c>
      <c r="P903" s="5">
        <v>650</v>
      </c>
      <c r="Q903" s="5">
        <v>0</v>
      </c>
      <c r="R903" s="5">
        <v>650</v>
      </c>
      <c r="S903" s="5">
        <v>0</v>
      </c>
      <c r="T903" s="5" t="s">
        <v>24</v>
      </c>
      <c r="U903" s="5" t="s">
        <v>2482</v>
      </c>
      <c r="V903" s="5" t="s">
        <v>922</v>
      </c>
      <c r="AB903"/>
      <c r="AC903"/>
      <c r="AD903"/>
    </row>
    <row r="904" spans="1:30" x14ac:dyDescent="0.25">
      <c r="A904" t="s">
        <v>5249</v>
      </c>
      <c r="B904" t="s">
        <v>5250</v>
      </c>
      <c r="C904" s="9" t="s">
        <v>5251</v>
      </c>
      <c r="D904" s="9">
        <v>992358735</v>
      </c>
      <c r="E904" s="5" t="s">
        <v>3133</v>
      </c>
      <c r="F904" s="1" t="s">
        <v>3248</v>
      </c>
      <c r="G904" s="25">
        <v>44399</v>
      </c>
      <c r="H904" s="1" t="s">
        <v>3015</v>
      </c>
      <c r="I904" s="14" t="s">
        <v>252</v>
      </c>
      <c r="J904" s="1" t="s">
        <v>3006</v>
      </c>
      <c r="K904" s="14" t="s">
        <v>3007</v>
      </c>
      <c r="L904" s="1" t="s">
        <v>3008</v>
      </c>
      <c r="M904" s="1" t="s">
        <v>3009</v>
      </c>
      <c r="N904" s="1">
        <v>681</v>
      </c>
      <c r="O904" s="1" t="s">
        <v>976</v>
      </c>
      <c r="P904" s="5">
        <v>1106.57</v>
      </c>
      <c r="Q904" s="5">
        <v>120</v>
      </c>
      <c r="R904" s="5">
        <v>1200</v>
      </c>
      <c r="S904" s="5">
        <v>26.57</v>
      </c>
      <c r="T904" s="5" t="s">
        <v>22</v>
      </c>
      <c r="V904" s="5" t="s">
        <v>252</v>
      </c>
      <c r="AB904"/>
      <c r="AC904"/>
      <c r="AD904"/>
    </row>
    <row r="905" spans="1:30" x14ac:dyDescent="0.25">
      <c r="A905" t="s">
        <v>5252</v>
      </c>
      <c r="B905" t="s">
        <v>5253</v>
      </c>
      <c r="C905" s="9" t="s">
        <v>5254</v>
      </c>
      <c r="D905" s="9">
        <v>983129287</v>
      </c>
      <c r="E905" s="5" t="s">
        <v>3187</v>
      </c>
      <c r="F905" s="1" t="s">
        <v>3188</v>
      </c>
      <c r="G905" s="25">
        <v>44522</v>
      </c>
      <c r="H905" s="1" t="s">
        <v>4641</v>
      </c>
      <c r="I905" s="14" t="s">
        <v>2867</v>
      </c>
      <c r="J905" s="1" t="s">
        <v>3006</v>
      </c>
      <c r="K905" s="14" t="s">
        <v>3007</v>
      </c>
      <c r="L905" s="1" t="s">
        <v>3008</v>
      </c>
      <c r="M905" s="1" t="s">
        <v>3009</v>
      </c>
      <c r="N905" s="1">
        <v>1245</v>
      </c>
      <c r="O905" s="1" t="s">
        <v>976</v>
      </c>
      <c r="P905" s="5">
        <v>459.24</v>
      </c>
      <c r="Q905" s="5">
        <v>48.5</v>
      </c>
      <c r="R905" s="5">
        <v>485</v>
      </c>
      <c r="S905" s="5">
        <v>22.74</v>
      </c>
      <c r="T905" s="5" t="s">
        <v>23</v>
      </c>
      <c r="U905" s="5" t="s">
        <v>2482</v>
      </c>
      <c r="V905" s="5" t="s">
        <v>869</v>
      </c>
      <c r="AB905"/>
      <c r="AC905"/>
      <c r="AD905"/>
    </row>
    <row r="906" spans="1:30" x14ac:dyDescent="0.25">
      <c r="A906" t="s">
        <v>5255</v>
      </c>
      <c r="B906" t="s">
        <v>5256</v>
      </c>
      <c r="C906" s="9" t="s">
        <v>5257</v>
      </c>
      <c r="D906" s="9">
        <v>995399943</v>
      </c>
      <c r="E906" s="5" t="s">
        <v>3003</v>
      </c>
      <c r="F906" s="1" t="s">
        <v>3004</v>
      </c>
      <c r="G906" s="25">
        <v>44189</v>
      </c>
      <c r="H906" s="1" t="s">
        <v>4686</v>
      </c>
      <c r="I906" s="14" t="s">
        <v>2888</v>
      </c>
      <c r="J906" s="1" t="s">
        <v>3006</v>
      </c>
      <c r="K906" s="14" t="s">
        <v>3007</v>
      </c>
      <c r="L906" s="1" t="s">
        <v>3008</v>
      </c>
      <c r="M906" s="1" t="s">
        <v>3016</v>
      </c>
      <c r="N906" s="1">
        <v>132</v>
      </c>
      <c r="O906" s="1" t="s">
        <v>976</v>
      </c>
      <c r="P906" s="5">
        <v>245.58</v>
      </c>
      <c r="Q906" s="5">
        <v>0</v>
      </c>
      <c r="R906" s="5">
        <v>230</v>
      </c>
      <c r="S906" s="5">
        <v>15.58</v>
      </c>
      <c r="T906" s="5" t="s">
        <v>22</v>
      </c>
      <c r="U906" s="5" t="s">
        <v>2482</v>
      </c>
      <c r="V906" s="5" t="s">
        <v>897</v>
      </c>
      <c r="AB906"/>
      <c r="AC906"/>
      <c r="AD906"/>
    </row>
    <row r="907" spans="1:30" x14ac:dyDescent="0.25">
      <c r="A907" t="s">
        <v>5258</v>
      </c>
      <c r="B907" t="s">
        <v>5259</v>
      </c>
      <c r="C907" s="9" t="s">
        <v>5260</v>
      </c>
      <c r="D907" s="9">
        <v>982392233</v>
      </c>
      <c r="E907" s="5" t="s">
        <v>3003</v>
      </c>
      <c r="F907" s="1" t="s">
        <v>3004</v>
      </c>
      <c r="G907" s="25">
        <v>44517</v>
      </c>
      <c r="H907" s="1" t="s">
        <v>3298</v>
      </c>
      <c r="I907" s="14" t="s">
        <v>557</v>
      </c>
      <c r="J907" s="1" t="s">
        <v>3006</v>
      </c>
      <c r="K907" s="14" t="s">
        <v>3007</v>
      </c>
      <c r="L907" s="1" t="s">
        <v>3008</v>
      </c>
      <c r="M907" s="1" t="s">
        <v>3016</v>
      </c>
      <c r="N907" s="1">
        <v>1218</v>
      </c>
      <c r="O907" s="1" t="s">
        <v>976</v>
      </c>
      <c r="P907" s="5">
        <v>191.66</v>
      </c>
      <c r="Q907" s="5">
        <v>0</v>
      </c>
      <c r="R907" s="5">
        <v>180</v>
      </c>
      <c r="S907" s="5">
        <v>11.66</v>
      </c>
      <c r="T907" s="5" t="s">
        <v>24</v>
      </c>
      <c r="V907" s="5" t="s">
        <v>557</v>
      </c>
      <c r="AB907"/>
      <c r="AC907"/>
      <c r="AD907"/>
    </row>
    <row r="908" spans="1:30" x14ac:dyDescent="0.25">
      <c r="A908" t="s">
        <v>5261</v>
      </c>
      <c r="B908" t="s">
        <v>5262</v>
      </c>
      <c r="C908" s="9" t="s">
        <v>5263</v>
      </c>
      <c r="D908" s="9">
        <v>981227501</v>
      </c>
      <c r="E908" s="5" t="s">
        <v>3041</v>
      </c>
      <c r="F908" s="1" t="s">
        <v>3042</v>
      </c>
      <c r="G908" s="25">
        <v>44174</v>
      </c>
      <c r="H908" s="1" t="s">
        <v>3610</v>
      </c>
      <c r="I908" s="14" t="s">
        <v>2841</v>
      </c>
      <c r="J908" s="1" t="s">
        <v>3006</v>
      </c>
      <c r="K908" s="14" t="s">
        <v>3007</v>
      </c>
      <c r="L908" s="1" t="s">
        <v>3008</v>
      </c>
      <c r="M908" s="1" t="s">
        <v>3016</v>
      </c>
      <c r="N908" s="1">
        <v>75</v>
      </c>
      <c r="O908" s="1" t="s">
        <v>976</v>
      </c>
      <c r="P908" s="5">
        <v>114.94</v>
      </c>
      <c r="Q908" s="5">
        <v>0</v>
      </c>
      <c r="R908" s="5">
        <v>95</v>
      </c>
      <c r="S908" s="5">
        <v>19.940000000000001</v>
      </c>
      <c r="T908" s="5">
        <v>41</v>
      </c>
      <c r="U908" s="5" t="s">
        <v>2482</v>
      </c>
      <c r="V908" s="5" t="s">
        <v>827</v>
      </c>
      <c r="AB908"/>
      <c r="AC908"/>
      <c r="AD908"/>
    </row>
    <row r="909" spans="1:30" x14ac:dyDescent="0.25">
      <c r="A909" t="s">
        <v>5264</v>
      </c>
      <c r="B909" t="s">
        <v>5265</v>
      </c>
      <c r="C909" s="9" t="s">
        <v>5266</v>
      </c>
      <c r="D909" s="9">
        <v>981579681</v>
      </c>
      <c r="E909" s="5" t="s">
        <v>3420</v>
      </c>
      <c r="F909" s="1" t="s">
        <v>5267</v>
      </c>
      <c r="G909" s="25">
        <v>44543</v>
      </c>
      <c r="H909" s="1" t="s">
        <v>3363</v>
      </c>
      <c r="I909" s="14" t="s">
        <v>308</v>
      </c>
      <c r="J909" s="1" t="s">
        <v>3006</v>
      </c>
      <c r="K909" s="14" t="s">
        <v>3007</v>
      </c>
      <c r="L909" s="1" t="s">
        <v>3008</v>
      </c>
      <c r="M909" s="1" t="s">
        <v>3009</v>
      </c>
      <c r="N909" s="1">
        <v>1433</v>
      </c>
      <c r="O909" s="1" t="s">
        <v>976</v>
      </c>
      <c r="P909" s="5">
        <v>744.44</v>
      </c>
      <c r="Q909" s="5">
        <v>79</v>
      </c>
      <c r="R909" s="5">
        <v>790</v>
      </c>
      <c r="S909" s="5">
        <v>33.44</v>
      </c>
      <c r="T909" s="5" t="s">
        <v>22</v>
      </c>
      <c r="V909" s="5" t="s">
        <v>308</v>
      </c>
      <c r="AB909"/>
      <c r="AC909"/>
      <c r="AD909"/>
    </row>
    <row r="910" spans="1:30" x14ac:dyDescent="0.25">
      <c r="A910" t="s">
        <v>5268</v>
      </c>
      <c r="B910" t="s">
        <v>5269</v>
      </c>
      <c r="C910" s="9" t="s">
        <v>5270</v>
      </c>
      <c r="D910" s="9" t="s">
        <v>5271</v>
      </c>
      <c r="E910" s="5" t="s">
        <v>3003</v>
      </c>
      <c r="F910" s="1" t="s">
        <v>3004</v>
      </c>
      <c r="G910" s="25">
        <v>44540</v>
      </c>
      <c r="H910" s="1" t="s">
        <v>5272</v>
      </c>
      <c r="I910" s="14" t="s">
        <v>2870</v>
      </c>
      <c r="J910" s="1" t="s">
        <v>3006</v>
      </c>
      <c r="K910" s="14" t="s">
        <v>3007</v>
      </c>
      <c r="L910" s="1" t="s">
        <v>3008</v>
      </c>
      <c r="M910" s="1" t="s">
        <v>3016</v>
      </c>
      <c r="N910" s="1">
        <v>1418</v>
      </c>
      <c r="O910" s="1" t="s">
        <v>976</v>
      </c>
      <c r="P910" s="5">
        <v>30</v>
      </c>
      <c r="Q910" s="5">
        <v>360</v>
      </c>
      <c r="R910" s="5">
        <v>390</v>
      </c>
      <c r="S910" s="5">
        <v>0</v>
      </c>
      <c r="T910" s="5" t="s">
        <v>25</v>
      </c>
      <c r="U910" s="5" t="s">
        <v>2528</v>
      </c>
      <c r="V910" s="5" t="s">
        <v>874</v>
      </c>
      <c r="AB910"/>
      <c r="AC910"/>
      <c r="AD910"/>
    </row>
    <row r="911" spans="1:30" x14ac:dyDescent="0.25">
      <c r="A911" t="s">
        <v>5273</v>
      </c>
      <c r="B911" t="s">
        <v>5274</v>
      </c>
      <c r="C911" s="9" t="s">
        <v>5275</v>
      </c>
      <c r="D911" s="9" t="s">
        <v>5276</v>
      </c>
      <c r="E911" s="5" t="s">
        <v>3514</v>
      </c>
      <c r="F911" s="1" t="s">
        <v>5277</v>
      </c>
      <c r="G911" s="25">
        <v>44128</v>
      </c>
      <c r="H911" s="1" t="s">
        <v>4534</v>
      </c>
      <c r="I911" s="14" t="s">
        <v>372</v>
      </c>
      <c r="J911" s="1" t="s">
        <v>3006</v>
      </c>
      <c r="K911" s="14" t="s">
        <v>3007</v>
      </c>
      <c r="L911" s="1" t="s">
        <v>3614</v>
      </c>
      <c r="M911" s="1" t="s">
        <v>3009</v>
      </c>
      <c r="N911" s="1">
        <v>40</v>
      </c>
      <c r="O911" s="1" t="s">
        <v>976</v>
      </c>
      <c r="P911" s="5">
        <v>785</v>
      </c>
      <c r="Q911" s="5">
        <v>0</v>
      </c>
      <c r="R911" s="5">
        <v>785</v>
      </c>
      <c r="S911" s="5">
        <v>0</v>
      </c>
      <c r="T911" s="5" t="s">
        <v>23</v>
      </c>
      <c r="V911" s="5" t="s">
        <v>372</v>
      </c>
      <c r="AB911"/>
      <c r="AC911"/>
      <c r="AD911"/>
    </row>
    <row r="912" spans="1:30" x14ac:dyDescent="0.25">
      <c r="A912" t="s">
        <v>5278</v>
      </c>
      <c r="B912" t="s">
        <v>5279</v>
      </c>
      <c r="C912" s="9" t="s">
        <v>5280</v>
      </c>
      <c r="D912" s="9" t="s">
        <v>5281</v>
      </c>
      <c r="E912" s="5" t="s">
        <v>3003</v>
      </c>
      <c r="F912" s="1" t="s">
        <v>3004</v>
      </c>
      <c r="G912" s="25">
        <v>44589</v>
      </c>
      <c r="H912" s="1" t="s">
        <v>5282</v>
      </c>
      <c r="I912" s="14" t="s">
        <v>2814</v>
      </c>
      <c r="J912" s="1" t="s">
        <v>3006</v>
      </c>
      <c r="K912" s="14" t="s">
        <v>3007</v>
      </c>
      <c r="L912" s="1" t="s">
        <v>3008</v>
      </c>
      <c r="M912" s="1" t="s">
        <v>3009</v>
      </c>
      <c r="N912" s="1">
        <v>1732</v>
      </c>
      <c r="O912" s="1" t="s">
        <v>976</v>
      </c>
      <c r="P912" s="5">
        <v>517.5</v>
      </c>
      <c r="Q912" s="5">
        <v>57.5</v>
      </c>
      <c r="R912" s="5">
        <v>575</v>
      </c>
      <c r="S912" s="5">
        <v>0</v>
      </c>
      <c r="T912" s="5" t="s">
        <v>24</v>
      </c>
      <c r="U912" s="5" t="s">
        <v>2472</v>
      </c>
      <c r="V912" s="5" t="s">
        <v>788</v>
      </c>
      <c r="AB912"/>
      <c r="AC912"/>
      <c r="AD912"/>
    </row>
    <row r="913" spans="1:30" x14ac:dyDescent="0.25">
      <c r="A913" t="s">
        <v>5278</v>
      </c>
      <c r="B913" t="s">
        <v>5279</v>
      </c>
      <c r="C913" s="9" t="s">
        <v>5280</v>
      </c>
      <c r="D913" s="9" t="s">
        <v>5281</v>
      </c>
      <c r="E913" s="5" t="s">
        <v>3003</v>
      </c>
      <c r="F913" s="1" t="s">
        <v>3004</v>
      </c>
      <c r="G913" s="25">
        <v>44589</v>
      </c>
      <c r="H913" s="1" t="s">
        <v>5283</v>
      </c>
      <c r="I913" s="14" t="s">
        <v>486</v>
      </c>
      <c r="J913" s="1" t="s">
        <v>3006</v>
      </c>
      <c r="K913" s="14" t="s">
        <v>3007</v>
      </c>
      <c r="L913" s="1" t="s">
        <v>3008</v>
      </c>
      <c r="M913" s="1" t="s">
        <v>3009</v>
      </c>
      <c r="N913" s="1">
        <v>1732</v>
      </c>
      <c r="O913" s="1" t="s">
        <v>976</v>
      </c>
      <c r="P913" s="5">
        <v>283.5</v>
      </c>
      <c r="Q913" s="5">
        <v>31.5</v>
      </c>
      <c r="R913" s="5">
        <v>315</v>
      </c>
      <c r="S913" s="5">
        <v>0</v>
      </c>
      <c r="T913" s="5" t="s">
        <v>25</v>
      </c>
      <c r="V913" s="5" t="s">
        <v>486</v>
      </c>
      <c r="AB913"/>
      <c r="AC913"/>
      <c r="AD913"/>
    </row>
    <row r="914" spans="1:30" x14ac:dyDescent="0.25">
      <c r="A914" t="s">
        <v>5278</v>
      </c>
      <c r="B914" t="s">
        <v>5279</v>
      </c>
      <c r="C914" s="9" t="s">
        <v>5280</v>
      </c>
      <c r="D914" s="9" t="s">
        <v>5281</v>
      </c>
      <c r="E914" s="5" t="s">
        <v>3003</v>
      </c>
      <c r="F914" s="1" t="s">
        <v>3004</v>
      </c>
      <c r="G914" s="25">
        <v>44589</v>
      </c>
      <c r="H914" s="1" t="s">
        <v>4126</v>
      </c>
      <c r="I914" s="14" t="s">
        <v>2930</v>
      </c>
      <c r="J914" s="1" t="s">
        <v>3006</v>
      </c>
      <c r="K914" s="14" t="s">
        <v>3007</v>
      </c>
      <c r="L914" s="1" t="s">
        <v>3008</v>
      </c>
      <c r="M914" s="1" t="s">
        <v>3009</v>
      </c>
      <c r="N914" s="1">
        <v>1732</v>
      </c>
      <c r="O914" s="1" t="s">
        <v>976</v>
      </c>
      <c r="P914" s="5">
        <v>585</v>
      </c>
      <c r="Q914" s="5">
        <v>65</v>
      </c>
      <c r="R914" s="5">
        <v>650</v>
      </c>
      <c r="S914" s="5">
        <v>0</v>
      </c>
      <c r="T914" s="5" t="s">
        <v>25</v>
      </c>
      <c r="U914" s="5" t="s">
        <v>2443</v>
      </c>
      <c r="V914" s="5" t="s">
        <v>920</v>
      </c>
      <c r="AB914"/>
      <c r="AC914"/>
      <c r="AD914"/>
    </row>
    <row r="915" spans="1:30" x14ac:dyDescent="0.25">
      <c r="A915" t="s">
        <v>5284</v>
      </c>
      <c r="B915" t="s">
        <v>5285</v>
      </c>
      <c r="C915" s="9" t="s">
        <v>5286</v>
      </c>
      <c r="D915" s="9" t="s">
        <v>976</v>
      </c>
      <c r="E915" s="5" t="s">
        <v>3514</v>
      </c>
      <c r="F915" s="1" t="s">
        <v>5287</v>
      </c>
      <c r="G915" s="25">
        <v>44574</v>
      </c>
      <c r="H915" s="1" t="s">
        <v>3738</v>
      </c>
      <c r="I915" s="14" t="s">
        <v>227</v>
      </c>
      <c r="J915" s="1" t="s">
        <v>3006</v>
      </c>
      <c r="K915" s="14" t="s">
        <v>3007</v>
      </c>
      <c r="L915" s="1" t="s">
        <v>3008</v>
      </c>
      <c r="M915" s="1" t="s">
        <v>3009</v>
      </c>
      <c r="N915" s="1">
        <v>1639</v>
      </c>
      <c r="O915" s="1" t="s">
        <v>976</v>
      </c>
      <c r="P915" s="5">
        <v>604.15</v>
      </c>
      <c r="Q915" s="5">
        <v>0</v>
      </c>
      <c r="R915" s="5">
        <v>599</v>
      </c>
      <c r="S915" s="5">
        <v>5.15</v>
      </c>
      <c r="T915" s="5" t="s">
        <v>22</v>
      </c>
      <c r="V915" s="5" t="s">
        <v>227</v>
      </c>
      <c r="AB915"/>
      <c r="AC915"/>
      <c r="AD915"/>
    </row>
    <row r="916" spans="1:30" x14ac:dyDescent="0.25">
      <c r="A916" t="s">
        <v>5284</v>
      </c>
      <c r="B916" t="s">
        <v>5285</v>
      </c>
      <c r="C916" s="9" t="s">
        <v>5286</v>
      </c>
      <c r="D916" s="9" t="s">
        <v>976</v>
      </c>
      <c r="E916" s="5" t="s">
        <v>3514</v>
      </c>
      <c r="F916" s="1" t="s">
        <v>5287</v>
      </c>
      <c r="G916" s="25">
        <v>44574</v>
      </c>
      <c r="H916" s="1" t="s">
        <v>3298</v>
      </c>
      <c r="I916" s="14" t="s">
        <v>557</v>
      </c>
      <c r="J916" s="1" t="s">
        <v>3006</v>
      </c>
      <c r="K916" s="14" t="s">
        <v>3007</v>
      </c>
      <c r="L916" s="1" t="s">
        <v>3008</v>
      </c>
      <c r="M916" s="1" t="s">
        <v>3009</v>
      </c>
      <c r="N916" s="1">
        <v>1639</v>
      </c>
      <c r="O916" s="1" t="s">
        <v>976</v>
      </c>
      <c r="P916" s="5">
        <v>181.55</v>
      </c>
      <c r="Q916" s="5">
        <v>0</v>
      </c>
      <c r="R916" s="5">
        <v>180</v>
      </c>
      <c r="S916" s="5">
        <v>1.55</v>
      </c>
      <c r="T916" s="5" t="s">
        <v>24</v>
      </c>
      <c r="V916" s="5" t="s">
        <v>557</v>
      </c>
      <c r="AB916"/>
      <c r="AC916"/>
      <c r="AD916"/>
    </row>
    <row r="917" spans="1:30" x14ac:dyDescent="0.25">
      <c r="A917" t="s">
        <v>5284</v>
      </c>
      <c r="B917" t="s">
        <v>5285</v>
      </c>
      <c r="C917" s="9" t="s">
        <v>5286</v>
      </c>
      <c r="D917" s="9" t="s">
        <v>976</v>
      </c>
      <c r="E917" s="5" t="s">
        <v>3514</v>
      </c>
      <c r="F917" s="1" t="s">
        <v>5287</v>
      </c>
      <c r="G917" s="25">
        <v>44574</v>
      </c>
      <c r="H917" s="1" t="s">
        <v>3363</v>
      </c>
      <c r="I917" s="14" t="s">
        <v>308</v>
      </c>
      <c r="J917" s="1" t="s">
        <v>3006</v>
      </c>
      <c r="K917" s="14" t="s">
        <v>3007</v>
      </c>
      <c r="L917" s="1" t="s">
        <v>3008</v>
      </c>
      <c r="M917" s="1" t="s">
        <v>3009</v>
      </c>
      <c r="N917" s="1">
        <v>1639</v>
      </c>
      <c r="O917" s="1" t="s">
        <v>976</v>
      </c>
      <c r="P917" s="5">
        <v>796.79</v>
      </c>
      <c r="Q917" s="5">
        <v>0</v>
      </c>
      <c r="R917" s="5">
        <v>790</v>
      </c>
      <c r="S917" s="5">
        <v>6.79</v>
      </c>
      <c r="T917" s="5" t="s">
        <v>22</v>
      </c>
      <c r="V917" s="5" t="s">
        <v>308</v>
      </c>
      <c r="AB917"/>
      <c r="AC917"/>
      <c r="AD917"/>
    </row>
    <row r="918" spans="1:30" x14ac:dyDescent="0.25">
      <c r="A918" t="s">
        <v>5284</v>
      </c>
      <c r="B918" t="s">
        <v>5285</v>
      </c>
      <c r="C918" s="9" t="s">
        <v>5286</v>
      </c>
      <c r="D918" s="9" t="s">
        <v>976</v>
      </c>
      <c r="E918" s="5" t="s">
        <v>3514</v>
      </c>
      <c r="F918" s="1" t="s">
        <v>5287</v>
      </c>
      <c r="G918" s="25">
        <v>44574</v>
      </c>
      <c r="H918" s="1" t="s">
        <v>4744</v>
      </c>
      <c r="I918" s="14" t="s">
        <v>327</v>
      </c>
      <c r="J918" s="1" t="s">
        <v>3006</v>
      </c>
      <c r="K918" s="14" t="s">
        <v>3007</v>
      </c>
      <c r="L918" s="1" t="s">
        <v>3008</v>
      </c>
      <c r="M918" s="1" t="s">
        <v>3009</v>
      </c>
      <c r="N918" s="1">
        <v>1639</v>
      </c>
      <c r="O918" s="1" t="s">
        <v>976</v>
      </c>
      <c r="P918" s="5">
        <v>887.56</v>
      </c>
      <c r="Q918" s="5">
        <v>0</v>
      </c>
      <c r="R918" s="5">
        <v>880</v>
      </c>
      <c r="S918" s="5">
        <v>7.56</v>
      </c>
      <c r="T918" s="5" t="s">
        <v>23</v>
      </c>
      <c r="V918" s="5" t="s">
        <v>327</v>
      </c>
      <c r="AB918"/>
      <c r="AC918"/>
      <c r="AD918"/>
    </row>
    <row r="919" spans="1:30" x14ac:dyDescent="0.25">
      <c r="A919" t="s">
        <v>5284</v>
      </c>
      <c r="B919" t="s">
        <v>5285</v>
      </c>
      <c r="C919" s="9" t="s">
        <v>5286</v>
      </c>
      <c r="D919" s="9" t="s">
        <v>976</v>
      </c>
      <c r="E919" s="5" t="s">
        <v>3514</v>
      </c>
      <c r="F919" s="1" t="s">
        <v>5287</v>
      </c>
      <c r="G919" s="25">
        <v>44574</v>
      </c>
      <c r="H919" s="1" t="s">
        <v>4933</v>
      </c>
      <c r="I919" s="14" t="s">
        <v>2877</v>
      </c>
      <c r="J919" s="1" t="s">
        <v>3006</v>
      </c>
      <c r="K919" s="14" t="s">
        <v>3007</v>
      </c>
      <c r="L919" s="1" t="s">
        <v>3008</v>
      </c>
      <c r="M919" s="1" t="s">
        <v>3009</v>
      </c>
      <c r="N919" s="1">
        <v>1639</v>
      </c>
      <c r="O919" s="1" t="s">
        <v>976</v>
      </c>
      <c r="P919" s="5">
        <v>877.47</v>
      </c>
      <c r="Q919" s="5">
        <v>0</v>
      </c>
      <c r="R919" s="5">
        <v>870</v>
      </c>
      <c r="S919" s="5">
        <v>7.47</v>
      </c>
      <c r="T919" s="5" t="s">
        <v>23</v>
      </c>
      <c r="U919" s="5" t="s">
        <v>2447</v>
      </c>
      <c r="V919" s="5" t="s">
        <v>883</v>
      </c>
      <c r="AB919"/>
      <c r="AC919"/>
      <c r="AD919"/>
    </row>
    <row r="920" spans="1:30" x14ac:dyDescent="0.25">
      <c r="A920" t="s">
        <v>5284</v>
      </c>
      <c r="B920" t="s">
        <v>5285</v>
      </c>
      <c r="C920" s="9" t="s">
        <v>5286</v>
      </c>
      <c r="D920" s="9" t="s">
        <v>976</v>
      </c>
      <c r="E920" s="5" t="s">
        <v>3514</v>
      </c>
      <c r="F920" s="1" t="s">
        <v>5287</v>
      </c>
      <c r="G920" s="25">
        <v>44574</v>
      </c>
      <c r="H920" s="1" t="s">
        <v>4890</v>
      </c>
      <c r="I920" s="14" t="s">
        <v>441</v>
      </c>
      <c r="J920" s="1" t="s">
        <v>3006</v>
      </c>
      <c r="K920" s="14" t="s">
        <v>3007</v>
      </c>
      <c r="L920" s="1" t="s">
        <v>3008</v>
      </c>
      <c r="M920" s="1" t="s">
        <v>3009</v>
      </c>
      <c r="N920" s="1">
        <v>1639</v>
      </c>
      <c r="O920" s="1" t="s">
        <v>976</v>
      </c>
      <c r="P920" s="5">
        <v>695.93</v>
      </c>
      <c r="Q920" s="5">
        <v>0</v>
      </c>
      <c r="R920" s="5">
        <v>690</v>
      </c>
      <c r="S920" s="5">
        <v>5.93</v>
      </c>
      <c r="T920" s="5">
        <v>40</v>
      </c>
      <c r="V920" s="5" t="s">
        <v>441</v>
      </c>
      <c r="AB920"/>
      <c r="AC920"/>
      <c r="AD920"/>
    </row>
    <row r="921" spans="1:30" x14ac:dyDescent="0.25">
      <c r="A921" t="s">
        <v>5288</v>
      </c>
      <c r="B921" t="s">
        <v>5289</v>
      </c>
      <c r="C921" s="9" t="s">
        <v>5290</v>
      </c>
      <c r="D921" s="9">
        <v>995232230</v>
      </c>
      <c r="E921" s="5" t="s">
        <v>3733</v>
      </c>
      <c r="F921" s="1" t="s">
        <v>3734</v>
      </c>
      <c r="G921" s="25">
        <v>44453</v>
      </c>
      <c r="H921" s="1" t="s">
        <v>3027</v>
      </c>
      <c r="I921" s="14" t="s">
        <v>254</v>
      </c>
      <c r="J921" s="1" t="s">
        <v>3006</v>
      </c>
      <c r="K921" s="14" t="s">
        <v>3007</v>
      </c>
      <c r="L921" s="1" t="s">
        <v>3008</v>
      </c>
      <c r="M921" s="1" t="s">
        <v>3009</v>
      </c>
      <c r="N921" s="1">
        <v>912</v>
      </c>
      <c r="O921" s="1" t="s">
        <v>976</v>
      </c>
      <c r="P921" s="5">
        <v>1237.5899999999999</v>
      </c>
      <c r="Q921" s="5">
        <v>133</v>
      </c>
      <c r="R921" s="5">
        <v>1330</v>
      </c>
      <c r="S921" s="5">
        <v>40.590000000000003</v>
      </c>
      <c r="T921" s="5" t="s">
        <v>22</v>
      </c>
      <c r="V921" s="5" t="s">
        <v>254</v>
      </c>
      <c r="AB921"/>
      <c r="AC921"/>
      <c r="AD921"/>
    </row>
    <row r="922" spans="1:30" x14ac:dyDescent="0.25">
      <c r="A922" t="s">
        <v>5291</v>
      </c>
      <c r="B922" t="s">
        <v>5292</v>
      </c>
      <c r="C922" s="9" t="s">
        <v>5293</v>
      </c>
      <c r="D922" s="9">
        <v>964588402</v>
      </c>
      <c r="E922" s="5" t="s">
        <v>3003</v>
      </c>
      <c r="F922" s="1" t="s">
        <v>3004</v>
      </c>
      <c r="G922" s="25">
        <v>44286</v>
      </c>
      <c r="H922" s="1" t="s">
        <v>3510</v>
      </c>
      <c r="I922" s="14" t="s">
        <v>2805</v>
      </c>
      <c r="J922" s="1" t="s">
        <v>3006</v>
      </c>
      <c r="K922" s="14" t="s">
        <v>3007</v>
      </c>
      <c r="L922" s="1" t="s">
        <v>3008</v>
      </c>
      <c r="M922" s="1" t="s">
        <v>3009</v>
      </c>
      <c r="N922" s="1">
        <v>296</v>
      </c>
      <c r="O922" s="1" t="s">
        <v>976</v>
      </c>
      <c r="P922" s="5">
        <v>484.95</v>
      </c>
      <c r="Q922" s="5">
        <v>0</v>
      </c>
      <c r="R922" s="5">
        <v>470</v>
      </c>
      <c r="S922" s="5">
        <v>14.95</v>
      </c>
      <c r="T922" s="5">
        <v>40</v>
      </c>
      <c r="U922" s="5" t="s">
        <v>2443</v>
      </c>
      <c r="V922" s="5" t="s">
        <v>776</v>
      </c>
      <c r="AB922"/>
      <c r="AC922"/>
      <c r="AD922"/>
    </row>
    <row r="923" spans="1:30" x14ac:dyDescent="0.25">
      <c r="A923" t="s">
        <v>5291</v>
      </c>
      <c r="B923" t="s">
        <v>5292</v>
      </c>
      <c r="C923" s="9" t="s">
        <v>5293</v>
      </c>
      <c r="D923" s="9">
        <v>964588402</v>
      </c>
      <c r="E923" s="5" t="s">
        <v>3003</v>
      </c>
      <c r="F923" s="1" t="s">
        <v>3004</v>
      </c>
      <c r="G923" s="25">
        <v>44294</v>
      </c>
      <c r="H923" s="1" t="s">
        <v>4685</v>
      </c>
      <c r="I923" s="14" t="s">
        <v>506</v>
      </c>
      <c r="J923" s="1" t="s">
        <v>3006</v>
      </c>
      <c r="K923" s="14" t="s">
        <v>3007</v>
      </c>
      <c r="L923" s="1" t="s">
        <v>3008</v>
      </c>
      <c r="M923" s="1" t="s">
        <v>3009</v>
      </c>
      <c r="N923" s="1">
        <v>308</v>
      </c>
      <c r="O923" s="1" t="s">
        <v>976</v>
      </c>
      <c r="P923" s="5">
        <v>314.10000000000002</v>
      </c>
      <c r="Q923" s="5">
        <v>34.9</v>
      </c>
      <c r="R923" s="5">
        <v>349</v>
      </c>
      <c r="S923" s="5">
        <v>0</v>
      </c>
      <c r="T923" s="5" t="s">
        <v>22</v>
      </c>
      <c r="V923" s="5" t="s">
        <v>506</v>
      </c>
      <c r="AB923"/>
      <c r="AC923"/>
      <c r="AD923"/>
    </row>
    <row r="924" spans="1:30" x14ac:dyDescent="0.25">
      <c r="A924" t="s">
        <v>5294</v>
      </c>
      <c r="B924" t="s">
        <v>5295</v>
      </c>
      <c r="C924" s="9" t="s">
        <v>5296</v>
      </c>
      <c r="D924" s="9">
        <v>984786179</v>
      </c>
      <c r="E924" s="5" t="s">
        <v>3133</v>
      </c>
      <c r="F924" s="1" t="s">
        <v>5297</v>
      </c>
      <c r="G924" s="25">
        <v>44402</v>
      </c>
      <c r="H924" s="1" t="s">
        <v>3015</v>
      </c>
      <c r="I924" s="14" t="s">
        <v>252</v>
      </c>
      <c r="J924" s="1" t="s">
        <v>3006</v>
      </c>
      <c r="K924" s="14" t="s">
        <v>3007</v>
      </c>
      <c r="L924" s="1" t="s">
        <v>3008</v>
      </c>
      <c r="M924" s="1" t="s">
        <v>3009</v>
      </c>
      <c r="N924" s="1">
        <v>694</v>
      </c>
      <c r="O924" s="1" t="s">
        <v>976</v>
      </c>
      <c r="P924" s="5">
        <v>1225.97</v>
      </c>
      <c r="Q924" s="5">
        <v>133</v>
      </c>
      <c r="R924" s="5">
        <v>1330</v>
      </c>
      <c r="S924" s="5">
        <v>28.97</v>
      </c>
      <c r="T924" s="5" t="s">
        <v>22</v>
      </c>
      <c r="V924" s="5" t="s">
        <v>252</v>
      </c>
      <c r="AB924"/>
      <c r="AC924"/>
      <c r="AD924"/>
    </row>
    <row r="925" spans="1:30" x14ac:dyDescent="0.25">
      <c r="A925" t="s">
        <v>5294</v>
      </c>
      <c r="B925" t="s">
        <v>5295</v>
      </c>
      <c r="C925" s="9" t="s">
        <v>5296</v>
      </c>
      <c r="D925" s="9">
        <v>984786179</v>
      </c>
      <c r="E925" s="5" t="s">
        <v>3133</v>
      </c>
      <c r="F925" s="1" t="s">
        <v>5297</v>
      </c>
      <c r="G925" s="25">
        <v>44600</v>
      </c>
      <c r="H925" s="1" t="s">
        <v>3036</v>
      </c>
      <c r="I925" s="14" t="s">
        <v>2805</v>
      </c>
      <c r="J925" s="1" t="s">
        <v>3006</v>
      </c>
      <c r="K925" s="14" t="s">
        <v>3007</v>
      </c>
      <c r="L925" s="1" t="s">
        <v>3008</v>
      </c>
      <c r="M925" s="1" t="s">
        <v>3009</v>
      </c>
      <c r="N925" s="1">
        <v>1771</v>
      </c>
      <c r="O925" s="1" t="s">
        <v>976</v>
      </c>
      <c r="P925" s="5">
        <v>510.97</v>
      </c>
      <c r="Q925" s="5">
        <v>87</v>
      </c>
      <c r="R925" s="5">
        <v>580</v>
      </c>
      <c r="S925" s="5">
        <v>17.97</v>
      </c>
      <c r="T925" s="5">
        <v>40</v>
      </c>
      <c r="U925" s="5" t="s">
        <v>2447</v>
      </c>
      <c r="V925" s="5" t="s">
        <v>773</v>
      </c>
      <c r="AB925"/>
      <c r="AC925"/>
      <c r="AD925"/>
    </row>
    <row r="926" spans="1:30" x14ac:dyDescent="0.25">
      <c r="A926" t="s">
        <v>5294</v>
      </c>
      <c r="B926" t="s">
        <v>5295</v>
      </c>
      <c r="C926" s="9" t="s">
        <v>5296</v>
      </c>
      <c r="D926" s="9">
        <v>984786179</v>
      </c>
      <c r="E926" s="5" t="s">
        <v>3133</v>
      </c>
      <c r="F926" s="1" t="s">
        <v>5297</v>
      </c>
      <c r="G926" s="25">
        <v>44600</v>
      </c>
      <c r="H926" s="1" t="s">
        <v>3220</v>
      </c>
      <c r="I926" s="14" t="s">
        <v>259</v>
      </c>
      <c r="J926" s="1" t="s">
        <v>3006</v>
      </c>
      <c r="K926" s="14" t="s">
        <v>3007</v>
      </c>
      <c r="L926" s="1" t="s">
        <v>3008</v>
      </c>
      <c r="M926" s="1" t="s">
        <v>3009</v>
      </c>
      <c r="N926" s="1">
        <v>1771</v>
      </c>
      <c r="O926" s="1" t="s">
        <v>976</v>
      </c>
      <c r="P926" s="5">
        <v>202.62</v>
      </c>
      <c r="Q926" s="5">
        <v>34.5</v>
      </c>
      <c r="R926" s="5">
        <v>230</v>
      </c>
      <c r="S926" s="5">
        <v>7.12</v>
      </c>
      <c r="T926" s="5" t="s">
        <v>23</v>
      </c>
      <c r="V926" s="5" t="s">
        <v>259</v>
      </c>
      <c r="AB926"/>
      <c r="AC926"/>
      <c r="AD926"/>
    </row>
    <row r="927" spans="1:30" x14ac:dyDescent="0.25">
      <c r="A927" t="s">
        <v>5294</v>
      </c>
      <c r="B927" t="s">
        <v>5295</v>
      </c>
      <c r="C927" s="9" t="s">
        <v>5296</v>
      </c>
      <c r="D927" s="9">
        <v>984786179</v>
      </c>
      <c r="E927" s="5" t="s">
        <v>3133</v>
      </c>
      <c r="F927" s="1" t="s">
        <v>5297</v>
      </c>
      <c r="G927" s="25">
        <v>44600</v>
      </c>
      <c r="H927" s="1" t="s">
        <v>4690</v>
      </c>
      <c r="I927" s="14" t="s">
        <v>2859</v>
      </c>
      <c r="J927" s="1" t="s">
        <v>3006</v>
      </c>
      <c r="K927" s="14" t="s">
        <v>3007</v>
      </c>
      <c r="L927" s="1" t="s">
        <v>3008</v>
      </c>
      <c r="M927" s="1" t="s">
        <v>3009</v>
      </c>
      <c r="N927" s="1">
        <v>1771</v>
      </c>
      <c r="O927" s="1" t="s">
        <v>976</v>
      </c>
      <c r="P927" s="5">
        <v>625.5</v>
      </c>
      <c r="Q927" s="5">
        <v>106.5</v>
      </c>
      <c r="R927" s="5">
        <v>710</v>
      </c>
      <c r="S927" s="5">
        <v>22</v>
      </c>
      <c r="T927" s="5" t="s">
        <v>23</v>
      </c>
      <c r="U927" s="5" t="s">
        <v>2472</v>
      </c>
      <c r="V927" s="5" t="s">
        <v>854</v>
      </c>
      <c r="AB927"/>
      <c r="AC927"/>
      <c r="AD927"/>
    </row>
    <row r="928" spans="1:30" x14ac:dyDescent="0.25">
      <c r="A928" t="s">
        <v>5298</v>
      </c>
      <c r="B928" t="s">
        <v>5299</v>
      </c>
      <c r="C928" s="9" t="s">
        <v>5300</v>
      </c>
      <c r="D928" s="9">
        <v>982096808</v>
      </c>
      <c r="E928" s="5" t="s">
        <v>3003</v>
      </c>
      <c r="F928" s="1" t="s">
        <v>3004</v>
      </c>
      <c r="G928" s="25">
        <v>44207</v>
      </c>
      <c r="H928" s="1" t="s">
        <v>3219</v>
      </c>
      <c r="I928" s="14" t="s">
        <v>2772</v>
      </c>
      <c r="J928" s="1" t="s">
        <v>3006</v>
      </c>
      <c r="K928" s="14" t="s">
        <v>3007</v>
      </c>
      <c r="L928" s="1" t="s">
        <v>3008</v>
      </c>
      <c r="M928" s="1" t="s">
        <v>3009</v>
      </c>
      <c r="N928" s="1">
        <v>146</v>
      </c>
      <c r="O928" s="1" t="s">
        <v>976</v>
      </c>
      <c r="P928" s="5">
        <v>405.61</v>
      </c>
      <c r="Q928" s="5">
        <v>0</v>
      </c>
      <c r="R928" s="5">
        <v>390</v>
      </c>
      <c r="S928" s="5">
        <v>15.61</v>
      </c>
      <c r="T928" s="5" t="s">
        <v>22</v>
      </c>
      <c r="U928" s="5" t="s">
        <v>2508</v>
      </c>
      <c r="V928" s="5" t="s">
        <v>735</v>
      </c>
      <c r="AB928"/>
      <c r="AC928"/>
      <c r="AD928"/>
    </row>
    <row r="929" spans="1:30" x14ac:dyDescent="0.25">
      <c r="A929" t="s">
        <v>5301</v>
      </c>
      <c r="B929" t="s">
        <v>5302</v>
      </c>
      <c r="C929" s="9" t="s">
        <v>5303</v>
      </c>
      <c r="D929" s="9">
        <v>980408300</v>
      </c>
      <c r="E929" s="5" t="s">
        <v>3013</v>
      </c>
      <c r="F929" s="1" t="s">
        <v>3067</v>
      </c>
      <c r="G929" s="25">
        <v>44255</v>
      </c>
      <c r="H929" s="1" t="s">
        <v>3392</v>
      </c>
      <c r="I929" s="14" t="s">
        <v>297</v>
      </c>
      <c r="J929" s="1" t="s">
        <v>3006</v>
      </c>
      <c r="K929" s="14" t="s">
        <v>3007</v>
      </c>
      <c r="L929" s="1" t="s">
        <v>3008</v>
      </c>
      <c r="M929" s="1" t="s">
        <v>3009</v>
      </c>
      <c r="N929" s="1">
        <v>243</v>
      </c>
      <c r="O929" s="1" t="s">
        <v>976</v>
      </c>
      <c r="P929" s="5">
        <v>615</v>
      </c>
      <c r="Q929" s="5">
        <v>0</v>
      </c>
      <c r="R929" s="5">
        <v>615</v>
      </c>
      <c r="S929" s="5">
        <v>0</v>
      </c>
      <c r="T929" s="5" t="s">
        <v>23</v>
      </c>
      <c r="V929" s="5" t="s">
        <v>297</v>
      </c>
      <c r="AB929"/>
      <c r="AC929"/>
      <c r="AD929"/>
    </row>
    <row r="930" spans="1:30" x14ac:dyDescent="0.25">
      <c r="A930" t="s">
        <v>5304</v>
      </c>
      <c r="B930" t="s">
        <v>5305</v>
      </c>
      <c r="C930" s="9" t="s">
        <v>5306</v>
      </c>
      <c r="D930" s="9">
        <v>981020072</v>
      </c>
      <c r="E930" s="5" t="s">
        <v>3003</v>
      </c>
      <c r="F930" s="1" t="s">
        <v>3004</v>
      </c>
      <c r="G930" s="25">
        <v>44180</v>
      </c>
      <c r="H930" s="1" t="s">
        <v>3426</v>
      </c>
      <c r="I930" s="14" t="s">
        <v>2851</v>
      </c>
      <c r="J930" s="1" t="s">
        <v>3006</v>
      </c>
      <c r="K930" s="14" t="s">
        <v>3007</v>
      </c>
      <c r="L930" s="1" t="s">
        <v>3008</v>
      </c>
      <c r="M930" s="1" t="s">
        <v>3009</v>
      </c>
      <c r="N930" s="1">
        <v>99</v>
      </c>
      <c r="O930" s="1" t="s">
        <v>976</v>
      </c>
      <c r="P930" s="5">
        <v>610.33000000000004</v>
      </c>
      <c r="Q930" s="5">
        <v>0</v>
      </c>
      <c r="R930" s="5">
        <v>595</v>
      </c>
      <c r="S930" s="5">
        <v>15.33</v>
      </c>
      <c r="T930" s="5" t="s">
        <v>23</v>
      </c>
      <c r="U930" s="5" t="s">
        <v>2443</v>
      </c>
      <c r="V930" s="5" t="s">
        <v>872</v>
      </c>
      <c r="AB930"/>
      <c r="AC930"/>
      <c r="AD930"/>
    </row>
    <row r="931" spans="1:30" x14ac:dyDescent="0.25">
      <c r="A931" t="s">
        <v>5307</v>
      </c>
      <c r="B931" t="s">
        <v>5308</v>
      </c>
      <c r="C931" s="9" t="s">
        <v>5309</v>
      </c>
      <c r="D931" s="9" t="s">
        <v>5310</v>
      </c>
      <c r="E931" s="5" t="s">
        <v>3041</v>
      </c>
      <c r="F931" s="1" t="s">
        <v>3947</v>
      </c>
      <c r="G931" s="25">
        <v>44425</v>
      </c>
      <c r="H931" s="1" t="s">
        <v>3027</v>
      </c>
      <c r="I931" s="14" t="s">
        <v>254</v>
      </c>
      <c r="J931" s="1" t="s">
        <v>3006</v>
      </c>
      <c r="K931" s="14" t="s">
        <v>3007</v>
      </c>
      <c r="L931" s="1" t="s">
        <v>3008</v>
      </c>
      <c r="M931" s="1" t="s">
        <v>3009</v>
      </c>
      <c r="N931" s="1">
        <v>780</v>
      </c>
      <c r="O931" s="1" t="s">
        <v>976</v>
      </c>
      <c r="P931" s="5">
        <v>1381.29</v>
      </c>
      <c r="Q931" s="5">
        <v>0</v>
      </c>
      <c r="R931" s="5">
        <v>1330</v>
      </c>
      <c r="S931" s="5">
        <v>51.29</v>
      </c>
      <c r="T931" s="5" t="s">
        <v>22</v>
      </c>
      <c r="V931" s="5" t="s">
        <v>254</v>
      </c>
      <c r="AB931"/>
      <c r="AC931"/>
      <c r="AD931"/>
    </row>
    <row r="932" spans="1:30" x14ac:dyDescent="0.25">
      <c r="A932" t="s">
        <v>5311</v>
      </c>
      <c r="B932" t="s">
        <v>5312</v>
      </c>
      <c r="C932" s="9" t="s">
        <v>5313</v>
      </c>
      <c r="D932" s="9" t="s">
        <v>5314</v>
      </c>
      <c r="E932" s="5" t="s">
        <v>3003</v>
      </c>
      <c r="F932" s="1" t="s">
        <v>3004</v>
      </c>
      <c r="G932" s="25">
        <v>44335</v>
      </c>
      <c r="H932" s="1" t="s">
        <v>3027</v>
      </c>
      <c r="I932" s="14" t="s">
        <v>254</v>
      </c>
      <c r="J932" s="1" t="s">
        <v>3006</v>
      </c>
      <c r="K932" s="14" t="s">
        <v>3007</v>
      </c>
      <c r="L932" s="1" t="s">
        <v>3008</v>
      </c>
      <c r="M932" s="1" t="s">
        <v>3016</v>
      </c>
      <c r="N932" s="1">
        <v>437</v>
      </c>
      <c r="O932" s="1" t="s">
        <v>976</v>
      </c>
      <c r="P932" s="5">
        <v>1200</v>
      </c>
      <c r="Q932" s="5">
        <v>0</v>
      </c>
      <c r="R932" s="5">
        <v>1200</v>
      </c>
      <c r="S932" s="5">
        <v>0</v>
      </c>
      <c r="T932" s="5" t="s">
        <v>22</v>
      </c>
      <c r="V932" s="5" t="s">
        <v>254</v>
      </c>
      <c r="AB932"/>
      <c r="AC932"/>
      <c r="AD932"/>
    </row>
    <row r="933" spans="1:30" x14ac:dyDescent="0.25">
      <c r="A933" t="s">
        <v>5315</v>
      </c>
      <c r="B933" t="s">
        <v>5316</v>
      </c>
      <c r="C933" s="9" t="s">
        <v>5317</v>
      </c>
      <c r="D933" s="9">
        <v>999367925</v>
      </c>
      <c r="E933" s="5" t="s">
        <v>3003</v>
      </c>
      <c r="F933" s="1" t="s">
        <v>3004</v>
      </c>
      <c r="G933" s="25">
        <v>44497</v>
      </c>
      <c r="H933" s="1" t="s">
        <v>3027</v>
      </c>
      <c r="I933" s="14" t="s">
        <v>254</v>
      </c>
      <c r="J933" s="1" t="s">
        <v>3006</v>
      </c>
      <c r="K933" s="14" t="s">
        <v>3007</v>
      </c>
      <c r="L933" s="1" t="s">
        <v>3008</v>
      </c>
      <c r="M933" s="1" t="s">
        <v>3009</v>
      </c>
      <c r="N933" s="1">
        <v>1130</v>
      </c>
      <c r="O933" s="1" t="s">
        <v>976</v>
      </c>
      <c r="P933" s="5">
        <v>1396</v>
      </c>
      <c r="Q933" s="5">
        <v>0</v>
      </c>
      <c r="R933" s="5">
        <v>1380</v>
      </c>
      <c r="S933" s="5">
        <v>16</v>
      </c>
      <c r="T933" s="5" t="s">
        <v>22</v>
      </c>
      <c r="V933" s="5" t="s">
        <v>254</v>
      </c>
      <c r="AB933"/>
      <c r="AC933"/>
      <c r="AD933"/>
    </row>
    <row r="934" spans="1:30" x14ac:dyDescent="0.25">
      <c r="A934" t="s">
        <v>5318</v>
      </c>
      <c r="B934" t="s">
        <v>5319</v>
      </c>
      <c r="C934" s="9" t="s">
        <v>5320</v>
      </c>
      <c r="D934" s="9">
        <v>999299948</v>
      </c>
      <c r="E934" s="5" t="s">
        <v>3753</v>
      </c>
      <c r="F934" s="1" t="s">
        <v>5321</v>
      </c>
      <c r="G934" s="25">
        <v>44540</v>
      </c>
      <c r="H934" s="1" t="s">
        <v>3005</v>
      </c>
      <c r="I934" s="14" t="s">
        <v>2922</v>
      </c>
      <c r="J934" s="1" t="s">
        <v>3006</v>
      </c>
      <c r="K934" s="14" t="s">
        <v>3007</v>
      </c>
      <c r="L934" s="1" t="s">
        <v>3008</v>
      </c>
      <c r="M934" s="1" t="s">
        <v>3009</v>
      </c>
      <c r="N934" s="1">
        <v>1414</v>
      </c>
      <c r="O934" s="1" t="s">
        <v>976</v>
      </c>
      <c r="P934" s="5">
        <v>490</v>
      </c>
      <c r="Q934" s="5">
        <v>0</v>
      </c>
      <c r="R934" s="5">
        <v>490</v>
      </c>
      <c r="S934" s="5">
        <v>0</v>
      </c>
      <c r="T934" s="5" t="s">
        <v>22</v>
      </c>
      <c r="U934" s="5" t="s">
        <v>2447</v>
      </c>
      <c r="V934" s="5" t="s">
        <v>914</v>
      </c>
      <c r="AB934"/>
      <c r="AC934"/>
      <c r="AD934"/>
    </row>
    <row r="935" spans="1:30" x14ac:dyDescent="0.25">
      <c r="A935" t="s">
        <v>5322</v>
      </c>
      <c r="B935" t="s">
        <v>5323</v>
      </c>
      <c r="C935" s="9" t="s">
        <v>5324</v>
      </c>
      <c r="D935" s="9" t="s">
        <v>5325</v>
      </c>
      <c r="E935" s="5" t="s">
        <v>3003</v>
      </c>
      <c r="F935" s="1" t="s">
        <v>3004</v>
      </c>
      <c r="G935" s="25">
        <v>44284</v>
      </c>
      <c r="H935" s="1" t="s">
        <v>3290</v>
      </c>
      <c r="I935" s="14" t="s">
        <v>223</v>
      </c>
      <c r="J935" s="1" t="s">
        <v>3006</v>
      </c>
      <c r="K935" s="14" t="s">
        <v>3007</v>
      </c>
      <c r="L935" s="1" t="s">
        <v>3008</v>
      </c>
      <c r="M935" s="1" t="s">
        <v>3009</v>
      </c>
      <c r="N935" s="1">
        <v>295</v>
      </c>
      <c r="O935" s="1" t="s">
        <v>976</v>
      </c>
      <c r="P935" s="5">
        <v>7975</v>
      </c>
      <c r="Q935" s="5">
        <v>0</v>
      </c>
      <c r="R935" s="5">
        <v>7975</v>
      </c>
      <c r="S935" s="5">
        <v>0</v>
      </c>
      <c r="T935" s="5" t="s">
        <v>5576</v>
      </c>
      <c r="V935" s="5" t="s">
        <v>223</v>
      </c>
      <c r="AB935"/>
      <c r="AC935"/>
      <c r="AD935"/>
    </row>
    <row r="936" spans="1:30" x14ac:dyDescent="0.25">
      <c r="A936" t="s">
        <v>5322</v>
      </c>
      <c r="B936" t="s">
        <v>5323</v>
      </c>
      <c r="C936" s="9" t="s">
        <v>5324</v>
      </c>
      <c r="D936" s="9" t="s">
        <v>5325</v>
      </c>
      <c r="E936" s="5" t="s">
        <v>3003</v>
      </c>
      <c r="F936" s="1" t="s">
        <v>3004</v>
      </c>
      <c r="G936" s="25">
        <v>44312</v>
      </c>
      <c r="H936" s="1" t="s">
        <v>5013</v>
      </c>
      <c r="I936" s="14" t="s">
        <v>2940</v>
      </c>
      <c r="J936" s="1" t="s">
        <v>3006</v>
      </c>
      <c r="K936" s="14" t="s">
        <v>3007</v>
      </c>
      <c r="L936" s="1" t="s">
        <v>3008</v>
      </c>
      <c r="M936" s="1" t="s">
        <v>3009</v>
      </c>
      <c r="N936" s="1">
        <v>339</v>
      </c>
      <c r="O936" s="1" t="s">
        <v>976</v>
      </c>
      <c r="P936" s="5">
        <v>790</v>
      </c>
      <c r="Q936" s="5">
        <v>0</v>
      </c>
      <c r="R936" s="5">
        <v>790</v>
      </c>
      <c r="S936" s="5">
        <v>0</v>
      </c>
      <c r="T936" s="5">
        <v>41</v>
      </c>
      <c r="U936" s="5" t="s">
        <v>2495</v>
      </c>
      <c r="V936" s="5" t="s">
        <v>924</v>
      </c>
      <c r="AB936"/>
      <c r="AC936"/>
      <c r="AD936"/>
    </row>
    <row r="937" spans="1:30" x14ac:dyDescent="0.25">
      <c r="A937" t="s">
        <v>5326</v>
      </c>
      <c r="B937" t="s">
        <v>5327</v>
      </c>
      <c r="C937" s="9" t="s">
        <v>5328</v>
      </c>
      <c r="D937" s="9">
        <v>999179990</v>
      </c>
      <c r="E937" s="5" t="s">
        <v>3514</v>
      </c>
      <c r="F937" s="1" t="s">
        <v>3515</v>
      </c>
      <c r="G937" s="25">
        <v>44527</v>
      </c>
      <c r="H937" s="1" t="s">
        <v>5329</v>
      </c>
      <c r="I937" s="14" t="s">
        <v>2837</v>
      </c>
      <c r="J937" s="1" t="s">
        <v>3006</v>
      </c>
      <c r="K937" s="14" t="s">
        <v>3007</v>
      </c>
      <c r="L937" s="1" t="s">
        <v>3008</v>
      </c>
      <c r="M937" s="1" t="s">
        <v>3009</v>
      </c>
      <c r="N937" s="1">
        <v>1300</v>
      </c>
      <c r="O937" s="1" t="s">
        <v>976</v>
      </c>
      <c r="P937" s="5">
        <v>857.12</v>
      </c>
      <c r="Q937" s="5">
        <v>0</v>
      </c>
      <c r="R937" s="5">
        <v>830</v>
      </c>
      <c r="S937" s="5">
        <v>27.12</v>
      </c>
      <c r="T937" s="5">
        <v>42</v>
      </c>
      <c r="U937" s="5" t="s">
        <v>2443</v>
      </c>
      <c r="V937" s="5" t="s">
        <v>822</v>
      </c>
      <c r="AB937"/>
      <c r="AC937"/>
      <c r="AD937"/>
    </row>
    <row r="938" spans="1:30" x14ac:dyDescent="0.25">
      <c r="A938" t="s">
        <v>5330</v>
      </c>
      <c r="B938" t="s">
        <v>5331</v>
      </c>
      <c r="C938" s="9" t="s">
        <v>5332</v>
      </c>
      <c r="D938" s="9" t="s">
        <v>5333</v>
      </c>
      <c r="E938" s="5" t="s">
        <v>3003</v>
      </c>
      <c r="F938" s="1" t="s">
        <v>3004</v>
      </c>
      <c r="G938" s="25">
        <v>44500</v>
      </c>
      <c r="H938" s="1" t="s">
        <v>3244</v>
      </c>
      <c r="I938" s="14" t="s">
        <v>2791</v>
      </c>
      <c r="J938" s="1" t="s">
        <v>3006</v>
      </c>
      <c r="K938" s="14" t="s">
        <v>3007</v>
      </c>
      <c r="L938" s="1" t="s">
        <v>3008</v>
      </c>
      <c r="M938" s="1" t="s">
        <v>3016</v>
      </c>
      <c r="N938" s="1">
        <v>1149</v>
      </c>
      <c r="O938" s="1" t="s">
        <v>976</v>
      </c>
      <c r="P938" s="5">
        <v>1064</v>
      </c>
      <c r="Q938" s="5">
        <v>316</v>
      </c>
      <c r="R938" s="5">
        <v>1380</v>
      </c>
      <c r="S938" s="5">
        <v>0</v>
      </c>
      <c r="T938" s="5" t="s">
        <v>22</v>
      </c>
      <c r="U938" s="5" t="s">
        <v>2447</v>
      </c>
      <c r="V938" s="5" t="s">
        <v>762</v>
      </c>
      <c r="AB938"/>
      <c r="AC938"/>
      <c r="AD938"/>
    </row>
    <row r="939" spans="1:30" x14ac:dyDescent="0.25">
      <c r="A939" t="s">
        <v>5334</v>
      </c>
      <c r="B939" t="s">
        <v>5335</v>
      </c>
      <c r="C939" s="9" t="s">
        <v>5336</v>
      </c>
      <c r="D939" s="9">
        <v>980121027</v>
      </c>
      <c r="E939" s="5" t="s">
        <v>3041</v>
      </c>
      <c r="F939" s="1" t="s">
        <v>3042</v>
      </c>
      <c r="G939" s="25">
        <v>44397</v>
      </c>
      <c r="H939" s="1" t="s">
        <v>3027</v>
      </c>
      <c r="I939" s="14" t="s">
        <v>254</v>
      </c>
      <c r="J939" s="1" t="s">
        <v>3006</v>
      </c>
      <c r="K939" s="14" t="s">
        <v>3007</v>
      </c>
      <c r="L939" s="1" t="s">
        <v>3008</v>
      </c>
      <c r="M939" s="1" t="s">
        <v>3009</v>
      </c>
      <c r="N939" s="1">
        <v>663</v>
      </c>
      <c r="O939" s="1" t="s">
        <v>976</v>
      </c>
      <c r="P939" s="5">
        <v>1102.74</v>
      </c>
      <c r="Q939" s="5">
        <v>120</v>
      </c>
      <c r="R939" s="5">
        <v>1200</v>
      </c>
      <c r="S939" s="5">
        <v>22.74</v>
      </c>
      <c r="T939" s="5" t="s">
        <v>22</v>
      </c>
      <c r="V939" s="5" t="s">
        <v>254</v>
      </c>
      <c r="AB939"/>
      <c r="AC939"/>
      <c r="AD939"/>
    </row>
    <row r="940" spans="1:30" x14ac:dyDescent="0.25">
      <c r="A940" t="s">
        <v>5337</v>
      </c>
      <c r="B940" t="s">
        <v>5338</v>
      </c>
      <c r="C940" s="9" t="s">
        <v>5339</v>
      </c>
      <c r="D940" s="9">
        <v>981111086</v>
      </c>
      <c r="E940" s="5" t="s">
        <v>3073</v>
      </c>
      <c r="F940" s="1" t="s">
        <v>5340</v>
      </c>
      <c r="G940" s="25">
        <v>44188</v>
      </c>
      <c r="H940" s="1" t="s">
        <v>3103</v>
      </c>
      <c r="I940" s="14" t="s">
        <v>298</v>
      </c>
      <c r="J940" s="1" t="s">
        <v>3006</v>
      </c>
      <c r="K940" s="14" t="s">
        <v>3007</v>
      </c>
      <c r="L940" s="1" t="s">
        <v>3008</v>
      </c>
      <c r="M940" s="1" t="s">
        <v>3016</v>
      </c>
      <c r="N940" s="1">
        <v>130</v>
      </c>
      <c r="O940" s="1" t="s">
        <v>976</v>
      </c>
      <c r="P940" s="5">
        <v>640.37</v>
      </c>
      <c r="Q940" s="5">
        <v>0</v>
      </c>
      <c r="R940" s="5">
        <v>615</v>
      </c>
      <c r="S940" s="5">
        <v>25.37</v>
      </c>
      <c r="T940" s="5" t="s">
        <v>22</v>
      </c>
      <c r="V940" s="5" t="s">
        <v>298</v>
      </c>
      <c r="AB940"/>
      <c r="AC940"/>
      <c r="AD940"/>
    </row>
    <row r="941" spans="1:30" x14ac:dyDescent="0.25">
      <c r="A941" t="s">
        <v>5337</v>
      </c>
      <c r="B941" t="s">
        <v>5338</v>
      </c>
      <c r="C941" s="9" t="s">
        <v>5339</v>
      </c>
      <c r="D941" s="9">
        <v>981111086</v>
      </c>
      <c r="E941" s="5" t="s">
        <v>3073</v>
      </c>
      <c r="F941" s="1" t="s">
        <v>5340</v>
      </c>
      <c r="G941" s="25">
        <v>44383</v>
      </c>
      <c r="H941" s="1" t="s">
        <v>4280</v>
      </c>
      <c r="I941" s="14" t="s">
        <v>558</v>
      </c>
      <c r="J941" s="1" t="s">
        <v>3006</v>
      </c>
      <c r="K941" s="14" t="s">
        <v>3007</v>
      </c>
      <c r="L941" s="1" t="s">
        <v>3008</v>
      </c>
      <c r="M941" s="1" t="s">
        <v>3016</v>
      </c>
      <c r="N941" s="1">
        <v>591</v>
      </c>
      <c r="O941" s="1" t="s">
        <v>976</v>
      </c>
      <c r="P941" s="5">
        <v>134.63</v>
      </c>
      <c r="Q941" s="5">
        <v>0</v>
      </c>
      <c r="R941" s="5">
        <v>110</v>
      </c>
      <c r="S941" s="5">
        <v>24.63</v>
      </c>
      <c r="T941" s="5" t="s">
        <v>22</v>
      </c>
      <c r="V941" s="5" t="s">
        <v>558</v>
      </c>
      <c r="AB941"/>
      <c r="AC941"/>
      <c r="AD941"/>
    </row>
    <row r="942" spans="1:30" x14ac:dyDescent="0.25">
      <c r="A942" t="s">
        <v>5337</v>
      </c>
      <c r="B942" t="s">
        <v>5338</v>
      </c>
      <c r="C942" s="9" t="s">
        <v>5339</v>
      </c>
      <c r="D942" s="9">
        <v>981111086</v>
      </c>
      <c r="E942" s="5" t="s">
        <v>3073</v>
      </c>
      <c r="F942" s="1" t="s">
        <v>5340</v>
      </c>
      <c r="G942" s="25">
        <v>44383</v>
      </c>
      <c r="H942" s="1" t="s">
        <v>3299</v>
      </c>
      <c r="I942" s="14" t="s">
        <v>594</v>
      </c>
      <c r="J942" s="1" t="s">
        <v>3006</v>
      </c>
      <c r="K942" s="14" t="s">
        <v>3007</v>
      </c>
      <c r="L942" s="1" t="s">
        <v>3008</v>
      </c>
      <c r="M942" s="1" t="s">
        <v>3016</v>
      </c>
      <c r="N942" s="1">
        <v>591</v>
      </c>
      <c r="O942" s="1" t="s">
        <v>976</v>
      </c>
      <c r="P942" s="5">
        <v>30.6</v>
      </c>
      <c r="Q942" s="5">
        <v>0</v>
      </c>
      <c r="R942" s="5">
        <v>25</v>
      </c>
      <c r="S942" s="5">
        <v>5.6</v>
      </c>
      <c r="T942" s="5" t="s">
        <v>22</v>
      </c>
      <c r="V942" s="5" t="s">
        <v>594</v>
      </c>
      <c r="AB942"/>
      <c r="AC942"/>
      <c r="AD942"/>
    </row>
    <row r="943" spans="1:30" x14ac:dyDescent="0.25">
      <c r="A943" t="s">
        <v>5341</v>
      </c>
      <c r="B943" t="s">
        <v>5342</v>
      </c>
      <c r="C943" s="9" t="s">
        <v>5343</v>
      </c>
      <c r="D943" s="9">
        <v>981196752</v>
      </c>
      <c r="E943" s="5" t="s">
        <v>3003</v>
      </c>
      <c r="F943" s="1" t="s">
        <v>3004</v>
      </c>
      <c r="G943" s="25">
        <v>44312</v>
      </c>
      <c r="H943" s="1" t="s">
        <v>3027</v>
      </c>
      <c r="I943" s="14" t="s">
        <v>254</v>
      </c>
      <c r="J943" s="1" t="s">
        <v>3006</v>
      </c>
      <c r="K943" s="14" t="s">
        <v>3007</v>
      </c>
      <c r="L943" s="1" t="s">
        <v>3008</v>
      </c>
      <c r="M943" s="1" t="s">
        <v>3016</v>
      </c>
      <c r="N943" s="1">
        <v>353</v>
      </c>
      <c r="O943" s="1" t="s">
        <v>976</v>
      </c>
      <c r="P943" s="5">
        <v>1100</v>
      </c>
      <c r="Q943" s="5">
        <v>0</v>
      </c>
      <c r="R943" s="5">
        <v>1100</v>
      </c>
      <c r="S943" s="5">
        <v>0</v>
      </c>
      <c r="T943" s="5" t="s">
        <v>22</v>
      </c>
      <c r="V943" s="5" t="s">
        <v>254</v>
      </c>
      <c r="AB943"/>
      <c r="AC943"/>
      <c r="AD943"/>
    </row>
    <row r="944" spans="1:30" x14ac:dyDescent="0.25">
      <c r="A944" t="s">
        <v>5344</v>
      </c>
      <c r="B944" t="s">
        <v>5345</v>
      </c>
      <c r="C944" s="9" t="s">
        <v>5346</v>
      </c>
      <c r="D944" s="9" t="s">
        <v>5347</v>
      </c>
      <c r="E944" s="5" t="s">
        <v>3003</v>
      </c>
      <c r="F944" s="1" t="s">
        <v>3004</v>
      </c>
      <c r="G944" s="25">
        <v>44327</v>
      </c>
      <c r="H944" s="1" t="s">
        <v>3298</v>
      </c>
      <c r="I944" s="14" t="s">
        <v>557</v>
      </c>
      <c r="J944" s="1" t="s">
        <v>3006</v>
      </c>
      <c r="K944" s="14" t="s">
        <v>3007</v>
      </c>
      <c r="L944" s="1" t="s">
        <v>3008</v>
      </c>
      <c r="M944" s="1" t="s">
        <v>3016</v>
      </c>
      <c r="N944" s="1">
        <v>410</v>
      </c>
      <c r="O944" s="1" t="s">
        <v>976</v>
      </c>
      <c r="P944" s="5">
        <v>120</v>
      </c>
      <c r="Q944" s="5">
        <v>0</v>
      </c>
      <c r="R944" s="5">
        <v>120</v>
      </c>
      <c r="S944" s="5">
        <v>0</v>
      </c>
      <c r="T944" s="5" t="s">
        <v>24</v>
      </c>
      <c r="V944" s="5" t="s">
        <v>557</v>
      </c>
      <c r="AB944"/>
      <c r="AC944"/>
      <c r="AD944"/>
    </row>
    <row r="945" spans="1:30" x14ac:dyDescent="0.25">
      <c r="A945" t="s">
        <v>5344</v>
      </c>
      <c r="B945" t="s">
        <v>5345</v>
      </c>
      <c r="C945" s="9" t="s">
        <v>5346</v>
      </c>
      <c r="D945" s="9" t="s">
        <v>5347</v>
      </c>
      <c r="E945" s="5" t="s">
        <v>3003</v>
      </c>
      <c r="F945" s="1" t="s">
        <v>3004</v>
      </c>
      <c r="G945" s="25">
        <v>44395</v>
      </c>
      <c r="H945" s="1" t="s">
        <v>3220</v>
      </c>
      <c r="I945" s="14" t="s">
        <v>259</v>
      </c>
      <c r="J945" s="1" t="s">
        <v>3006</v>
      </c>
      <c r="K945" s="14" t="s">
        <v>3007</v>
      </c>
      <c r="L945" s="1" t="s">
        <v>3008</v>
      </c>
      <c r="M945" s="1" t="s">
        <v>3016</v>
      </c>
      <c r="N945" s="1">
        <v>650</v>
      </c>
      <c r="O945" s="1" t="s">
        <v>976</v>
      </c>
      <c r="P945" s="5">
        <v>218.96</v>
      </c>
      <c r="Q945" s="5">
        <v>23</v>
      </c>
      <c r="R945" s="5">
        <v>230</v>
      </c>
      <c r="S945" s="5">
        <v>11.96</v>
      </c>
      <c r="T945" s="5" t="s">
        <v>23</v>
      </c>
      <c r="V945" s="5" t="s">
        <v>259</v>
      </c>
      <c r="AB945"/>
      <c r="AC945"/>
      <c r="AD945"/>
    </row>
    <row r="946" spans="1:30" x14ac:dyDescent="0.25">
      <c r="A946" t="s">
        <v>5348</v>
      </c>
      <c r="B946" t="s">
        <v>5349</v>
      </c>
      <c r="C946" s="9" t="s">
        <v>5350</v>
      </c>
      <c r="D946" s="9" t="s">
        <v>5351</v>
      </c>
      <c r="E946" s="5" t="s">
        <v>3003</v>
      </c>
      <c r="F946" s="1" t="s">
        <v>3004</v>
      </c>
      <c r="G946" s="25">
        <v>44400</v>
      </c>
      <c r="H946" s="1" t="s">
        <v>3569</v>
      </c>
      <c r="I946" s="14" t="s">
        <v>2881</v>
      </c>
      <c r="J946" s="1" t="s">
        <v>3006</v>
      </c>
      <c r="K946" s="14" t="s">
        <v>3007</v>
      </c>
      <c r="L946" s="1" t="s">
        <v>3008</v>
      </c>
      <c r="M946" s="1" t="s">
        <v>3009</v>
      </c>
      <c r="N946" s="1">
        <v>690</v>
      </c>
      <c r="O946" s="1" t="s">
        <v>976</v>
      </c>
      <c r="P946" s="5">
        <v>650.76</v>
      </c>
      <c r="Q946" s="5">
        <v>0</v>
      </c>
      <c r="R946" s="5">
        <v>630</v>
      </c>
      <c r="S946" s="5">
        <v>20.76</v>
      </c>
      <c r="T946" s="5" t="s">
        <v>23</v>
      </c>
      <c r="U946" s="5" t="s">
        <v>2447</v>
      </c>
      <c r="V946" s="5" t="s">
        <v>889</v>
      </c>
      <c r="AB946"/>
      <c r="AC946"/>
      <c r="AD946"/>
    </row>
    <row r="947" spans="1:30" x14ac:dyDescent="0.25">
      <c r="A947" t="s">
        <v>5352</v>
      </c>
      <c r="B947" t="s">
        <v>5353</v>
      </c>
      <c r="C947" s="9" t="s">
        <v>5354</v>
      </c>
      <c r="D947" s="9" t="s">
        <v>5355</v>
      </c>
      <c r="E947" s="5" t="s">
        <v>3041</v>
      </c>
      <c r="F947" s="1" t="s">
        <v>3042</v>
      </c>
      <c r="G947" s="25">
        <v>44316</v>
      </c>
      <c r="H947" s="1" t="s">
        <v>4037</v>
      </c>
      <c r="I947" s="14" t="s">
        <v>251</v>
      </c>
      <c r="J947" s="1" t="s">
        <v>3006</v>
      </c>
      <c r="K947" s="14" t="s">
        <v>3007</v>
      </c>
      <c r="L947" s="1" t="s">
        <v>3008</v>
      </c>
      <c r="M947" s="1" t="s">
        <v>3009</v>
      </c>
      <c r="N947" s="1">
        <v>366</v>
      </c>
      <c r="O947" s="1" t="s">
        <v>976</v>
      </c>
      <c r="P947" s="5">
        <v>1631.52</v>
      </c>
      <c r="Q947" s="5">
        <v>0</v>
      </c>
      <c r="R947" s="5">
        <v>1595</v>
      </c>
      <c r="S947" s="5">
        <v>36.520000000000003</v>
      </c>
      <c r="T947" s="5" t="s">
        <v>24</v>
      </c>
      <c r="V947" s="5" t="s">
        <v>251</v>
      </c>
      <c r="AB947"/>
      <c r="AC947"/>
      <c r="AD947"/>
    </row>
    <row r="948" spans="1:30" x14ac:dyDescent="0.25">
      <c r="A948" t="s">
        <v>5356</v>
      </c>
      <c r="B948" t="s">
        <v>5357</v>
      </c>
      <c r="C948" s="9" t="s">
        <v>5358</v>
      </c>
      <c r="D948" s="9">
        <v>996248656</v>
      </c>
      <c r="E948" s="5" t="s">
        <v>3013</v>
      </c>
      <c r="F948" s="1" t="s">
        <v>3067</v>
      </c>
      <c r="G948" s="25">
        <v>44378</v>
      </c>
      <c r="H948" s="1" t="s">
        <v>3015</v>
      </c>
      <c r="I948" s="14" t="s">
        <v>252</v>
      </c>
      <c r="J948" s="1" t="s">
        <v>3006</v>
      </c>
      <c r="K948" s="14" t="s">
        <v>3007</v>
      </c>
      <c r="L948" s="1" t="s">
        <v>3008</v>
      </c>
      <c r="M948" s="1" t="s">
        <v>3009</v>
      </c>
      <c r="N948" s="1">
        <v>571</v>
      </c>
      <c r="O948" s="1" t="s">
        <v>976</v>
      </c>
      <c r="P948" s="5">
        <v>1120.5899999999999</v>
      </c>
      <c r="Q948" s="5">
        <v>120</v>
      </c>
      <c r="R948" s="5">
        <v>1200</v>
      </c>
      <c r="S948" s="5">
        <v>40.590000000000003</v>
      </c>
      <c r="T948" s="5" t="s">
        <v>22</v>
      </c>
      <c r="V948" s="5" t="s">
        <v>252</v>
      </c>
      <c r="AB948"/>
      <c r="AC948"/>
      <c r="AD948"/>
    </row>
    <row r="949" spans="1:30" x14ac:dyDescent="0.25">
      <c r="A949" t="s">
        <v>5359</v>
      </c>
      <c r="B949" t="s">
        <v>5360</v>
      </c>
      <c r="C949" s="9" t="s">
        <v>5361</v>
      </c>
      <c r="D949" s="9" t="s">
        <v>5362</v>
      </c>
      <c r="E949" s="5" t="s">
        <v>3003</v>
      </c>
      <c r="F949" s="1" t="s">
        <v>3004</v>
      </c>
      <c r="G949" s="25">
        <v>44551</v>
      </c>
      <c r="H949" s="1" t="s">
        <v>5363</v>
      </c>
      <c r="I949" s="14" t="s">
        <v>270</v>
      </c>
      <c r="J949" s="1" t="s">
        <v>3006</v>
      </c>
      <c r="K949" s="14" t="s">
        <v>3007</v>
      </c>
      <c r="L949" s="1" t="s">
        <v>3008</v>
      </c>
      <c r="M949" s="1" t="s">
        <v>3009</v>
      </c>
      <c r="N949" s="1">
        <v>1525</v>
      </c>
      <c r="O949" s="1" t="s">
        <v>976</v>
      </c>
      <c r="P949" s="5">
        <v>847.75</v>
      </c>
      <c r="Q949" s="5">
        <v>0</v>
      </c>
      <c r="R949" s="5">
        <v>830</v>
      </c>
      <c r="S949" s="5">
        <v>17.75</v>
      </c>
      <c r="T949" s="5">
        <v>35</v>
      </c>
      <c r="V949" s="5" t="s">
        <v>270</v>
      </c>
      <c r="AB949"/>
      <c r="AC949"/>
      <c r="AD949"/>
    </row>
    <row r="950" spans="1:30" x14ac:dyDescent="0.25">
      <c r="A950" t="s">
        <v>5364</v>
      </c>
      <c r="B950" t="s">
        <v>5365</v>
      </c>
      <c r="C950" s="9" t="s">
        <v>5366</v>
      </c>
      <c r="D950" s="9" t="s">
        <v>5367</v>
      </c>
      <c r="E950" s="5" t="s">
        <v>3073</v>
      </c>
      <c r="F950" s="1" t="s">
        <v>5368</v>
      </c>
      <c r="G950" s="25">
        <v>44372</v>
      </c>
      <c r="H950" s="1" t="s">
        <v>3075</v>
      </c>
      <c r="I950" s="14" t="s">
        <v>2791</v>
      </c>
      <c r="J950" s="1" t="s">
        <v>3006</v>
      </c>
      <c r="K950" s="14" t="s">
        <v>3007</v>
      </c>
      <c r="L950" s="1" t="s">
        <v>3008</v>
      </c>
      <c r="M950" s="1" t="s">
        <v>3009</v>
      </c>
      <c r="N950" s="1">
        <v>549</v>
      </c>
      <c r="O950" s="1" t="s">
        <v>976</v>
      </c>
      <c r="P950" s="5">
        <v>1200</v>
      </c>
      <c r="Q950" s="5">
        <v>0</v>
      </c>
      <c r="R950" s="5">
        <v>1200</v>
      </c>
      <c r="S950" s="5">
        <v>0</v>
      </c>
      <c r="T950" s="5" t="s">
        <v>22</v>
      </c>
      <c r="U950" s="5" t="s">
        <v>2443</v>
      </c>
      <c r="V950" s="5" t="s">
        <v>763</v>
      </c>
      <c r="AB950"/>
      <c r="AC950"/>
      <c r="AD950"/>
    </row>
    <row r="951" spans="1:30" x14ac:dyDescent="0.25">
      <c r="A951" t="s">
        <v>5369</v>
      </c>
      <c r="B951" t="s">
        <v>5370</v>
      </c>
      <c r="C951" s="9" t="s">
        <v>5371</v>
      </c>
      <c r="D951" s="9">
        <v>999563626</v>
      </c>
      <c r="E951" s="5" t="s">
        <v>3107</v>
      </c>
      <c r="F951" s="1" t="s">
        <v>3108</v>
      </c>
      <c r="G951" s="25">
        <v>44572</v>
      </c>
      <c r="H951" s="1" t="s">
        <v>5372</v>
      </c>
      <c r="I951" s="14" t="s">
        <v>2790</v>
      </c>
      <c r="J951" s="1" t="s">
        <v>3006</v>
      </c>
      <c r="K951" s="14" t="s">
        <v>3007</v>
      </c>
      <c r="L951" s="1" t="s">
        <v>3008</v>
      </c>
      <c r="M951" s="1" t="s">
        <v>3009</v>
      </c>
      <c r="N951" s="1">
        <v>1622</v>
      </c>
      <c r="O951" s="1" t="s">
        <v>976</v>
      </c>
      <c r="P951" s="5">
        <v>1609.7</v>
      </c>
      <c r="Q951" s="5">
        <v>175</v>
      </c>
      <c r="R951" s="5">
        <v>1750</v>
      </c>
      <c r="S951" s="5">
        <v>34.700000000000003</v>
      </c>
      <c r="T951" s="5" t="s">
        <v>5574</v>
      </c>
      <c r="U951" s="5" t="s">
        <v>2443</v>
      </c>
      <c r="V951" s="5" t="s">
        <v>245</v>
      </c>
      <c r="AB951"/>
      <c r="AC951"/>
      <c r="AD951"/>
    </row>
    <row r="952" spans="1:30" x14ac:dyDescent="0.25">
      <c r="A952" t="s">
        <v>5373</v>
      </c>
      <c r="B952" t="s">
        <v>5374</v>
      </c>
      <c r="C952" s="9" t="s">
        <v>5375</v>
      </c>
      <c r="D952" s="9">
        <v>981833333</v>
      </c>
      <c r="E952" s="5" t="s">
        <v>3753</v>
      </c>
      <c r="F952" s="1" t="s">
        <v>3754</v>
      </c>
      <c r="G952" s="25">
        <v>44438</v>
      </c>
      <c r="H952" s="1" t="s">
        <v>3075</v>
      </c>
      <c r="I952" s="14" t="s">
        <v>2791</v>
      </c>
      <c r="J952" s="1" t="s">
        <v>3006</v>
      </c>
      <c r="K952" s="14" t="s">
        <v>3007</v>
      </c>
      <c r="L952" s="1" t="s">
        <v>3008</v>
      </c>
      <c r="M952" s="1" t="s">
        <v>3009</v>
      </c>
      <c r="N952" s="1">
        <v>832</v>
      </c>
      <c r="O952" s="1" t="s">
        <v>976</v>
      </c>
      <c r="P952" s="5">
        <v>1363.29</v>
      </c>
      <c r="Q952" s="5">
        <v>0</v>
      </c>
      <c r="R952" s="5">
        <v>1330</v>
      </c>
      <c r="S952" s="5">
        <v>33.29</v>
      </c>
      <c r="T952" s="5" t="s">
        <v>22</v>
      </c>
      <c r="U952" s="5" t="s">
        <v>2443</v>
      </c>
      <c r="V952" s="5" t="s">
        <v>763</v>
      </c>
      <c r="AB952"/>
      <c r="AC952"/>
      <c r="AD952"/>
    </row>
    <row r="953" spans="1:30" x14ac:dyDescent="0.25">
      <c r="A953" t="s">
        <v>5373</v>
      </c>
      <c r="B953" t="s">
        <v>5374</v>
      </c>
      <c r="C953" s="9" t="s">
        <v>5375</v>
      </c>
      <c r="D953" s="9">
        <v>981833333</v>
      </c>
      <c r="E953" s="5" t="s">
        <v>3753</v>
      </c>
      <c r="F953" s="1" t="s">
        <v>3754</v>
      </c>
      <c r="G953" s="25">
        <v>44438</v>
      </c>
      <c r="H953" s="1" t="s">
        <v>3299</v>
      </c>
      <c r="I953" s="14" t="s">
        <v>594</v>
      </c>
      <c r="J953" s="1" t="s">
        <v>3006</v>
      </c>
      <c r="K953" s="14" t="s">
        <v>3007</v>
      </c>
      <c r="L953" s="1" t="s">
        <v>3008</v>
      </c>
      <c r="M953" s="1" t="s">
        <v>3009</v>
      </c>
      <c r="N953" s="1">
        <v>832</v>
      </c>
      <c r="O953" s="1" t="s">
        <v>976</v>
      </c>
      <c r="P953" s="5">
        <v>0.63</v>
      </c>
      <c r="Q953" s="5">
        <v>25</v>
      </c>
      <c r="R953" s="5">
        <v>25</v>
      </c>
      <c r="S953" s="5">
        <v>0.63</v>
      </c>
      <c r="T953" s="5" t="s">
        <v>22</v>
      </c>
      <c r="V953" s="5" t="s">
        <v>594</v>
      </c>
      <c r="AB953"/>
      <c r="AC953"/>
      <c r="AD953"/>
    </row>
    <row r="954" spans="1:30" x14ac:dyDescent="0.25">
      <c r="A954" t="s">
        <v>5376</v>
      </c>
      <c r="B954" t="s">
        <v>5377</v>
      </c>
      <c r="C954" s="9" t="s">
        <v>5378</v>
      </c>
      <c r="D954" s="9">
        <v>940416459</v>
      </c>
      <c r="E954" s="5" t="s">
        <v>3003</v>
      </c>
      <c r="F954" s="1" t="s">
        <v>3004</v>
      </c>
      <c r="G954" s="25">
        <v>44520</v>
      </c>
      <c r="H954" s="1" t="s">
        <v>3015</v>
      </c>
      <c r="I954" s="14" t="s">
        <v>252</v>
      </c>
      <c r="J954" s="1" t="s">
        <v>3006</v>
      </c>
      <c r="K954" s="14" t="s">
        <v>3007</v>
      </c>
      <c r="L954" s="1" t="s">
        <v>3008</v>
      </c>
      <c r="M954" s="1" t="s">
        <v>3009</v>
      </c>
      <c r="N954" s="1">
        <v>1241</v>
      </c>
      <c r="O954" s="1" t="s">
        <v>976</v>
      </c>
      <c r="P954" s="5">
        <v>1380</v>
      </c>
      <c r="Q954" s="5">
        <v>0</v>
      </c>
      <c r="R954" s="5">
        <v>1380</v>
      </c>
      <c r="S954" s="5">
        <v>0</v>
      </c>
      <c r="T954" s="5" t="s">
        <v>22</v>
      </c>
      <c r="V954" s="5" t="s">
        <v>252</v>
      </c>
      <c r="AB954"/>
      <c r="AC954"/>
      <c r="AD954"/>
    </row>
    <row r="955" spans="1:30" x14ac:dyDescent="0.25">
      <c r="A955" t="s">
        <v>5379</v>
      </c>
      <c r="B955" t="s">
        <v>5380</v>
      </c>
      <c r="C955" s="9" t="s">
        <v>5381</v>
      </c>
      <c r="D955" s="9">
        <v>996819342</v>
      </c>
      <c r="E955" s="5" t="s">
        <v>3514</v>
      </c>
      <c r="F955" s="1" t="s">
        <v>5382</v>
      </c>
      <c r="G955" s="25">
        <v>44595</v>
      </c>
      <c r="H955" s="1" t="s">
        <v>5372</v>
      </c>
      <c r="I955" s="14" t="s">
        <v>2790</v>
      </c>
      <c r="J955" s="1" t="s">
        <v>3006</v>
      </c>
      <c r="K955" s="14" t="s">
        <v>3007</v>
      </c>
      <c r="L955" s="1" t="s">
        <v>3008</v>
      </c>
      <c r="M955" s="1" t="s">
        <v>3009</v>
      </c>
      <c r="N955" s="1">
        <v>1754</v>
      </c>
      <c r="O955" s="1" t="s">
        <v>976</v>
      </c>
      <c r="P955" s="5">
        <v>1575</v>
      </c>
      <c r="Q955" s="5">
        <v>175</v>
      </c>
      <c r="R955" s="5">
        <v>1750</v>
      </c>
      <c r="S955" s="5">
        <v>0</v>
      </c>
      <c r="T955" s="5" t="s">
        <v>5574</v>
      </c>
      <c r="U955" s="5" t="s">
        <v>2443</v>
      </c>
      <c r="V955" s="5" t="s">
        <v>245</v>
      </c>
      <c r="AB955"/>
      <c r="AC955"/>
      <c r="AD955"/>
    </row>
    <row r="956" spans="1:30" x14ac:dyDescent="0.25">
      <c r="A956" t="s">
        <v>5383</v>
      </c>
      <c r="B956" t="s">
        <v>5384</v>
      </c>
      <c r="C956" s="9" t="s">
        <v>5385</v>
      </c>
      <c r="D956" s="9">
        <v>982076307</v>
      </c>
      <c r="E956" s="5" t="s">
        <v>3003</v>
      </c>
      <c r="F956" s="1" t="s">
        <v>3004</v>
      </c>
      <c r="G956" s="25">
        <v>44252</v>
      </c>
      <c r="H956" s="1" t="s">
        <v>5386</v>
      </c>
      <c r="I956" s="14" t="s">
        <v>2832</v>
      </c>
      <c r="J956" s="1" t="s">
        <v>3006</v>
      </c>
      <c r="K956" s="14" t="s">
        <v>3007</v>
      </c>
      <c r="L956" s="1" t="s">
        <v>3008</v>
      </c>
      <c r="M956" s="1" t="s">
        <v>3009</v>
      </c>
      <c r="N956" s="1">
        <v>228</v>
      </c>
      <c r="O956" s="1" t="s">
        <v>976</v>
      </c>
      <c r="P956" s="5">
        <v>510.3</v>
      </c>
      <c r="Q956" s="5">
        <v>218.7</v>
      </c>
      <c r="R956" s="5">
        <v>729</v>
      </c>
      <c r="S956" s="5">
        <v>0</v>
      </c>
      <c r="T956" s="5" t="s">
        <v>23</v>
      </c>
      <c r="U956" s="5" t="s">
        <v>2482</v>
      </c>
      <c r="V956" s="5" t="s">
        <v>816</v>
      </c>
      <c r="AB956"/>
      <c r="AC956"/>
      <c r="AD956"/>
    </row>
    <row r="957" spans="1:30" x14ac:dyDescent="0.25">
      <c r="A957" t="s">
        <v>5387</v>
      </c>
      <c r="B957" t="s">
        <v>5388</v>
      </c>
      <c r="C957" s="9" t="s">
        <v>5389</v>
      </c>
      <c r="D957" s="9" t="s">
        <v>5390</v>
      </c>
      <c r="E957" s="5" t="s">
        <v>3003</v>
      </c>
      <c r="F957" s="1" t="s">
        <v>3004</v>
      </c>
      <c r="G957" s="25">
        <v>44341</v>
      </c>
      <c r="H957" s="1" t="s">
        <v>3510</v>
      </c>
      <c r="I957" s="14" t="s">
        <v>2805</v>
      </c>
      <c r="J957" s="1" t="s">
        <v>3006</v>
      </c>
      <c r="K957" s="14" t="s">
        <v>3007</v>
      </c>
      <c r="L957" s="1" t="s">
        <v>3008</v>
      </c>
      <c r="M957" s="1" t="s">
        <v>3009</v>
      </c>
      <c r="N957" s="1">
        <v>450</v>
      </c>
      <c r="O957" s="1" t="s">
        <v>976</v>
      </c>
      <c r="P957" s="5">
        <v>482.9</v>
      </c>
      <c r="Q957" s="5">
        <v>0</v>
      </c>
      <c r="R957" s="5">
        <v>470</v>
      </c>
      <c r="S957" s="5">
        <v>12.9</v>
      </c>
      <c r="T957" s="5">
        <v>40</v>
      </c>
      <c r="U957" s="5" t="s">
        <v>2443</v>
      </c>
      <c r="V957" s="5" t="s">
        <v>776</v>
      </c>
      <c r="AB957"/>
      <c r="AC957"/>
      <c r="AD957"/>
    </row>
    <row r="958" spans="1:30" x14ac:dyDescent="0.25">
      <c r="A958" t="s">
        <v>5391</v>
      </c>
      <c r="B958" t="s">
        <v>5392</v>
      </c>
      <c r="C958" s="9" t="s">
        <v>5393</v>
      </c>
      <c r="D958" s="9">
        <v>997192509</v>
      </c>
      <c r="E958" s="5" t="s">
        <v>3003</v>
      </c>
      <c r="F958" s="1" t="s">
        <v>3004</v>
      </c>
      <c r="G958" s="25">
        <v>44182</v>
      </c>
      <c r="H958" s="1" t="s">
        <v>4773</v>
      </c>
      <c r="I958" s="14" t="s">
        <v>1415</v>
      </c>
      <c r="J958" s="1" t="s">
        <v>3006</v>
      </c>
      <c r="K958" s="14" t="s">
        <v>3007</v>
      </c>
      <c r="L958" s="1" t="s">
        <v>3008</v>
      </c>
      <c r="M958" s="1" t="s">
        <v>3009</v>
      </c>
      <c r="N958" s="1">
        <v>111</v>
      </c>
      <c r="O958" s="1" t="s">
        <v>976</v>
      </c>
      <c r="P958" s="5">
        <v>342.9</v>
      </c>
      <c r="Q958" s="5">
        <v>0</v>
      </c>
      <c r="R958" s="5">
        <v>330</v>
      </c>
      <c r="S958" s="5">
        <v>12.9</v>
      </c>
      <c r="T958" s="5" t="s">
        <v>25</v>
      </c>
      <c r="U958" s="5" t="s">
        <v>2495</v>
      </c>
      <c r="V958" s="5" t="s">
        <v>843</v>
      </c>
      <c r="AB958"/>
      <c r="AC958"/>
      <c r="AD958"/>
    </row>
    <row r="959" spans="1:30" x14ac:dyDescent="0.25">
      <c r="A959" t="s">
        <v>5394</v>
      </c>
      <c r="B959" t="s">
        <v>5395</v>
      </c>
      <c r="C959" s="9" t="s">
        <v>5396</v>
      </c>
      <c r="D959" s="9">
        <v>11995519511</v>
      </c>
      <c r="E959" s="5" t="s">
        <v>3003</v>
      </c>
      <c r="F959" s="1" t="s">
        <v>5397</v>
      </c>
      <c r="G959" s="25">
        <v>44100</v>
      </c>
      <c r="H959" s="1" t="s">
        <v>5398</v>
      </c>
      <c r="I959" s="14" t="s">
        <v>2821</v>
      </c>
      <c r="J959" s="1" t="s">
        <v>3006</v>
      </c>
      <c r="K959" s="14" t="s">
        <v>3007</v>
      </c>
      <c r="L959" s="1" t="s">
        <v>3614</v>
      </c>
      <c r="M959" s="1" t="s">
        <v>3016</v>
      </c>
      <c r="N959" s="1">
        <v>26</v>
      </c>
      <c r="O959" s="1" t="s">
        <v>976</v>
      </c>
      <c r="P959" s="5">
        <v>256.5</v>
      </c>
      <c r="Q959" s="5">
        <v>13.5</v>
      </c>
      <c r="R959" s="5">
        <v>270</v>
      </c>
      <c r="S959" s="5">
        <v>0</v>
      </c>
      <c r="T959" s="5" t="s">
        <v>23</v>
      </c>
      <c r="U959" s="5" t="s">
        <v>2482</v>
      </c>
      <c r="V959" s="5" t="s">
        <v>803</v>
      </c>
      <c r="AB959"/>
      <c r="AC959"/>
      <c r="AD959"/>
    </row>
    <row r="960" spans="1:30" x14ac:dyDescent="0.25">
      <c r="A960" t="s">
        <v>5399</v>
      </c>
      <c r="B960" t="s">
        <v>5400</v>
      </c>
      <c r="C960" s="9" t="s">
        <v>5401</v>
      </c>
      <c r="D960" s="9">
        <v>998712601</v>
      </c>
      <c r="E960" s="5" t="s">
        <v>3041</v>
      </c>
      <c r="F960" s="1" t="s">
        <v>3042</v>
      </c>
      <c r="G960" s="25">
        <v>44176</v>
      </c>
      <c r="H960" s="1" t="s">
        <v>3155</v>
      </c>
      <c r="I960" s="14" t="s">
        <v>2841</v>
      </c>
      <c r="J960" s="1" t="s">
        <v>3006</v>
      </c>
      <c r="K960" s="14" t="s">
        <v>3007</v>
      </c>
      <c r="L960" s="1" t="s">
        <v>3008</v>
      </c>
      <c r="M960" s="1" t="s">
        <v>3016</v>
      </c>
      <c r="N960" s="1">
        <v>81</v>
      </c>
      <c r="O960" s="1" t="s">
        <v>976</v>
      </c>
      <c r="P960" s="5">
        <v>115.7</v>
      </c>
      <c r="Q960" s="5">
        <v>0</v>
      </c>
      <c r="R960" s="5">
        <v>95</v>
      </c>
      <c r="S960" s="5">
        <v>20.7</v>
      </c>
      <c r="T960" s="5">
        <v>43</v>
      </c>
      <c r="U960" s="5" t="s">
        <v>2482</v>
      </c>
      <c r="V960" s="5" t="s">
        <v>827</v>
      </c>
      <c r="AB960"/>
      <c r="AC960"/>
      <c r="AD960"/>
    </row>
    <row r="961" spans="1:30" x14ac:dyDescent="0.25">
      <c r="A961" t="s">
        <v>5402</v>
      </c>
      <c r="B961" t="s">
        <v>5403</v>
      </c>
      <c r="C961" s="9" t="s">
        <v>5404</v>
      </c>
      <c r="D961" s="9" t="s">
        <v>5405</v>
      </c>
      <c r="E961" s="5" t="s">
        <v>3003</v>
      </c>
      <c r="F961" s="1" t="s">
        <v>3004</v>
      </c>
      <c r="G961" s="25">
        <v>44384</v>
      </c>
      <c r="H961" s="1" t="s">
        <v>4280</v>
      </c>
      <c r="I961" s="14" t="s">
        <v>558</v>
      </c>
      <c r="J961" s="1" t="s">
        <v>3006</v>
      </c>
      <c r="K961" s="14" t="s">
        <v>3007</v>
      </c>
      <c r="L961" s="1" t="s">
        <v>3008</v>
      </c>
      <c r="M961" s="1" t="s">
        <v>3016</v>
      </c>
      <c r="N961" s="1">
        <v>603</v>
      </c>
      <c r="O961" s="1" t="s">
        <v>976</v>
      </c>
      <c r="P961" s="5">
        <v>66</v>
      </c>
      <c r="Q961" s="5">
        <v>44</v>
      </c>
      <c r="R961" s="5">
        <v>110</v>
      </c>
      <c r="S961" s="5">
        <v>0</v>
      </c>
      <c r="T961" s="5" t="s">
        <v>22</v>
      </c>
      <c r="V961" s="5" t="s">
        <v>558</v>
      </c>
      <c r="AB961"/>
      <c r="AC961"/>
      <c r="AD961"/>
    </row>
    <row r="962" spans="1:30" x14ac:dyDescent="0.25">
      <c r="A962" t="s">
        <v>5406</v>
      </c>
      <c r="B962" t="s">
        <v>5407</v>
      </c>
      <c r="C962" s="9" t="s">
        <v>5408</v>
      </c>
      <c r="D962" s="9" t="s">
        <v>5409</v>
      </c>
      <c r="E962" s="5" t="s">
        <v>3003</v>
      </c>
      <c r="F962" s="1" t="s">
        <v>3004</v>
      </c>
      <c r="G962" s="25">
        <v>44378</v>
      </c>
      <c r="H962" s="1" t="s">
        <v>3098</v>
      </c>
      <c r="I962" s="14" t="s">
        <v>248</v>
      </c>
      <c r="J962" s="1" t="s">
        <v>3006</v>
      </c>
      <c r="K962" s="14" t="s">
        <v>3007</v>
      </c>
      <c r="L962" s="1" t="s">
        <v>3008</v>
      </c>
      <c r="M962" s="1" t="s">
        <v>3009</v>
      </c>
      <c r="N962" s="1">
        <v>568</v>
      </c>
      <c r="O962" s="1" t="s">
        <v>976</v>
      </c>
      <c r="P962" s="5">
        <v>1850</v>
      </c>
      <c r="Q962" s="5">
        <v>0</v>
      </c>
      <c r="R962" s="5">
        <v>1850</v>
      </c>
      <c r="S962" s="5">
        <v>0</v>
      </c>
      <c r="T962" s="5" t="s">
        <v>5574</v>
      </c>
      <c r="V962" s="5" t="s">
        <v>248</v>
      </c>
      <c r="AB962"/>
      <c r="AC962"/>
      <c r="AD962"/>
    </row>
    <row r="963" spans="1:30" x14ac:dyDescent="0.25">
      <c r="A963" t="s">
        <v>5406</v>
      </c>
      <c r="B963" t="s">
        <v>5407</v>
      </c>
      <c r="C963" s="9" t="s">
        <v>5408</v>
      </c>
      <c r="D963" s="9" t="s">
        <v>5409</v>
      </c>
      <c r="E963" s="5" t="s">
        <v>3003</v>
      </c>
      <c r="F963" s="1" t="s">
        <v>3004</v>
      </c>
      <c r="G963" s="25">
        <v>44394</v>
      </c>
      <c r="H963" s="1" t="s">
        <v>4691</v>
      </c>
      <c r="I963" s="14" t="s">
        <v>1595</v>
      </c>
      <c r="J963" s="1" t="s">
        <v>3006</v>
      </c>
      <c r="K963" s="14" t="s">
        <v>3007</v>
      </c>
      <c r="L963" s="1" t="s">
        <v>3008</v>
      </c>
      <c r="M963" s="1" t="s">
        <v>3016</v>
      </c>
      <c r="N963" s="1">
        <v>645</v>
      </c>
      <c r="O963" s="1" t="s">
        <v>976</v>
      </c>
      <c r="P963" s="5">
        <v>560</v>
      </c>
      <c r="Q963" s="5">
        <v>0</v>
      </c>
      <c r="R963" s="5">
        <v>560</v>
      </c>
      <c r="S963" s="5">
        <v>0</v>
      </c>
      <c r="T963" s="5" t="s">
        <v>23</v>
      </c>
      <c r="U963" s="5" t="s">
        <v>2463</v>
      </c>
      <c r="V963" s="5" t="s">
        <v>877</v>
      </c>
      <c r="AB963"/>
      <c r="AC963"/>
      <c r="AD963"/>
    </row>
    <row r="964" spans="1:30" x14ac:dyDescent="0.25">
      <c r="A964" t="s">
        <v>5410</v>
      </c>
      <c r="B964" t="s">
        <v>5411</v>
      </c>
      <c r="C964" s="9" t="s">
        <v>5412</v>
      </c>
      <c r="D964" s="9">
        <v>99693057</v>
      </c>
      <c r="E964" s="5" t="s">
        <v>3073</v>
      </c>
      <c r="F964" s="1" t="s">
        <v>3378</v>
      </c>
      <c r="G964" s="25">
        <v>44329</v>
      </c>
      <c r="H964" s="1" t="s">
        <v>3075</v>
      </c>
      <c r="I964" s="14" t="s">
        <v>2791</v>
      </c>
      <c r="J964" s="1" t="s">
        <v>3006</v>
      </c>
      <c r="K964" s="14" t="s">
        <v>3007</v>
      </c>
      <c r="L964" s="1" t="s">
        <v>3008</v>
      </c>
      <c r="M964" s="1" t="s">
        <v>3009</v>
      </c>
      <c r="N964" s="1">
        <v>416</v>
      </c>
      <c r="O964" s="1" t="s">
        <v>976</v>
      </c>
      <c r="P964" s="5">
        <v>1200</v>
      </c>
      <c r="Q964" s="5">
        <v>0</v>
      </c>
      <c r="R964" s="5">
        <v>1200</v>
      </c>
      <c r="S964" s="5">
        <v>0</v>
      </c>
      <c r="T964" s="5" t="s">
        <v>22</v>
      </c>
      <c r="U964" s="5" t="s">
        <v>2443</v>
      </c>
      <c r="V964" s="5" t="s">
        <v>763</v>
      </c>
      <c r="AB964"/>
      <c r="AC964"/>
      <c r="AD964"/>
    </row>
    <row r="965" spans="1:30" x14ac:dyDescent="0.25">
      <c r="A965" t="s">
        <v>5410</v>
      </c>
      <c r="B965" t="s">
        <v>5411</v>
      </c>
      <c r="C965" s="9" t="s">
        <v>5412</v>
      </c>
      <c r="D965" s="9">
        <v>99693057</v>
      </c>
      <c r="E965" s="5" t="s">
        <v>3073</v>
      </c>
      <c r="F965" s="1" t="s">
        <v>3378</v>
      </c>
      <c r="G965" s="25">
        <v>44329</v>
      </c>
      <c r="H965" s="1" t="s">
        <v>5413</v>
      </c>
      <c r="I965" s="14" t="s">
        <v>2991</v>
      </c>
      <c r="J965" s="1" t="s">
        <v>3006</v>
      </c>
      <c r="K965" s="14" t="s">
        <v>3007</v>
      </c>
      <c r="L965" s="1" t="s">
        <v>3008</v>
      </c>
      <c r="M965" s="1" t="s">
        <v>3009</v>
      </c>
      <c r="N965" s="1">
        <v>416</v>
      </c>
      <c r="O965" s="1" t="s">
        <v>976</v>
      </c>
      <c r="P965" s="5">
        <v>404.14</v>
      </c>
      <c r="Q965" s="5">
        <v>565.86</v>
      </c>
      <c r="R965" s="5">
        <v>970</v>
      </c>
      <c r="S965" s="5">
        <v>0</v>
      </c>
      <c r="T965" s="5" t="s">
        <v>23</v>
      </c>
      <c r="U965" s="5" t="s">
        <v>2447</v>
      </c>
      <c r="V965" s="5" t="s">
        <v>959</v>
      </c>
      <c r="AB965"/>
      <c r="AC965"/>
      <c r="AD965"/>
    </row>
    <row r="966" spans="1:30" x14ac:dyDescent="0.25">
      <c r="A966" t="s">
        <v>5410</v>
      </c>
      <c r="B966" t="s">
        <v>5411</v>
      </c>
      <c r="C966" s="9" t="s">
        <v>5412</v>
      </c>
      <c r="D966" s="9">
        <v>99693057</v>
      </c>
      <c r="E966" s="5" t="s">
        <v>3073</v>
      </c>
      <c r="F966" s="1" t="s">
        <v>3378</v>
      </c>
      <c r="G966" s="25">
        <v>44329</v>
      </c>
      <c r="H966" s="1" t="s">
        <v>3574</v>
      </c>
      <c r="I966" s="14" t="s">
        <v>538</v>
      </c>
      <c r="J966" s="1" t="s">
        <v>3006</v>
      </c>
      <c r="K966" s="14" t="s">
        <v>3007</v>
      </c>
      <c r="L966" s="1" t="s">
        <v>3008</v>
      </c>
      <c r="M966" s="1" t="s">
        <v>3009</v>
      </c>
      <c r="N966" s="1">
        <v>416</v>
      </c>
      <c r="O966" s="1" t="s">
        <v>976</v>
      </c>
      <c r="P966" s="5">
        <v>213</v>
      </c>
      <c r="Q966" s="5">
        <v>277</v>
      </c>
      <c r="R966" s="5">
        <v>490</v>
      </c>
      <c r="S966" s="5">
        <v>0</v>
      </c>
      <c r="T966" s="5" t="s">
        <v>24</v>
      </c>
      <c r="V966" s="5" t="s">
        <v>538</v>
      </c>
      <c r="AB966"/>
      <c r="AC966"/>
      <c r="AD966"/>
    </row>
    <row r="967" spans="1:30" x14ac:dyDescent="0.25">
      <c r="A967" t="s">
        <v>5410</v>
      </c>
      <c r="B967" t="s">
        <v>5411</v>
      </c>
      <c r="C967" s="9" t="s">
        <v>5412</v>
      </c>
      <c r="D967" s="9">
        <v>99693057</v>
      </c>
      <c r="E967" s="5" t="s">
        <v>3073</v>
      </c>
      <c r="F967" s="1" t="s">
        <v>3378</v>
      </c>
      <c r="G967" s="25">
        <v>44329</v>
      </c>
      <c r="H967" s="1" t="s">
        <v>3351</v>
      </c>
      <c r="I967" s="14" t="s">
        <v>540</v>
      </c>
      <c r="J967" s="1" t="s">
        <v>3006</v>
      </c>
      <c r="K967" s="14" t="s">
        <v>3007</v>
      </c>
      <c r="L967" s="1" t="s">
        <v>3008</v>
      </c>
      <c r="M967" s="1" t="s">
        <v>3009</v>
      </c>
      <c r="N967" s="1">
        <v>416</v>
      </c>
      <c r="O967" s="1" t="s">
        <v>976</v>
      </c>
      <c r="P967" s="5">
        <v>213</v>
      </c>
      <c r="Q967" s="5">
        <v>277</v>
      </c>
      <c r="R967" s="5">
        <v>490</v>
      </c>
      <c r="S967" s="5">
        <v>0</v>
      </c>
      <c r="T967" s="5" t="s">
        <v>23</v>
      </c>
      <c r="V967" s="5" t="s">
        <v>540</v>
      </c>
      <c r="AB967"/>
      <c r="AC967"/>
      <c r="AD967"/>
    </row>
    <row r="968" spans="1:30" x14ac:dyDescent="0.25">
      <c r="A968" t="s">
        <v>5410</v>
      </c>
      <c r="B968" t="s">
        <v>5411</v>
      </c>
      <c r="C968" s="9" t="s">
        <v>5412</v>
      </c>
      <c r="D968" s="9">
        <v>99693057</v>
      </c>
      <c r="E968" s="5" t="s">
        <v>3073</v>
      </c>
      <c r="F968" s="1" t="s">
        <v>3378</v>
      </c>
      <c r="G968" s="25">
        <v>44419</v>
      </c>
      <c r="H968" s="1" t="s">
        <v>3027</v>
      </c>
      <c r="I968" s="14" t="s">
        <v>254</v>
      </c>
      <c r="J968" s="1" t="s">
        <v>3006</v>
      </c>
      <c r="K968" s="14" t="s">
        <v>3007</v>
      </c>
      <c r="L968" s="1" t="s">
        <v>3008</v>
      </c>
      <c r="M968" s="1" t="s">
        <v>3009</v>
      </c>
      <c r="N968" s="1">
        <v>760</v>
      </c>
      <c r="O968" s="1" t="s">
        <v>976</v>
      </c>
      <c r="P968" s="5">
        <v>1180</v>
      </c>
      <c r="Q968" s="5">
        <v>1480</v>
      </c>
      <c r="R968" s="5">
        <v>2660</v>
      </c>
      <c r="S968" s="5">
        <v>0</v>
      </c>
      <c r="T968" s="5" t="s">
        <v>22</v>
      </c>
      <c r="V968" s="5" t="s">
        <v>254</v>
      </c>
      <c r="AB968"/>
      <c r="AC968"/>
      <c r="AD968"/>
    </row>
    <row r="969" spans="1:30" x14ac:dyDescent="0.25">
      <c r="A969" t="s">
        <v>5414</v>
      </c>
      <c r="B969" t="s">
        <v>5415</v>
      </c>
      <c r="C969" s="9" t="s">
        <v>5416</v>
      </c>
      <c r="D969" s="9">
        <v>982366528</v>
      </c>
      <c r="E969" s="5" t="s">
        <v>3003</v>
      </c>
      <c r="F969" s="1" t="s">
        <v>3004</v>
      </c>
      <c r="G969" s="25">
        <v>44380</v>
      </c>
      <c r="H969" s="1" t="s">
        <v>3298</v>
      </c>
      <c r="I969" s="14" t="s">
        <v>557</v>
      </c>
      <c r="J969" s="1" t="s">
        <v>3006</v>
      </c>
      <c r="K969" s="14" t="s">
        <v>3007</v>
      </c>
      <c r="L969" s="1" t="s">
        <v>3008</v>
      </c>
      <c r="M969" s="1" t="s">
        <v>3009</v>
      </c>
      <c r="N969" s="1">
        <v>581</v>
      </c>
      <c r="O969" s="1" t="s">
        <v>976</v>
      </c>
      <c r="P969" s="5">
        <v>165.46</v>
      </c>
      <c r="Q969" s="5">
        <v>18</v>
      </c>
      <c r="R969" s="5">
        <v>180</v>
      </c>
      <c r="S969" s="5">
        <v>3.46</v>
      </c>
      <c r="T969" s="5" t="s">
        <v>24</v>
      </c>
      <c r="V969" s="5" t="s">
        <v>557</v>
      </c>
      <c r="AB969"/>
      <c r="AC969"/>
      <c r="AD969"/>
    </row>
    <row r="970" spans="1:30" x14ac:dyDescent="0.25">
      <c r="A970" t="s">
        <v>5414</v>
      </c>
      <c r="B970" t="s">
        <v>5415</v>
      </c>
      <c r="C970" s="9" t="s">
        <v>5416</v>
      </c>
      <c r="D970" s="9">
        <v>982366528</v>
      </c>
      <c r="E970" s="5" t="s">
        <v>3003</v>
      </c>
      <c r="F970" s="1" t="s">
        <v>3004</v>
      </c>
      <c r="G970" s="25">
        <v>44380</v>
      </c>
      <c r="H970" s="1" t="s">
        <v>3805</v>
      </c>
      <c r="I970" s="14" t="s">
        <v>487</v>
      </c>
      <c r="J970" s="1" t="s">
        <v>3006</v>
      </c>
      <c r="K970" s="14" t="s">
        <v>3007</v>
      </c>
      <c r="L970" s="1" t="s">
        <v>3008</v>
      </c>
      <c r="M970" s="1" t="s">
        <v>3009</v>
      </c>
      <c r="N970" s="1">
        <v>581</v>
      </c>
      <c r="O970" s="1" t="s">
        <v>976</v>
      </c>
      <c r="P970" s="5">
        <v>266.56</v>
      </c>
      <c r="Q970" s="5">
        <v>29</v>
      </c>
      <c r="R970" s="5">
        <v>290</v>
      </c>
      <c r="S970" s="5">
        <v>5.56</v>
      </c>
      <c r="T970" s="5" t="s">
        <v>23</v>
      </c>
      <c r="V970" s="5" t="s">
        <v>487</v>
      </c>
      <c r="AB970"/>
      <c r="AC970"/>
      <c r="AD970"/>
    </row>
    <row r="971" spans="1:30" x14ac:dyDescent="0.25">
      <c r="A971" t="s">
        <v>5414</v>
      </c>
      <c r="B971" t="s">
        <v>5415</v>
      </c>
      <c r="C971" s="9" t="s">
        <v>5416</v>
      </c>
      <c r="D971" s="9">
        <v>982366528</v>
      </c>
      <c r="E971" s="5" t="s">
        <v>3003</v>
      </c>
      <c r="F971" s="1" t="s">
        <v>3004</v>
      </c>
      <c r="G971" s="25">
        <v>44380</v>
      </c>
      <c r="H971" s="1" t="s">
        <v>3259</v>
      </c>
      <c r="I971" s="14" t="s">
        <v>512</v>
      </c>
      <c r="J971" s="1" t="s">
        <v>3006</v>
      </c>
      <c r="K971" s="14" t="s">
        <v>3007</v>
      </c>
      <c r="L971" s="1" t="s">
        <v>3008</v>
      </c>
      <c r="M971" s="1" t="s">
        <v>3009</v>
      </c>
      <c r="N971" s="1">
        <v>581</v>
      </c>
      <c r="O971" s="1" t="s">
        <v>976</v>
      </c>
      <c r="P971" s="5">
        <v>170.05</v>
      </c>
      <c r="Q971" s="5">
        <v>18.5</v>
      </c>
      <c r="R971" s="5">
        <v>185</v>
      </c>
      <c r="S971" s="5">
        <v>3.55</v>
      </c>
      <c r="T971" s="5" t="s">
        <v>23</v>
      </c>
      <c r="V971" s="5" t="s">
        <v>512</v>
      </c>
      <c r="AB971"/>
      <c r="AC971"/>
      <c r="AD971"/>
    </row>
    <row r="972" spans="1:30" x14ac:dyDescent="0.25">
      <c r="A972" t="s">
        <v>5414</v>
      </c>
      <c r="B972" t="s">
        <v>5415</v>
      </c>
      <c r="C972" s="9" t="s">
        <v>5416</v>
      </c>
      <c r="D972" s="9">
        <v>982366528</v>
      </c>
      <c r="E972" s="5" t="s">
        <v>3003</v>
      </c>
      <c r="F972" s="1" t="s">
        <v>3004</v>
      </c>
      <c r="G972" s="25">
        <v>44380</v>
      </c>
      <c r="H972" s="1" t="s">
        <v>3628</v>
      </c>
      <c r="I972" s="14" t="s">
        <v>1415</v>
      </c>
      <c r="J972" s="1" t="s">
        <v>3006</v>
      </c>
      <c r="K972" s="14" t="s">
        <v>3007</v>
      </c>
      <c r="L972" s="1" t="s">
        <v>3008</v>
      </c>
      <c r="M972" s="1" t="s">
        <v>3009</v>
      </c>
      <c r="N972" s="1">
        <v>581</v>
      </c>
      <c r="O972" s="1" t="s">
        <v>976</v>
      </c>
      <c r="P972" s="5">
        <v>358.48</v>
      </c>
      <c r="Q972" s="5">
        <v>39</v>
      </c>
      <c r="R972" s="5">
        <v>390</v>
      </c>
      <c r="S972" s="5">
        <v>7.48</v>
      </c>
      <c r="T972" s="5" t="s">
        <v>23</v>
      </c>
      <c r="U972" s="5" t="s">
        <v>2495</v>
      </c>
      <c r="V972" s="5" t="s">
        <v>843</v>
      </c>
      <c r="AB972"/>
      <c r="AC972"/>
      <c r="AD972"/>
    </row>
    <row r="973" spans="1:30" x14ac:dyDescent="0.25">
      <c r="A973" t="s">
        <v>5414</v>
      </c>
      <c r="B973" t="s">
        <v>5415</v>
      </c>
      <c r="C973" s="9" t="s">
        <v>5416</v>
      </c>
      <c r="D973" s="9">
        <v>982366528</v>
      </c>
      <c r="E973" s="5" t="s">
        <v>3003</v>
      </c>
      <c r="F973" s="1" t="s">
        <v>3004</v>
      </c>
      <c r="G973" s="25">
        <v>44441</v>
      </c>
      <c r="H973" s="1" t="s">
        <v>3827</v>
      </c>
      <c r="I973" s="14" t="s">
        <v>2922</v>
      </c>
      <c r="J973" s="1" t="s">
        <v>3006</v>
      </c>
      <c r="K973" s="14" t="s">
        <v>3007</v>
      </c>
      <c r="L973" s="1" t="s">
        <v>3008</v>
      </c>
      <c r="M973" s="1" t="s">
        <v>3009</v>
      </c>
      <c r="N973" s="1">
        <v>847</v>
      </c>
      <c r="O973" s="1" t="s">
        <v>976</v>
      </c>
      <c r="P973" s="5">
        <v>503.52</v>
      </c>
      <c r="Q973" s="5">
        <v>0</v>
      </c>
      <c r="R973" s="5">
        <v>490</v>
      </c>
      <c r="S973" s="5">
        <v>13.52</v>
      </c>
      <c r="T973" s="5" t="s">
        <v>23</v>
      </c>
      <c r="U973" s="5" t="s">
        <v>2482</v>
      </c>
      <c r="V973" s="5" t="s">
        <v>916</v>
      </c>
      <c r="AB973"/>
      <c r="AC973"/>
      <c r="AD973"/>
    </row>
    <row r="974" spans="1:30" x14ac:dyDescent="0.25">
      <c r="A974" t="s">
        <v>5417</v>
      </c>
      <c r="B974" t="s">
        <v>5418</v>
      </c>
      <c r="C974" s="9" t="s">
        <v>5419</v>
      </c>
      <c r="D974" s="9" t="s">
        <v>5420</v>
      </c>
      <c r="E974" s="5" t="s">
        <v>3003</v>
      </c>
      <c r="F974" s="1" t="s">
        <v>3004</v>
      </c>
      <c r="G974" s="25">
        <v>44595</v>
      </c>
      <c r="H974" s="1" t="s">
        <v>4744</v>
      </c>
      <c r="I974" s="14" t="s">
        <v>327</v>
      </c>
      <c r="J974" s="1" t="s">
        <v>3006</v>
      </c>
      <c r="K974" s="14" t="s">
        <v>3007</v>
      </c>
      <c r="L974" s="1" t="s">
        <v>3008</v>
      </c>
      <c r="M974" s="1" t="s">
        <v>3009</v>
      </c>
      <c r="N974" s="1">
        <v>1759</v>
      </c>
      <c r="O974" s="1" t="s">
        <v>976</v>
      </c>
      <c r="P974" s="5">
        <v>748</v>
      </c>
      <c r="Q974" s="5">
        <v>132</v>
      </c>
      <c r="R974" s="5">
        <v>880</v>
      </c>
      <c r="S974" s="5">
        <v>0</v>
      </c>
      <c r="T974" s="5" t="s">
        <v>23</v>
      </c>
      <c r="V974" s="5" t="s">
        <v>327</v>
      </c>
      <c r="AB974"/>
      <c r="AC974"/>
      <c r="AD974"/>
    </row>
    <row r="975" spans="1:30" x14ac:dyDescent="0.25">
      <c r="A975" t="s">
        <v>5421</v>
      </c>
      <c r="B975" t="s">
        <v>5422</v>
      </c>
      <c r="C975" s="9" t="s">
        <v>5423</v>
      </c>
      <c r="D975" s="9" t="s">
        <v>5424</v>
      </c>
      <c r="E975" s="5" t="s">
        <v>3003</v>
      </c>
      <c r="F975" s="1" t="s">
        <v>3004</v>
      </c>
      <c r="G975" s="25">
        <v>44559</v>
      </c>
      <c r="H975" s="1" t="s">
        <v>5425</v>
      </c>
      <c r="I975" s="14" t="s">
        <v>2767</v>
      </c>
      <c r="J975" s="1" t="s">
        <v>3006</v>
      </c>
      <c r="K975" s="14" t="s">
        <v>3007</v>
      </c>
      <c r="L975" s="1" t="s">
        <v>3008</v>
      </c>
      <c r="M975" s="1" t="s">
        <v>3009</v>
      </c>
      <c r="N975" s="1">
        <v>1560</v>
      </c>
      <c r="O975" s="1" t="s">
        <v>976</v>
      </c>
      <c r="P975" s="5">
        <v>740</v>
      </c>
      <c r="Q975" s="5">
        <v>0</v>
      </c>
      <c r="R975" s="5">
        <v>740</v>
      </c>
      <c r="S975" s="5">
        <v>0</v>
      </c>
      <c r="T975" s="5">
        <v>38</v>
      </c>
      <c r="U975" s="5" t="s">
        <v>2463</v>
      </c>
      <c r="V975" s="5" t="s">
        <v>724</v>
      </c>
      <c r="AB975"/>
      <c r="AC975"/>
      <c r="AD975"/>
    </row>
    <row r="976" spans="1:30" x14ac:dyDescent="0.25">
      <c r="A976" t="s">
        <v>5421</v>
      </c>
      <c r="B976" t="s">
        <v>5422</v>
      </c>
      <c r="C976" s="9" t="s">
        <v>5423</v>
      </c>
      <c r="D976" s="9" t="s">
        <v>5424</v>
      </c>
      <c r="E976" s="5" t="s">
        <v>3003</v>
      </c>
      <c r="F976" s="1" t="s">
        <v>3004</v>
      </c>
      <c r="G976" s="25">
        <v>44559</v>
      </c>
      <c r="H976" s="1" t="s">
        <v>5426</v>
      </c>
      <c r="I976" s="14" t="s">
        <v>2768</v>
      </c>
      <c r="J976" s="1" t="s">
        <v>3006</v>
      </c>
      <c r="K976" s="14" t="s">
        <v>3007</v>
      </c>
      <c r="L976" s="1" t="s">
        <v>3008</v>
      </c>
      <c r="M976" s="1" t="s">
        <v>3009</v>
      </c>
      <c r="N976" s="1">
        <v>1560</v>
      </c>
      <c r="O976" s="1" t="s">
        <v>976</v>
      </c>
      <c r="P976" s="5">
        <v>599</v>
      </c>
      <c r="Q976" s="5">
        <v>0</v>
      </c>
      <c r="R976" s="5">
        <v>599</v>
      </c>
      <c r="S976" s="5">
        <v>0</v>
      </c>
      <c r="T976" s="5" t="s">
        <v>22</v>
      </c>
      <c r="U976" s="5" t="s">
        <v>2482</v>
      </c>
      <c r="V976" s="5" t="s">
        <v>726</v>
      </c>
      <c r="AB976"/>
      <c r="AC976"/>
      <c r="AD976"/>
    </row>
    <row r="977" spans="1:30" x14ac:dyDescent="0.25">
      <c r="A977" t="s">
        <v>5421</v>
      </c>
      <c r="B977" t="s">
        <v>5422</v>
      </c>
      <c r="C977" s="9" t="s">
        <v>5423</v>
      </c>
      <c r="D977" s="9" t="s">
        <v>5424</v>
      </c>
      <c r="E977" s="5" t="s">
        <v>3003</v>
      </c>
      <c r="F977" s="1" t="s">
        <v>3004</v>
      </c>
      <c r="G977" s="25">
        <v>44559</v>
      </c>
      <c r="H977" s="1" t="s">
        <v>3015</v>
      </c>
      <c r="I977" s="14" t="s">
        <v>252</v>
      </c>
      <c r="J977" s="1" t="s">
        <v>3006</v>
      </c>
      <c r="K977" s="14" t="s">
        <v>3007</v>
      </c>
      <c r="L977" s="1" t="s">
        <v>3008</v>
      </c>
      <c r="M977" s="1" t="s">
        <v>3009</v>
      </c>
      <c r="N977" s="1">
        <v>1560</v>
      </c>
      <c r="O977" s="1" t="s">
        <v>976</v>
      </c>
      <c r="P977" s="5">
        <v>1665</v>
      </c>
      <c r="Q977" s="5">
        <v>0</v>
      </c>
      <c r="R977" s="5">
        <v>1665</v>
      </c>
      <c r="S977" s="5">
        <v>0</v>
      </c>
      <c r="T977" s="5" t="s">
        <v>22</v>
      </c>
      <c r="V977" s="5" t="s">
        <v>252</v>
      </c>
      <c r="AB977"/>
      <c r="AC977"/>
      <c r="AD977"/>
    </row>
    <row r="978" spans="1:30" x14ac:dyDescent="0.25">
      <c r="A978" t="s">
        <v>5421</v>
      </c>
      <c r="B978" t="s">
        <v>5422</v>
      </c>
      <c r="C978" s="9" t="s">
        <v>5423</v>
      </c>
      <c r="D978" s="9" t="s">
        <v>5424</v>
      </c>
      <c r="E978" s="5" t="s">
        <v>3003</v>
      </c>
      <c r="F978" s="1" t="s">
        <v>3004</v>
      </c>
      <c r="G978" s="25">
        <v>44559</v>
      </c>
      <c r="H978" s="1" t="s">
        <v>5427</v>
      </c>
      <c r="I978" s="14" t="s">
        <v>2846</v>
      </c>
      <c r="J978" s="1" t="s">
        <v>3006</v>
      </c>
      <c r="K978" s="14" t="s">
        <v>3007</v>
      </c>
      <c r="L978" s="1" t="s">
        <v>3008</v>
      </c>
      <c r="M978" s="1" t="s">
        <v>3009</v>
      </c>
      <c r="N978" s="1">
        <v>1560</v>
      </c>
      <c r="O978" s="1" t="s">
        <v>976</v>
      </c>
      <c r="P978" s="5">
        <v>680</v>
      </c>
      <c r="Q978" s="5">
        <v>0</v>
      </c>
      <c r="R978" s="5">
        <v>680</v>
      </c>
      <c r="S978" s="5">
        <v>0</v>
      </c>
      <c r="T978" s="5" t="s">
        <v>22</v>
      </c>
      <c r="U978" s="5" t="s">
        <v>2727</v>
      </c>
      <c r="V978" s="5" t="s">
        <v>831</v>
      </c>
      <c r="AB978"/>
      <c r="AC978"/>
      <c r="AD978"/>
    </row>
    <row r="979" spans="1:30" x14ac:dyDescent="0.25">
      <c r="A979" t="s">
        <v>5421</v>
      </c>
      <c r="B979" t="s">
        <v>5422</v>
      </c>
      <c r="C979" s="9" t="s">
        <v>5423</v>
      </c>
      <c r="D979" s="9" t="s">
        <v>5424</v>
      </c>
      <c r="E979" s="5" t="s">
        <v>3003</v>
      </c>
      <c r="F979" s="1" t="s">
        <v>3004</v>
      </c>
      <c r="G979" s="25">
        <v>44559</v>
      </c>
      <c r="H979" s="1" t="s">
        <v>5082</v>
      </c>
      <c r="I979" s="14" t="s">
        <v>2850</v>
      </c>
      <c r="J979" s="1" t="s">
        <v>3006</v>
      </c>
      <c r="K979" s="14" t="s">
        <v>3007</v>
      </c>
      <c r="L979" s="1" t="s">
        <v>3008</v>
      </c>
      <c r="M979" s="1" t="s">
        <v>3009</v>
      </c>
      <c r="N979" s="1">
        <v>1560</v>
      </c>
      <c r="O979" s="1" t="s">
        <v>976</v>
      </c>
      <c r="P979" s="5">
        <v>670</v>
      </c>
      <c r="Q979" s="5">
        <v>0</v>
      </c>
      <c r="R979" s="5">
        <v>670</v>
      </c>
      <c r="S979" s="5">
        <v>0</v>
      </c>
      <c r="T979" s="5" t="s">
        <v>22</v>
      </c>
      <c r="U979" s="5" t="s">
        <v>2447</v>
      </c>
      <c r="V979" s="5" t="s">
        <v>838</v>
      </c>
      <c r="AB979"/>
      <c r="AC979"/>
      <c r="AD979"/>
    </row>
    <row r="980" spans="1:30" x14ac:dyDescent="0.25">
      <c r="A980" t="s">
        <v>5421</v>
      </c>
      <c r="B980" t="s">
        <v>5422</v>
      </c>
      <c r="C980" s="9" t="s">
        <v>5423</v>
      </c>
      <c r="D980" s="9" t="s">
        <v>5424</v>
      </c>
      <c r="E980" s="5" t="s">
        <v>3003</v>
      </c>
      <c r="F980" s="1" t="s">
        <v>3004</v>
      </c>
      <c r="G980" s="25">
        <v>44559</v>
      </c>
      <c r="H980" s="1" t="s">
        <v>3363</v>
      </c>
      <c r="I980" s="14" t="s">
        <v>308</v>
      </c>
      <c r="J980" s="1" t="s">
        <v>3006</v>
      </c>
      <c r="K980" s="14" t="s">
        <v>3007</v>
      </c>
      <c r="L980" s="1" t="s">
        <v>3008</v>
      </c>
      <c r="M980" s="1" t="s">
        <v>3009</v>
      </c>
      <c r="N980" s="1">
        <v>1560</v>
      </c>
      <c r="O980" s="1" t="s">
        <v>976</v>
      </c>
      <c r="P980" s="5">
        <v>790</v>
      </c>
      <c r="Q980" s="5">
        <v>0</v>
      </c>
      <c r="R980" s="5">
        <v>790</v>
      </c>
      <c r="S980" s="5">
        <v>0</v>
      </c>
      <c r="T980" s="5" t="s">
        <v>22</v>
      </c>
      <c r="V980" s="5" t="s">
        <v>308</v>
      </c>
      <c r="AB980"/>
      <c r="AC980"/>
      <c r="AD980"/>
    </row>
    <row r="981" spans="1:30" x14ac:dyDescent="0.25">
      <c r="A981" t="s">
        <v>5421</v>
      </c>
      <c r="B981" t="s">
        <v>5422</v>
      </c>
      <c r="C981" s="9" t="s">
        <v>5423</v>
      </c>
      <c r="D981" s="9" t="s">
        <v>5424</v>
      </c>
      <c r="E981" s="5" t="s">
        <v>3003</v>
      </c>
      <c r="F981" s="1" t="s">
        <v>3004</v>
      </c>
      <c r="G981" s="25">
        <v>44559</v>
      </c>
      <c r="H981" s="1" t="s">
        <v>5428</v>
      </c>
      <c r="I981" s="14" t="s">
        <v>2862</v>
      </c>
      <c r="J981" s="1" t="s">
        <v>3006</v>
      </c>
      <c r="K981" s="14" t="s">
        <v>3007</v>
      </c>
      <c r="L981" s="1" t="s">
        <v>3008</v>
      </c>
      <c r="M981" s="1" t="s">
        <v>3009</v>
      </c>
      <c r="N981" s="1">
        <v>1560</v>
      </c>
      <c r="O981" s="1" t="s">
        <v>976</v>
      </c>
      <c r="P981" s="5">
        <v>790</v>
      </c>
      <c r="Q981" s="5">
        <v>0</v>
      </c>
      <c r="R981" s="5">
        <v>790</v>
      </c>
      <c r="S981" s="5">
        <v>0</v>
      </c>
      <c r="T981" s="5" t="s">
        <v>22</v>
      </c>
      <c r="U981" s="5" t="s">
        <v>2482</v>
      </c>
      <c r="V981" s="5" t="s">
        <v>862</v>
      </c>
      <c r="AB981"/>
      <c r="AC981"/>
      <c r="AD981"/>
    </row>
    <row r="982" spans="1:30" x14ac:dyDescent="0.25">
      <c r="A982" t="s">
        <v>5421</v>
      </c>
      <c r="B982" t="s">
        <v>5422</v>
      </c>
      <c r="C982" s="9" t="s">
        <v>5423</v>
      </c>
      <c r="D982" s="9" t="s">
        <v>5424</v>
      </c>
      <c r="E982" s="5" t="s">
        <v>3003</v>
      </c>
      <c r="F982" s="1" t="s">
        <v>3004</v>
      </c>
      <c r="G982" s="25">
        <v>44559</v>
      </c>
      <c r="H982" s="1" t="s">
        <v>5237</v>
      </c>
      <c r="I982" s="14" t="s">
        <v>2866</v>
      </c>
      <c r="J982" s="1" t="s">
        <v>3006</v>
      </c>
      <c r="K982" s="14" t="s">
        <v>3007</v>
      </c>
      <c r="L982" s="1" t="s">
        <v>3008</v>
      </c>
      <c r="M982" s="1" t="s">
        <v>3009</v>
      </c>
      <c r="N982" s="1">
        <v>1560</v>
      </c>
      <c r="O982" s="1" t="s">
        <v>976</v>
      </c>
      <c r="P982" s="5">
        <v>630</v>
      </c>
      <c r="Q982" s="5">
        <v>0</v>
      </c>
      <c r="R982" s="5">
        <v>630</v>
      </c>
      <c r="S982" s="5">
        <v>0</v>
      </c>
      <c r="T982" s="5" t="s">
        <v>22</v>
      </c>
      <c r="U982" s="5" t="s">
        <v>2535</v>
      </c>
      <c r="V982" s="5" t="s">
        <v>868</v>
      </c>
      <c r="AB982"/>
      <c r="AC982"/>
      <c r="AD982"/>
    </row>
    <row r="983" spans="1:30" x14ac:dyDescent="0.25">
      <c r="A983" t="s">
        <v>5421</v>
      </c>
      <c r="B983" t="s">
        <v>5422</v>
      </c>
      <c r="C983" s="9" t="s">
        <v>5423</v>
      </c>
      <c r="D983" s="9" t="s">
        <v>5424</v>
      </c>
      <c r="E983" s="5" t="s">
        <v>3003</v>
      </c>
      <c r="F983" s="1" t="s">
        <v>3004</v>
      </c>
      <c r="G983" s="25">
        <v>44559</v>
      </c>
      <c r="H983" s="1" t="s">
        <v>3739</v>
      </c>
      <c r="I983" s="14" t="s">
        <v>2851</v>
      </c>
      <c r="J983" s="1" t="s">
        <v>3006</v>
      </c>
      <c r="K983" s="14" t="s">
        <v>3007</v>
      </c>
      <c r="L983" s="1" t="s">
        <v>3008</v>
      </c>
      <c r="M983" s="1" t="s">
        <v>3009</v>
      </c>
      <c r="N983" s="1">
        <v>1560</v>
      </c>
      <c r="O983" s="1" t="s">
        <v>976</v>
      </c>
      <c r="P983" s="5">
        <v>595</v>
      </c>
      <c r="Q983" s="5">
        <v>0</v>
      </c>
      <c r="R983" s="5">
        <v>595</v>
      </c>
      <c r="S983" s="5">
        <v>0</v>
      </c>
      <c r="T983" s="5" t="s">
        <v>22</v>
      </c>
      <c r="U983" s="5" t="s">
        <v>2443</v>
      </c>
      <c r="V983" s="5" t="s">
        <v>872</v>
      </c>
      <c r="AB983"/>
      <c r="AC983"/>
      <c r="AD983"/>
    </row>
    <row r="984" spans="1:30" x14ac:dyDescent="0.25">
      <c r="A984" t="s">
        <v>5421</v>
      </c>
      <c r="B984" t="s">
        <v>5422</v>
      </c>
      <c r="C984" s="9" t="s">
        <v>5423</v>
      </c>
      <c r="D984" s="9" t="s">
        <v>5424</v>
      </c>
      <c r="E984" s="5" t="s">
        <v>3003</v>
      </c>
      <c r="F984" s="1" t="s">
        <v>3004</v>
      </c>
      <c r="G984" s="25">
        <v>44559</v>
      </c>
      <c r="H984" s="1" t="s">
        <v>3465</v>
      </c>
      <c r="I984" s="14" t="s">
        <v>397</v>
      </c>
      <c r="J984" s="1" t="s">
        <v>3006</v>
      </c>
      <c r="K984" s="14" t="s">
        <v>3007</v>
      </c>
      <c r="L984" s="1" t="s">
        <v>3008</v>
      </c>
      <c r="M984" s="1" t="s">
        <v>3009</v>
      </c>
      <c r="N984" s="1">
        <v>1560</v>
      </c>
      <c r="O984" s="1" t="s">
        <v>976</v>
      </c>
      <c r="P984" s="5">
        <v>870</v>
      </c>
      <c r="Q984" s="5">
        <v>0</v>
      </c>
      <c r="R984" s="5">
        <v>870</v>
      </c>
      <c r="S984" s="5">
        <v>0</v>
      </c>
      <c r="T984" s="5">
        <v>41</v>
      </c>
      <c r="V984" s="5" t="s">
        <v>397</v>
      </c>
      <c r="AB984"/>
      <c r="AC984"/>
      <c r="AD984"/>
    </row>
    <row r="985" spans="1:30" x14ac:dyDescent="0.25">
      <c r="A985" t="s">
        <v>5421</v>
      </c>
      <c r="B985" t="s">
        <v>5422</v>
      </c>
      <c r="C985" s="9" t="s">
        <v>5423</v>
      </c>
      <c r="D985" s="9" t="s">
        <v>5424</v>
      </c>
      <c r="E985" s="5" t="s">
        <v>3003</v>
      </c>
      <c r="F985" s="1" t="s">
        <v>3004</v>
      </c>
      <c r="G985" s="25">
        <v>44559</v>
      </c>
      <c r="H985" s="1" t="s">
        <v>5429</v>
      </c>
      <c r="I985" s="14" t="s">
        <v>2965</v>
      </c>
      <c r="J985" s="1" t="s">
        <v>3006</v>
      </c>
      <c r="K985" s="14" t="s">
        <v>3007</v>
      </c>
      <c r="L985" s="1" t="s">
        <v>3008</v>
      </c>
      <c r="M985" s="1" t="s">
        <v>3009</v>
      </c>
      <c r="N985" s="1">
        <v>1560</v>
      </c>
      <c r="O985" s="1" t="s">
        <v>976</v>
      </c>
      <c r="P985" s="5">
        <v>595</v>
      </c>
      <c r="Q985" s="5">
        <v>0</v>
      </c>
      <c r="R985" s="5">
        <v>595</v>
      </c>
      <c r="S985" s="5">
        <v>0</v>
      </c>
      <c r="T985" s="5">
        <v>38</v>
      </c>
      <c r="U985" s="5" t="s">
        <v>2447</v>
      </c>
      <c r="V985" s="5" t="s">
        <v>936</v>
      </c>
      <c r="AB985"/>
      <c r="AC985"/>
      <c r="AD985"/>
    </row>
    <row r="986" spans="1:30" x14ac:dyDescent="0.25">
      <c r="A986" t="s">
        <v>5421</v>
      </c>
      <c r="B986" t="s">
        <v>5422</v>
      </c>
      <c r="C986" s="9" t="s">
        <v>5423</v>
      </c>
      <c r="D986" s="9" t="s">
        <v>5424</v>
      </c>
      <c r="E986" s="5" t="s">
        <v>3003</v>
      </c>
      <c r="F986" s="1" t="s">
        <v>3004</v>
      </c>
      <c r="G986" s="25">
        <v>44559</v>
      </c>
      <c r="H986" s="1" t="s">
        <v>5430</v>
      </c>
      <c r="I986" s="14" t="s">
        <v>434</v>
      </c>
      <c r="J986" s="1" t="s">
        <v>3006</v>
      </c>
      <c r="K986" s="14" t="s">
        <v>3007</v>
      </c>
      <c r="L986" s="1" t="s">
        <v>3008</v>
      </c>
      <c r="M986" s="1" t="s">
        <v>3009</v>
      </c>
      <c r="N986" s="1">
        <v>1560</v>
      </c>
      <c r="O986" s="1" t="s">
        <v>976</v>
      </c>
      <c r="P986" s="5">
        <v>595</v>
      </c>
      <c r="Q986" s="5">
        <v>0</v>
      </c>
      <c r="R986" s="5">
        <v>595</v>
      </c>
      <c r="S986" s="5">
        <v>0</v>
      </c>
      <c r="T986" s="5">
        <v>38</v>
      </c>
      <c r="V986" s="5" t="s">
        <v>434</v>
      </c>
      <c r="AB986"/>
      <c r="AC986"/>
      <c r="AD986"/>
    </row>
    <row r="987" spans="1:30" x14ac:dyDescent="0.25">
      <c r="A987" t="s">
        <v>5421</v>
      </c>
      <c r="B987" t="s">
        <v>5422</v>
      </c>
      <c r="C987" s="9" t="s">
        <v>5423</v>
      </c>
      <c r="D987" s="9" t="s">
        <v>5424</v>
      </c>
      <c r="E987" s="5" t="s">
        <v>3003</v>
      </c>
      <c r="F987" s="1" t="s">
        <v>3004</v>
      </c>
      <c r="G987" s="25">
        <v>44559</v>
      </c>
      <c r="H987" s="1" t="s">
        <v>5431</v>
      </c>
      <c r="I987" s="14" t="s">
        <v>440</v>
      </c>
      <c r="J987" s="1" t="s">
        <v>3006</v>
      </c>
      <c r="K987" s="14" t="s">
        <v>3007</v>
      </c>
      <c r="L987" s="1" t="s">
        <v>3008</v>
      </c>
      <c r="M987" s="1" t="s">
        <v>3009</v>
      </c>
      <c r="N987" s="1">
        <v>1560</v>
      </c>
      <c r="O987" s="1" t="s">
        <v>976</v>
      </c>
      <c r="P987" s="5">
        <v>690</v>
      </c>
      <c r="Q987" s="5">
        <v>0</v>
      </c>
      <c r="R987" s="5">
        <v>690</v>
      </c>
      <c r="S987" s="5">
        <v>0</v>
      </c>
      <c r="T987" s="5">
        <v>38</v>
      </c>
      <c r="V987" s="5" t="s">
        <v>440</v>
      </c>
      <c r="AB987"/>
      <c r="AC987"/>
      <c r="AD987"/>
    </row>
    <row r="988" spans="1:30" x14ac:dyDescent="0.25">
      <c r="A988" t="s">
        <v>5432</v>
      </c>
      <c r="B988" t="s">
        <v>5433</v>
      </c>
      <c r="C988" s="9" t="s">
        <v>5434</v>
      </c>
      <c r="D988" s="9" t="s">
        <v>5435</v>
      </c>
      <c r="E988" s="5" t="s">
        <v>3003</v>
      </c>
      <c r="F988" s="1" t="s">
        <v>3004</v>
      </c>
      <c r="G988" s="25">
        <v>44255</v>
      </c>
      <c r="H988" s="1" t="s">
        <v>5436</v>
      </c>
      <c r="I988" s="14" t="s">
        <v>287</v>
      </c>
      <c r="J988" s="1" t="s">
        <v>3006</v>
      </c>
      <c r="K988" s="14" t="s">
        <v>3007</v>
      </c>
      <c r="L988" s="1" t="s">
        <v>3008</v>
      </c>
      <c r="M988" s="1" t="s">
        <v>3009</v>
      </c>
      <c r="N988" s="1">
        <v>245</v>
      </c>
      <c r="O988" s="1" t="s">
        <v>976</v>
      </c>
      <c r="P988" s="5">
        <v>615</v>
      </c>
      <c r="Q988" s="5">
        <v>0</v>
      </c>
      <c r="R988" s="5">
        <v>615</v>
      </c>
      <c r="S988" s="5">
        <v>0</v>
      </c>
      <c r="T988" s="5" t="s">
        <v>23</v>
      </c>
      <c r="V988" s="5" t="s">
        <v>287</v>
      </c>
      <c r="AB988"/>
      <c r="AC988"/>
      <c r="AD988"/>
    </row>
    <row r="989" spans="1:30" x14ac:dyDescent="0.25">
      <c r="A989" t="s">
        <v>5437</v>
      </c>
      <c r="B989" t="s">
        <v>5438</v>
      </c>
      <c r="C989" s="9" t="s">
        <v>5439</v>
      </c>
      <c r="D989" s="9" t="s">
        <v>5440</v>
      </c>
      <c r="E989" s="5" t="s">
        <v>3003</v>
      </c>
      <c r="F989" s="1" t="s">
        <v>3004</v>
      </c>
      <c r="G989" s="25">
        <v>44538</v>
      </c>
      <c r="H989" s="1" t="s">
        <v>3075</v>
      </c>
      <c r="I989" s="14" t="s">
        <v>2791</v>
      </c>
      <c r="J989" s="1" t="s">
        <v>3006</v>
      </c>
      <c r="K989" s="14" t="s">
        <v>3007</v>
      </c>
      <c r="L989" s="1" t="s">
        <v>3008</v>
      </c>
      <c r="M989" s="1" t="s">
        <v>3009</v>
      </c>
      <c r="N989" s="1">
        <v>1391</v>
      </c>
      <c r="O989" s="1" t="s">
        <v>976</v>
      </c>
      <c r="P989" s="5">
        <v>1380</v>
      </c>
      <c r="Q989" s="5">
        <v>0</v>
      </c>
      <c r="R989" s="5">
        <v>1380</v>
      </c>
      <c r="S989" s="5">
        <v>0</v>
      </c>
      <c r="T989" s="5" t="s">
        <v>22</v>
      </c>
      <c r="U989" s="5" t="s">
        <v>2443</v>
      </c>
      <c r="V989" s="5" t="s">
        <v>763</v>
      </c>
      <c r="AB989"/>
      <c r="AC989"/>
      <c r="AD989"/>
    </row>
    <row r="990" spans="1:30" x14ac:dyDescent="0.25">
      <c r="A990" t="s">
        <v>5441</v>
      </c>
      <c r="B990" t="s">
        <v>5442</v>
      </c>
      <c r="C990" s="9" t="s">
        <v>5443</v>
      </c>
      <c r="D990" s="9">
        <v>991626153</v>
      </c>
      <c r="E990" s="5" t="s">
        <v>3758</v>
      </c>
      <c r="F990" s="1" t="s">
        <v>3759</v>
      </c>
      <c r="G990" s="25">
        <v>44493</v>
      </c>
      <c r="H990" s="1" t="s">
        <v>3027</v>
      </c>
      <c r="I990" s="14" t="s">
        <v>254</v>
      </c>
      <c r="J990" s="1" t="s">
        <v>3006</v>
      </c>
      <c r="K990" s="14" t="s">
        <v>3007</v>
      </c>
      <c r="L990" s="1" t="s">
        <v>3008</v>
      </c>
      <c r="M990" s="1" t="s">
        <v>3009</v>
      </c>
      <c r="N990" s="1">
        <v>1105</v>
      </c>
      <c r="O990" s="1" t="s">
        <v>976</v>
      </c>
      <c r="P990" s="5">
        <v>1370.53</v>
      </c>
      <c r="Q990" s="5">
        <v>0</v>
      </c>
      <c r="R990" s="5">
        <v>1330</v>
      </c>
      <c r="S990" s="5">
        <v>40.53</v>
      </c>
      <c r="T990" s="5" t="s">
        <v>22</v>
      </c>
      <c r="V990" s="5" t="s">
        <v>254</v>
      </c>
      <c r="AB990"/>
      <c r="AC990"/>
      <c r="AD990"/>
    </row>
    <row r="991" spans="1:30" x14ac:dyDescent="0.25">
      <c r="A991" t="s">
        <v>5444</v>
      </c>
      <c r="B991" t="s">
        <v>5445</v>
      </c>
      <c r="C991" s="9" t="s">
        <v>5446</v>
      </c>
      <c r="D991" s="9">
        <v>999567352</v>
      </c>
      <c r="E991" s="5" t="s">
        <v>3473</v>
      </c>
      <c r="F991" s="1" t="s">
        <v>3474</v>
      </c>
      <c r="G991" s="25">
        <v>44405</v>
      </c>
      <c r="H991" s="1" t="s">
        <v>3015</v>
      </c>
      <c r="I991" s="14" t="s">
        <v>252</v>
      </c>
      <c r="J991" s="1" t="s">
        <v>3006</v>
      </c>
      <c r="K991" s="14" t="s">
        <v>3007</v>
      </c>
      <c r="L991" s="1" t="s">
        <v>3008</v>
      </c>
      <c r="M991" s="1" t="s">
        <v>3016</v>
      </c>
      <c r="N991" s="1">
        <v>705</v>
      </c>
      <c r="O991" s="1" t="s">
        <v>976</v>
      </c>
      <c r="P991" s="5">
        <v>1123.5899999999999</v>
      </c>
      <c r="Q991" s="5">
        <v>247</v>
      </c>
      <c r="R991" s="5">
        <v>1330</v>
      </c>
      <c r="S991" s="5">
        <v>40.590000000000003</v>
      </c>
      <c r="T991" s="5" t="s">
        <v>22</v>
      </c>
      <c r="V991" s="5" t="s">
        <v>252</v>
      </c>
      <c r="AB991"/>
      <c r="AC991"/>
      <c r="AD991"/>
    </row>
    <row r="992" spans="1:30" x14ac:dyDescent="0.25">
      <c r="A992" t="s">
        <v>5447</v>
      </c>
      <c r="B992" t="s">
        <v>5448</v>
      </c>
      <c r="C992" s="9" t="s">
        <v>5449</v>
      </c>
      <c r="D992" s="9" t="s">
        <v>5450</v>
      </c>
      <c r="E992" s="5" t="s">
        <v>3003</v>
      </c>
      <c r="F992" s="1" t="s">
        <v>3004</v>
      </c>
      <c r="G992" s="25">
        <v>44518</v>
      </c>
      <c r="H992" s="1" t="s">
        <v>3075</v>
      </c>
      <c r="I992" s="14" t="s">
        <v>2791</v>
      </c>
      <c r="J992" s="1" t="s">
        <v>3006</v>
      </c>
      <c r="K992" s="14" t="s">
        <v>3007</v>
      </c>
      <c r="L992" s="1" t="s">
        <v>3008</v>
      </c>
      <c r="M992" s="1" t="s">
        <v>3009</v>
      </c>
      <c r="N992" s="1">
        <v>1223</v>
      </c>
      <c r="O992" s="1" t="s">
        <v>976</v>
      </c>
      <c r="P992" s="5">
        <v>1380</v>
      </c>
      <c r="Q992" s="5">
        <v>0</v>
      </c>
      <c r="R992" s="5">
        <v>1380</v>
      </c>
      <c r="S992" s="5">
        <v>0</v>
      </c>
      <c r="T992" s="5" t="s">
        <v>22</v>
      </c>
      <c r="U992" s="5" t="s">
        <v>2443</v>
      </c>
      <c r="V992" s="5" t="s">
        <v>763</v>
      </c>
      <c r="AB992"/>
      <c r="AC992"/>
      <c r="AD992"/>
    </row>
    <row r="993" spans="1:30" x14ac:dyDescent="0.25">
      <c r="A993" t="s">
        <v>5447</v>
      </c>
      <c r="B993" t="s">
        <v>5448</v>
      </c>
      <c r="C993" s="9" t="s">
        <v>5449</v>
      </c>
      <c r="D993" s="9" t="s">
        <v>5450</v>
      </c>
      <c r="E993" s="5" t="s">
        <v>3003</v>
      </c>
      <c r="F993" s="1" t="s">
        <v>3004</v>
      </c>
      <c r="G993" s="25">
        <v>44518</v>
      </c>
      <c r="H993" s="1" t="s">
        <v>5451</v>
      </c>
      <c r="I993" s="14" t="s">
        <v>2874</v>
      </c>
      <c r="J993" s="1" t="s">
        <v>3006</v>
      </c>
      <c r="K993" s="14" t="s">
        <v>3007</v>
      </c>
      <c r="L993" s="1" t="s">
        <v>3008</v>
      </c>
      <c r="M993" s="1" t="s">
        <v>3009</v>
      </c>
      <c r="N993" s="1">
        <v>1223</v>
      </c>
      <c r="O993" s="1" t="s">
        <v>976</v>
      </c>
      <c r="P993" s="5">
        <v>1330</v>
      </c>
      <c r="Q993" s="5">
        <v>0</v>
      </c>
      <c r="R993" s="5">
        <v>1330</v>
      </c>
      <c r="S993" s="5">
        <v>0</v>
      </c>
      <c r="T993" s="5" t="s">
        <v>21</v>
      </c>
      <c r="U993" s="5" t="s">
        <v>2508</v>
      </c>
      <c r="V993" s="5" t="s">
        <v>878</v>
      </c>
      <c r="AB993"/>
      <c r="AC993"/>
      <c r="AD993"/>
    </row>
    <row r="994" spans="1:30" x14ac:dyDescent="0.25">
      <c r="A994" t="s">
        <v>5452</v>
      </c>
      <c r="B994" t="s">
        <v>5453</v>
      </c>
      <c r="C994" s="9" t="s">
        <v>5454</v>
      </c>
      <c r="D994" s="9" t="s">
        <v>5455</v>
      </c>
      <c r="E994" s="5" t="s">
        <v>3003</v>
      </c>
      <c r="F994" s="1" t="s">
        <v>3004</v>
      </c>
      <c r="G994" s="25">
        <v>44354</v>
      </c>
      <c r="H994" s="1" t="s">
        <v>3290</v>
      </c>
      <c r="I994" s="14" t="s">
        <v>223</v>
      </c>
      <c r="J994" s="1" t="s">
        <v>3006</v>
      </c>
      <c r="K994" s="14" t="s">
        <v>3007</v>
      </c>
      <c r="L994" s="1" t="s">
        <v>3008</v>
      </c>
      <c r="M994" s="1" t="s">
        <v>3016</v>
      </c>
      <c r="N994" s="1">
        <v>489</v>
      </c>
      <c r="O994" s="1" t="s">
        <v>976</v>
      </c>
      <c r="P994" s="5">
        <v>8910</v>
      </c>
      <c r="Q994" s="5">
        <v>1010</v>
      </c>
      <c r="R994" s="5">
        <v>9920</v>
      </c>
      <c r="S994" s="5">
        <v>0</v>
      </c>
      <c r="T994" s="5" t="s">
        <v>5576</v>
      </c>
      <c r="V994" s="5" t="s">
        <v>223</v>
      </c>
      <c r="AB994"/>
      <c r="AC994"/>
      <c r="AD994"/>
    </row>
    <row r="995" spans="1:30" x14ac:dyDescent="0.25">
      <c r="A995" t="s">
        <v>5456</v>
      </c>
      <c r="B995" t="s">
        <v>5457</v>
      </c>
      <c r="C995" s="9" t="s">
        <v>5458</v>
      </c>
      <c r="D995" s="9">
        <v>996002882</v>
      </c>
      <c r="E995" s="5" t="s">
        <v>3003</v>
      </c>
      <c r="F995" s="1" t="s">
        <v>3004</v>
      </c>
      <c r="G995" s="25">
        <v>44254</v>
      </c>
      <c r="H995" s="1" t="s">
        <v>3510</v>
      </c>
      <c r="I995" s="14" t="s">
        <v>2805</v>
      </c>
      <c r="J995" s="1" t="s">
        <v>3006</v>
      </c>
      <c r="K995" s="14" t="s">
        <v>3007</v>
      </c>
      <c r="L995" s="1" t="s">
        <v>3008</v>
      </c>
      <c r="M995" s="1" t="s">
        <v>3009</v>
      </c>
      <c r="N995" s="1">
        <v>237</v>
      </c>
      <c r="O995" s="1" t="s">
        <v>976</v>
      </c>
      <c r="P995" s="5">
        <v>470</v>
      </c>
      <c r="Q995" s="5">
        <v>0</v>
      </c>
      <c r="R995" s="5">
        <v>470</v>
      </c>
      <c r="S995" s="5">
        <v>0</v>
      </c>
      <c r="T995" s="5">
        <v>40</v>
      </c>
      <c r="U995" s="5" t="s">
        <v>2443</v>
      </c>
      <c r="V995" s="5" t="s">
        <v>776</v>
      </c>
      <c r="AB995"/>
      <c r="AC995"/>
      <c r="AD995"/>
    </row>
    <row r="996" spans="1:30" x14ac:dyDescent="0.25">
      <c r="A996" t="s">
        <v>5456</v>
      </c>
      <c r="B996" t="s">
        <v>5457</v>
      </c>
      <c r="C996" s="9" t="s">
        <v>5458</v>
      </c>
      <c r="D996" s="9">
        <v>996002882</v>
      </c>
      <c r="E996" s="5" t="s">
        <v>3003</v>
      </c>
      <c r="F996" s="1" t="s">
        <v>3004</v>
      </c>
      <c r="G996" s="25">
        <v>44254</v>
      </c>
      <c r="H996" s="1" t="s">
        <v>5459</v>
      </c>
      <c r="I996" s="14" t="s">
        <v>1415</v>
      </c>
      <c r="J996" s="1" t="s">
        <v>3006</v>
      </c>
      <c r="K996" s="14" t="s">
        <v>3007</v>
      </c>
      <c r="L996" s="1" t="s">
        <v>3008</v>
      </c>
      <c r="M996" s="1" t="s">
        <v>3009</v>
      </c>
      <c r="N996" s="1">
        <v>237</v>
      </c>
      <c r="O996" s="1" t="s">
        <v>976</v>
      </c>
      <c r="P996" s="5">
        <v>390</v>
      </c>
      <c r="Q996" s="5">
        <v>0</v>
      </c>
      <c r="R996" s="5">
        <v>390</v>
      </c>
      <c r="S996" s="5">
        <v>0</v>
      </c>
      <c r="T996" s="5" t="s">
        <v>24</v>
      </c>
      <c r="U996" s="5" t="s">
        <v>2495</v>
      </c>
      <c r="V996" s="5" t="s">
        <v>843</v>
      </c>
      <c r="AB996"/>
      <c r="AC996"/>
      <c r="AD996"/>
    </row>
    <row r="997" spans="1:30" x14ac:dyDescent="0.25">
      <c r="A997" t="s">
        <v>5456</v>
      </c>
      <c r="B997" t="s">
        <v>5457</v>
      </c>
      <c r="C997" s="9" t="s">
        <v>5458</v>
      </c>
      <c r="D997" s="9">
        <v>996002882</v>
      </c>
      <c r="E997" s="5" t="s">
        <v>3003</v>
      </c>
      <c r="F997" s="1" t="s">
        <v>3004</v>
      </c>
      <c r="G997" s="25">
        <v>44254</v>
      </c>
      <c r="H997" s="1" t="s">
        <v>3547</v>
      </c>
      <c r="I997" s="14" t="s">
        <v>1415</v>
      </c>
      <c r="J997" s="1" t="s">
        <v>3006</v>
      </c>
      <c r="K997" s="14" t="s">
        <v>3007</v>
      </c>
      <c r="L997" s="1" t="s">
        <v>3008</v>
      </c>
      <c r="M997" s="1" t="s">
        <v>3009</v>
      </c>
      <c r="N997" s="1">
        <v>237</v>
      </c>
      <c r="O997" s="1" t="s">
        <v>976</v>
      </c>
      <c r="P997" s="5">
        <v>599</v>
      </c>
      <c r="Q997" s="5">
        <v>0</v>
      </c>
      <c r="R997" s="5">
        <v>599</v>
      </c>
      <c r="S997" s="5">
        <v>0</v>
      </c>
      <c r="T997" s="5" t="s">
        <v>23</v>
      </c>
      <c r="U997" s="5" t="s">
        <v>2447</v>
      </c>
      <c r="V997" s="5" t="s">
        <v>865</v>
      </c>
      <c r="AB997"/>
      <c r="AC997"/>
      <c r="AD997"/>
    </row>
    <row r="998" spans="1:30" x14ac:dyDescent="0.25">
      <c r="A998" t="s">
        <v>5456</v>
      </c>
      <c r="B998" t="s">
        <v>5457</v>
      </c>
      <c r="C998" s="9" t="s">
        <v>5458</v>
      </c>
      <c r="D998" s="9">
        <v>996002882</v>
      </c>
      <c r="E998" s="5" t="s">
        <v>3003</v>
      </c>
      <c r="F998" s="1" t="s">
        <v>3004</v>
      </c>
      <c r="G998" s="25">
        <v>44254</v>
      </c>
      <c r="H998" s="1" t="s">
        <v>3958</v>
      </c>
      <c r="I998" s="14" t="s">
        <v>2867</v>
      </c>
      <c r="J998" s="1" t="s">
        <v>3006</v>
      </c>
      <c r="K998" s="14" t="s">
        <v>3007</v>
      </c>
      <c r="L998" s="1" t="s">
        <v>3008</v>
      </c>
      <c r="M998" s="1" t="s">
        <v>3009</v>
      </c>
      <c r="N998" s="1">
        <v>237</v>
      </c>
      <c r="O998" s="1" t="s">
        <v>976</v>
      </c>
      <c r="P998" s="5">
        <v>530</v>
      </c>
      <c r="Q998" s="5">
        <v>0</v>
      </c>
      <c r="R998" s="5">
        <v>530</v>
      </c>
      <c r="S998" s="5">
        <v>0</v>
      </c>
      <c r="T998" s="5" t="s">
        <v>23</v>
      </c>
      <c r="U998" s="5" t="s">
        <v>2447</v>
      </c>
      <c r="V998" s="5" t="s">
        <v>873</v>
      </c>
      <c r="AB998"/>
      <c r="AC998"/>
      <c r="AD998"/>
    </row>
    <row r="999" spans="1:30" x14ac:dyDescent="0.25">
      <c r="A999" t="s">
        <v>5460</v>
      </c>
      <c r="B999" t="s">
        <v>5461</v>
      </c>
      <c r="C999" s="9" t="s">
        <v>5462</v>
      </c>
      <c r="D999" s="9">
        <v>975295560</v>
      </c>
      <c r="E999" s="5" t="s">
        <v>3003</v>
      </c>
      <c r="F999" s="1" t="s">
        <v>3004</v>
      </c>
      <c r="G999" s="25">
        <v>44595</v>
      </c>
      <c r="H999" s="1" t="s">
        <v>3015</v>
      </c>
      <c r="I999" s="14" t="s">
        <v>252</v>
      </c>
      <c r="J999" s="1" t="s">
        <v>3006</v>
      </c>
      <c r="K999" s="14" t="s">
        <v>3007</v>
      </c>
      <c r="L999" s="1" t="s">
        <v>3008</v>
      </c>
      <c r="M999" s="1" t="s">
        <v>3009</v>
      </c>
      <c r="N999" s="1">
        <v>1755</v>
      </c>
      <c r="O999" s="1" t="s">
        <v>976</v>
      </c>
      <c r="P999" s="5">
        <v>1521.12</v>
      </c>
      <c r="Q999" s="5">
        <v>166.5</v>
      </c>
      <c r="R999" s="5">
        <v>1665</v>
      </c>
      <c r="S999" s="5">
        <v>22.62</v>
      </c>
      <c r="T999" s="5" t="s">
        <v>22</v>
      </c>
      <c r="V999" s="5" t="s">
        <v>252</v>
      </c>
      <c r="AB999"/>
      <c r="AC999"/>
      <c r="AD999"/>
    </row>
    <row r="1000" spans="1:30" x14ac:dyDescent="0.25">
      <c r="A1000" t="s">
        <v>5463</v>
      </c>
      <c r="B1000" t="s">
        <v>5464</v>
      </c>
      <c r="C1000" s="9" t="s">
        <v>5465</v>
      </c>
      <c r="D1000" s="9" t="s">
        <v>5466</v>
      </c>
      <c r="E1000" s="5" t="s">
        <v>3003</v>
      </c>
      <c r="F1000" s="1" t="s">
        <v>3004</v>
      </c>
      <c r="G1000" s="25">
        <v>44538</v>
      </c>
      <c r="H1000" s="1" t="s">
        <v>5282</v>
      </c>
      <c r="I1000" s="14" t="s">
        <v>2814</v>
      </c>
      <c r="J1000" s="1" t="s">
        <v>3006</v>
      </c>
      <c r="K1000" s="14" t="s">
        <v>3007</v>
      </c>
      <c r="L1000" s="1" t="s">
        <v>3008</v>
      </c>
      <c r="M1000" s="1" t="s">
        <v>3009</v>
      </c>
      <c r="N1000" s="1">
        <v>1389</v>
      </c>
      <c r="O1000" s="1" t="s">
        <v>976</v>
      </c>
      <c r="P1000" s="5">
        <v>575</v>
      </c>
      <c r="Q1000" s="5">
        <v>0</v>
      </c>
      <c r="R1000" s="5">
        <v>575</v>
      </c>
      <c r="S1000" s="5">
        <v>0</v>
      </c>
      <c r="T1000" s="5" t="s">
        <v>24</v>
      </c>
      <c r="U1000" s="5" t="s">
        <v>2472</v>
      </c>
      <c r="V1000" s="5" t="s">
        <v>788</v>
      </c>
      <c r="AB1000"/>
      <c r="AC1000"/>
      <c r="AD1000"/>
    </row>
    <row r="1001" spans="1:30" x14ac:dyDescent="0.25">
      <c r="A1001" t="s">
        <v>5463</v>
      </c>
      <c r="B1001" t="s">
        <v>5464</v>
      </c>
      <c r="C1001" s="9" t="s">
        <v>5465</v>
      </c>
      <c r="D1001" s="9" t="s">
        <v>5466</v>
      </c>
      <c r="E1001" s="5" t="s">
        <v>3003</v>
      </c>
      <c r="F1001" s="1" t="s">
        <v>3004</v>
      </c>
      <c r="G1001" s="25">
        <v>44592</v>
      </c>
      <c r="H1001" s="1" t="s">
        <v>3278</v>
      </c>
      <c r="I1001" s="14" t="s">
        <v>2774</v>
      </c>
      <c r="J1001" s="1" t="s">
        <v>3006</v>
      </c>
      <c r="K1001" s="14" t="s">
        <v>3007</v>
      </c>
      <c r="L1001" s="1" t="s">
        <v>3008</v>
      </c>
      <c r="M1001" s="1" t="s">
        <v>3009</v>
      </c>
      <c r="N1001" s="1">
        <v>1739</v>
      </c>
      <c r="O1001" s="1" t="s">
        <v>976</v>
      </c>
      <c r="P1001" s="5">
        <v>295</v>
      </c>
      <c r="Q1001" s="5">
        <v>53</v>
      </c>
      <c r="R1001" s="5">
        <v>348</v>
      </c>
      <c r="S1001" s="5">
        <v>0</v>
      </c>
      <c r="T1001" s="5" t="s">
        <v>23</v>
      </c>
      <c r="U1001" s="5" t="s">
        <v>2482</v>
      </c>
      <c r="V1001" s="5" t="s">
        <v>740</v>
      </c>
      <c r="AB1001"/>
      <c r="AC1001"/>
      <c r="AD1001"/>
    </row>
    <row r="1002" spans="1:30" x14ac:dyDescent="0.25">
      <c r="A1002" t="s">
        <v>5467</v>
      </c>
      <c r="B1002" t="s">
        <v>5468</v>
      </c>
      <c r="C1002" s="9" t="s">
        <v>5469</v>
      </c>
      <c r="D1002" s="9">
        <v>979177770</v>
      </c>
      <c r="E1002" s="5" t="s">
        <v>3041</v>
      </c>
      <c r="F1002" s="1" t="s">
        <v>3042</v>
      </c>
      <c r="G1002" s="25">
        <v>44520</v>
      </c>
      <c r="H1002" s="1" t="s">
        <v>3244</v>
      </c>
      <c r="I1002" s="14" t="s">
        <v>2791</v>
      </c>
      <c r="J1002" s="1" t="s">
        <v>3006</v>
      </c>
      <c r="K1002" s="14" t="s">
        <v>3007</v>
      </c>
      <c r="L1002" s="1" t="s">
        <v>3008</v>
      </c>
      <c r="M1002" s="1" t="s">
        <v>3016</v>
      </c>
      <c r="N1002" s="1">
        <v>1237</v>
      </c>
      <c r="O1002" s="1" t="s">
        <v>976</v>
      </c>
      <c r="P1002" s="5">
        <v>1277.23</v>
      </c>
      <c r="Q1002" s="5">
        <v>138</v>
      </c>
      <c r="R1002" s="5">
        <v>1380</v>
      </c>
      <c r="S1002" s="5">
        <v>35.229999999999997</v>
      </c>
      <c r="T1002" s="5" t="s">
        <v>22</v>
      </c>
      <c r="U1002" s="5" t="s">
        <v>2447</v>
      </c>
      <c r="V1002" s="5" t="s">
        <v>762</v>
      </c>
      <c r="AB1002"/>
      <c r="AC1002"/>
      <c r="AD1002"/>
    </row>
    <row r="1003" spans="1:30" x14ac:dyDescent="0.25">
      <c r="A1003" t="s">
        <v>5470</v>
      </c>
      <c r="B1003" t="s">
        <v>5471</v>
      </c>
      <c r="C1003" s="9" t="s">
        <v>5472</v>
      </c>
      <c r="D1003" s="9">
        <v>996020241</v>
      </c>
      <c r="E1003" s="5" t="s">
        <v>3073</v>
      </c>
      <c r="F1003" s="1" t="s">
        <v>5473</v>
      </c>
      <c r="G1003" s="25">
        <v>44520</v>
      </c>
      <c r="H1003" s="1" t="s">
        <v>3220</v>
      </c>
      <c r="I1003" s="14" t="s">
        <v>259</v>
      </c>
      <c r="J1003" s="1" t="s">
        <v>3006</v>
      </c>
      <c r="K1003" s="14" t="s">
        <v>3007</v>
      </c>
      <c r="L1003" s="1" t="s">
        <v>3008</v>
      </c>
      <c r="M1003" s="1" t="s">
        <v>3016</v>
      </c>
      <c r="N1003" s="1">
        <v>1238</v>
      </c>
      <c r="O1003" s="1" t="s">
        <v>976</v>
      </c>
      <c r="P1003" s="5">
        <v>241.12</v>
      </c>
      <c r="Q1003" s="5">
        <v>23</v>
      </c>
      <c r="R1003" s="5">
        <v>230</v>
      </c>
      <c r="S1003" s="5">
        <v>34.119999999999997</v>
      </c>
      <c r="T1003" s="5" t="s">
        <v>23</v>
      </c>
      <c r="V1003" s="5" t="s">
        <v>259</v>
      </c>
      <c r="AB1003"/>
      <c r="AC1003"/>
      <c r="AD1003"/>
    </row>
    <row r="1004" spans="1:30" x14ac:dyDescent="0.25">
      <c r="A1004" t="s">
        <v>5474</v>
      </c>
      <c r="B1004" t="s">
        <v>5475</v>
      </c>
      <c r="C1004" s="9" t="s">
        <v>5476</v>
      </c>
      <c r="D1004" s="9">
        <v>995591717</v>
      </c>
      <c r="E1004" s="5" t="s">
        <v>3187</v>
      </c>
      <c r="F1004" s="1" t="s">
        <v>3188</v>
      </c>
      <c r="G1004" s="25">
        <v>44547</v>
      </c>
      <c r="H1004" s="1" t="s">
        <v>5477</v>
      </c>
      <c r="I1004" s="14" t="s">
        <v>2787</v>
      </c>
      <c r="J1004" s="1" t="s">
        <v>3006</v>
      </c>
      <c r="K1004" s="14" t="s">
        <v>3007</v>
      </c>
      <c r="L1004" s="1" t="s">
        <v>3008</v>
      </c>
      <c r="M1004" s="1" t="s">
        <v>3016</v>
      </c>
      <c r="N1004" s="1">
        <v>1492</v>
      </c>
      <c r="O1004" s="1" t="s">
        <v>976</v>
      </c>
      <c r="P1004" s="5">
        <v>1901.7</v>
      </c>
      <c r="Q1004" s="5">
        <v>0</v>
      </c>
      <c r="R1004" s="5">
        <v>1840</v>
      </c>
      <c r="S1004" s="5">
        <v>61.7</v>
      </c>
      <c r="T1004" s="5" t="s">
        <v>23</v>
      </c>
      <c r="U1004" s="5" t="s">
        <v>2447</v>
      </c>
      <c r="V1004" s="5" t="s">
        <v>755</v>
      </c>
      <c r="AB1004"/>
      <c r="AC1004"/>
      <c r="AD1004"/>
    </row>
    <row r="1005" spans="1:30" x14ac:dyDescent="0.25">
      <c r="A1005" t="s">
        <v>5474</v>
      </c>
      <c r="B1005" t="s">
        <v>5475</v>
      </c>
      <c r="C1005" s="9" t="s">
        <v>5476</v>
      </c>
      <c r="D1005" s="9">
        <v>995591717</v>
      </c>
      <c r="E1005" s="5" t="s">
        <v>3187</v>
      </c>
      <c r="F1005" s="1" t="s">
        <v>3188</v>
      </c>
      <c r="G1005" s="25">
        <v>44547</v>
      </c>
      <c r="H1005" s="1" t="s">
        <v>5478</v>
      </c>
      <c r="I1005" s="14" t="s">
        <v>377</v>
      </c>
      <c r="J1005" s="1" t="s">
        <v>3006</v>
      </c>
      <c r="K1005" s="14" t="s">
        <v>3007</v>
      </c>
      <c r="L1005" s="1" t="s">
        <v>3008</v>
      </c>
      <c r="M1005" s="1" t="s">
        <v>3016</v>
      </c>
      <c r="N1005" s="1">
        <v>1492</v>
      </c>
      <c r="O1005" s="1" t="s">
        <v>976</v>
      </c>
      <c r="P1005" s="5">
        <v>514.70000000000005</v>
      </c>
      <c r="Q1005" s="5">
        <v>0</v>
      </c>
      <c r="R1005" s="5">
        <v>498</v>
      </c>
      <c r="S1005" s="5">
        <v>16.7</v>
      </c>
      <c r="T1005" s="5" t="s">
        <v>23</v>
      </c>
      <c r="V1005" s="5" t="s">
        <v>377</v>
      </c>
      <c r="AB1005"/>
      <c r="AC1005"/>
      <c r="AD1005"/>
    </row>
    <row r="1006" spans="1:30" x14ac:dyDescent="0.25">
      <c r="A1006" t="s">
        <v>5479</v>
      </c>
      <c r="B1006" t="s">
        <v>5480</v>
      </c>
      <c r="C1006" s="9" t="s">
        <v>5481</v>
      </c>
      <c r="D1006" s="9" t="s">
        <v>5482</v>
      </c>
      <c r="E1006" s="5" t="s">
        <v>3041</v>
      </c>
      <c r="F1006" s="1" t="s">
        <v>3042</v>
      </c>
      <c r="G1006" s="25">
        <v>44528</v>
      </c>
      <c r="H1006" s="1" t="s">
        <v>5483</v>
      </c>
      <c r="I1006" s="14" t="s">
        <v>2847</v>
      </c>
      <c r="J1006" s="1" t="s">
        <v>3006</v>
      </c>
      <c r="K1006" s="14" t="s">
        <v>3007</v>
      </c>
      <c r="L1006" s="1" t="s">
        <v>3008</v>
      </c>
      <c r="M1006" s="1" t="s">
        <v>3009</v>
      </c>
      <c r="N1006" s="1">
        <v>1304</v>
      </c>
      <c r="O1006" s="1" t="s">
        <v>976</v>
      </c>
      <c r="P1006" s="5">
        <v>1189.33</v>
      </c>
      <c r="Q1006" s="5">
        <v>0</v>
      </c>
      <c r="R1006" s="5">
        <v>1160</v>
      </c>
      <c r="S1006" s="5">
        <v>29.33</v>
      </c>
      <c r="T1006" s="5" t="s">
        <v>23</v>
      </c>
      <c r="U1006" s="5" t="s">
        <v>2482</v>
      </c>
      <c r="V1006" s="5" t="s">
        <v>833</v>
      </c>
      <c r="AB1006"/>
      <c r="AC1006"/>
      <c r="AD1006"/>
    </row>
    <row r="1007" spans="1:30" x14ac:dyDescent="0.25">
      <c r="A1007" t="s">
        <v>5484</v>
      </c>
      <c r="B1007" t="s">
        <v>5485</v>
      </c>
      <c r="C1007" s="9" t="s">
        <v>5486</v>
      </c>
      <c r="D1007" s="9">
        <v>996825014</v>
      </c>
      <c r="E1007" s="5" t="s">
        <v>3133</v>
      </c>
      <c r="F1007" s="1" t="s">
        <v>4299</v>
      </c>
      <c r="G1007" s="25">
        <v>44264</v>
      </c>
      <c r="H1007" s="1" t="s">
        <v>4799</v>
      </c>
      <c r="I1007" s="14" t="s">
        <v>521</v>
      </c>
      <c r="J1007" s="1" t="s">
        <v>3006</v>
      </c>
      <c r="K1007" s="14" t="s">
        <v>3007</v>
      </c>
      <c r="L1007" s="1" t="s">
        <v>3008</v>
      </c>
      <c r="M1007" s="1" t="s">
        <v>3016</v>
      </c>
      <c r="N1007" s="1">
        <v>275</v>
      </c>
      <c r="O1007" s="1" t="s">
        <v>976</v>
      </c>
      <c r="P1007" s="5">
        <v>185</v>
      </c>
      <c r="Q1007" s="5">
        <v>0</v>
      </c>
      <c r="R1007" s="5">
        <v>185</v>
      </c>
      <c r="S1007" s="5">
        <v>0</v>
      </c>
      <c r="T1007" s="5" t="s">
        <v>25</v>
      </c>
      <c r="V1007" s="5" t="s">
        <v>521</v>
      </c>
      <c r="AB1007"/>
      <c r="AC1007"/>
      <c r="AD1007"/>
    </row>
    <row r="1008" spans="1:30" x14ac:dyDescent="0.25">
      <c r="A1008" t="s">
        <v>5484</v>
      </c>
      <c r="B1008" t="s">
        <v>5485</v>
      </c>
      <c r="C1008" s="9" t="s">
        <v>5486</v>
      </c>
      <c r="D1008" s="9">
        <v>996825014</v>
      </c>
      <c r="E1008" s="5" t="s">
        <v>3133</v>
      </c>
      <c r="F1008" s="1" t="s">
        <v>4299</v>
      </c>
      <c r="G1008" s="25">
        <v>44362</v>
      </c>
      <c r="H1008" s="1" t="s">
        <v>4044</v>
      </c>
      <c r="I1008" s="14" t="s">
        <v>2805</v>
      </c>
      <c r="J1008" s="1" t="s">
        <v>3006</v>
      </c>
      <c r="K1008" s="14" t="s">
        <v>3007</v>
      </c>
      <c r="L1008" s="1" t="s">
        <v>3008</v>
      </c>
      <c r="M1008" s="1" t="s">
        <v>3016</v>
      </c>
      <c r="N1008" s="1">
        <v>514</v>
      </c>
      <c r="O1008" s="1" t="s">
        <v>976</v>
      </c>
      <c r="P1008" s="5">
        <v>0</v>
      </c>
      <c r="Q1008" s="5">
        <v>470</v>
      </c>
      <c r="R1008" s="5">
        <v>470</v>
      </c>
      <c r="S1008" s="5">
        <v>0</v>
      </c>
      <c r="T1008" s="5">
        <v>42</v>
      </c>
      <c r="U1008" s="5" t="s">
        <v>2443</v>
      </c>
      <c r="V1008" s="5" t="s">
        <v>776</v>
      </c>
      <c r="AB1008"/>
      <c r="AC1008"/>
      <c r="AD1008"/>
    </row>
    <row r="1009" spans="1:30" x14ac:dyDescent="0.25">
      <c r="A1009" t="s">
        <v>5487</v>
      </c>
      <c r="B1009" t="s">
        <v>5488</v>
      </c>
      <c r="C1009" s="9" t="s">
        <v>5489</v>
      </c>
      <c r="D1009" s="9">
        <v>992325121</v>
      </c>
      <c r="E1009" s="5" t="s">
        <v>3003</v>
      </c>
      <c r="F1009" s="1" t="s">
        <v>3004</v>
      </c>
      <c r="G1009" s="25">
        <v>44254</v>
      </c>
      <c r="H1009" s="1" t="s">
        <v>4044</v>
      </c>
      <c r="I1009" s="14" t="s">
        <v>2805</v>
      </c>
      <c r="J1009" s="1" t="s">
        <v>3006</v>
      </c>
      <c r="K1009" s="14" t="s">
        <v>3007</v>
      </c>
      <c r="L1009" s="1" t="s">
        <v>3008</v>
      </c>
      <c r="M1009" s="1" t="s">
        <v>3009</v>
      </c>
      <c r="N1009" s="1">
        <v>238</v>
      </c>
      <c r="O1009" s="1" t="s">
        <v>976</v>
      </c>
      <c r="P1009" s="5">
        <v>470</v>
      </c>
      <c r="Q1009" s="5">
        <v>0</v>
      </c>
      <c r="R1009" s="5">
        <v>470</v>
      </c>
      <c r="S1009" s="5">
        <v>0</v>
      </c>
      <c r="T1009" s="5">
        <v>42</v>
      </c>
      <c r="U1009" s="5" t="s">
        <v>2443</v>
      </c>
      <c r="V1009" s="5" t="s">
        <v>776</v>
      </c>
      <c r="AB1009"/>
      <c r="AC1009"/>
      <c r="AD1009"/>
    </row>
    <row r="1010" spans="1:30" x14ac:dyDescent="0.25">
      <c r="A1010" t="s">
        <v>5487</v>
      </c>
      <c r="B1010" t="s">
        <v>5488</v>
      </c>
      <c r="C1010" s="9" t="s">
        <v>5489</v>
      </c>
      <c r="D1010" s="9">
        <v>992325121</v>
      </c>
      <c r="E1010" s="5" t="s">
        <v>3003</v>
      </c>
      <c r="F1010" s="1" t="s">
        <v>3004</v>
      </c>
      <c r="G1010" s="25">
        <v>44254</v>
      </c>
      <c r="H1010" s="1" t="s">
        <v>5490</v>
      </c>
      <c r="I1010" s="14" t="s">
        <v>2854</v>
      </c>
      <c r="J1010" s="1" t="s">
        <v>3006</v>
      </c>
      <c r="K1010" s="14" t="s">
        <v>3007</v>
      </c>
      <c r="L1010" s="1" t="s">
        <v>3008</v>
      </c>
      <c r="M1010" s="1" t="s">
        <v>3009</v>
      </c>
      <c r="N1010" s="1">
        <v>238</v>
      </c>
      <c r="O1010" s="1" t="s">
        <v>976</v>
      </c>
      <c r="P1010" s="5">
        <v>520</v>
      </c>
      <c r="Q1010" s="5">
        <v>0</v>
      </c>
      <c r="R1010" s="5">
        <v>520</v>
      </c>
      <c r="S1010" s="5">
        <v>0</v>
      </c>
      <c r="T1010" s="5" t="s">
        <v>24</v>
      </c>
      <c r="U1010" s="5" t="s">
        <v>2482</v>
      </c>
      <c r="V1010" s="5" t="s">
        <v>847</v>
      </c>
      <c r="AB1010"/>
      <c r="AC1010"/>
      <c r="AD1010"/>
    </row>
    <row r="1011" spans="1:30" x14ac:dyDescent="0.25">
      <c r="A1011" t="s">
        <v>5491</v>
      </c>
      <c r="B1011" t="s">
        <v>5492</v>
      </c>
      <c r="C1011" s="9" t="s">
        <v>5493</v>
      </c>
      <c r="D1011" s="9">
        <v>988853774</v>
      </c>
      <c r="E1011" s="5" t="s">
        <v>3003</v>
      </c>
      <c r="F1011" s="1" t="s">
        <v>3004</v>
      </c>
      <c r="G1011" s="25">
        <v>44355</v>
      </c>
      <c r="H1011" s="1" t="s">
        <v>3027</v>
      </c>
      <c r="I1011" s="14" t="s">
        <v>254</v>
      </c>
      <c r="J1011" s="1" t="s">
        <v>3006</v>
      </c>
      <c r="K1011" s="14" t="s">
        <v>3007</v>
      </c>
      <c r="L1011" s="1" t="s">
        <v>3008</v>
      </c>
      <c r="M1011" s="1" t="s">
        <v>3016</v>
      </c>
      <c r="N1011" s="1">
        <v>490</v>
      </c>
      <c r="O1011" s="1" t="s">
        <v>976</v>
      </c>
      <c r="P1011" s="5">
        <v>852.9</v>
      </c>
      <c r="Q1011" s="5">
        <v>360</v>
      </c>
      <c r="R1011" s="5">
        <v>1200</v>
      </c>
      <c r="S1011" s="5">
        <v>12.9</v>
      </c>
      <c r="T1011" s="5" t="s">
        <v>22</v>
      </c>
      <c r="V1011" s="5" t="s">
        <v>254</v>
      </c>
      <c r="AB1011"/>
      <c r="AC1011"/>
      <c r="AD1011"/>
    </row>
    <row r="1012" spans="1:30" x14ac:dyDescent="0.25">
      <c r="A1012" t="s">
        <v>5494</v>
      </c>
      <c r="B1012" t="s">
        <v>5495</v>
      </c>
      <c r="C1012" s="9" t="s">
        <v>5496</v>
      </c>
      <c r="D1012" s="9">
        <v>997299937</v>
      </c>
      <c r="E1012" s="5" t="s">
        <v>3733</v>
      </c>
      <c r="F1012" s="1" t="s">
        <v>3734</v>
      </c>
      <c r="G1012" s="25">
        <v>44502</v>
      </c>
      <c r="H1012" s="1" t="s">
        <v>3015</v>
      </c>
      <c r="I1012" s="14" t="s">
        <v>252</v>
      </c>
      <c r="J1012" s="1" t="s">
        <v>3006</v>
      </c>
      <c r="K1012" s="14" t="s">
        <v>3007</v>
      </c>
      <c r="L1012" s="1" t="s">
        <v>3008</v>
      </c>
      <c r="M1012" s="1" t="s">
        <v>3009</v>
      </c>
      <c r="N1012" s="1">
        <v>1156</v>
      </c>
      <c r="O1012" s="1" t="s">
        <v>976</v>
      </c>
      <c r="P1012" s="5">
        <v>1277.23</v>
      </c>
      <c r="Q1012" s="5">
        <v>138</v>
      </c>
      <c r="R1012" s="5">
        <v>1380</v>
      </c>
      <c r="S1012" s="5">
        <v>35.229999999999997</v>
      </c>
      <c r="T1012" s="5" t="s">
        <v>22</v>
      </c>
      <c r="V1012" s="5" t="s">
        <v>252</v>
      </c>
      <c r="AB1012"/>
      <c r="AC1012"/>
      <c r="AD1012"/>
    </row>
    <row r="1013" spans="1:30" x14ac:dyDescent="0.25">
      <c r="A1013" t="s">
        <v>5497</v>
      </c>
      <c r="B1013" t="s">
        <v>5498</v>
      </c>
      <c r="C1013" s="9" t="s">
        <v>5499</v>
      </c>
      <c r="D1013" s="9" t="s">
        <v>5500</v>
      </c>
      <c r="E1013" s="5" t="s">
        <v>3003</v>
      </c>
      <c r="F1013" s="1" t="s">
        <v>3004</v>
      </c>
      <c r="G1013" s="25">
        <v>44168</v>
      </c>
      <c r="H1013" s="1" t="s">
        <v>5501</v>
      </c>
      <c r="I1013" s="14" t="s">
        <v>1415</v>
      </c>
      <c r="J1013" s="1" t="s">
        <v>3006</v>
      </c>
      <c r="K1013" s="14" t="s">
        <v>3007</v>
      </c>
      <c r="L1013" s="1" t="s">
        <v>3008</v>
      </c>
      <c r="M1013" s="1" t="s">
        <v>3009</v>
      </c>
      <c r="N1013" s="1">
        <v>57</v>
      </c>
      <c r="O1013" s="1" t="s">
        <v>976</v>
      </c>
      <c r="P1013" s="5">
        <v>704.72</v>
      </c>
      <c r="Q1013" s="5">
        <v>0</v>
      </c>
      <c r="R1013" s="5">
        <v>690</v>
      </c>
      <c r="S1013" s="5">
        <v>14.72</v>
      </c>
      <c r="T1013" s="5" t="s">
        <v>22</v>
      </c>
      <c r="U1013" s="5" t="s">
        <v>2852</v>
      </c>
      <c r="V1013" s="5" t="s">
        <v>845</v>
      </c>
      <c r="AB1013"/>
      <c r="AC1013"/>
      <c r="AD1013"/>
    </row>
    <row r="1014" spans="1:30" x14ac:dyDescent="0.25">
      <c r="A1014" t="s">
        <v>5497</v>
      </c>
      <c r="B1014" t="s">
        <v>5498</v>
      </c>
      <c r="C1014" s="9" t="s">
        <v>5499</v>
      </c>
      <c r="D1014" s="9" t="s">
        <v>5500</v>
      </c>
      <c r="E1014" s="5" t="s">
        <v>3003</v>
      </c>
      <c r="F1014" s="1" t="s">
        <v>3004</v>
      </c>
      <c r="G1014" s="25">
        <v>44232</v>
      </c>
      <c r="H1014" s="1" t="s">
        <v>3312</v>
      </c>
      <c r="I1014" s="14" t="s">
        <v>2806</v>
      </c>
      <c r="J1014" s="1" t="s">
        <v>3006</v>
      </c>
      <c r="K1014" s="14" t="s">
        <v>3007</v>
      </c>
      <c r="L1014" s="1" t="s">
        <v>3008</v>
      </c>
      <c r="M1014" s="1" t="s">
        <v>3009</v>
      </c>
      <c r="N1014" s="1">
        <v>200</v>
      </c>
      <c r="O1014" s="1" t="s">
        <v>976</v>
      </c>
      <c r="P1014" s="5">
        <v>470</v>
      </c>
      <c r="Q1014" s="5">
        <v>0</v>
      </c>
      <c r="R1014" s="5">
        <v>470</v>
      </c>
      <c r="S1014" s="5">
        <v>0</v>
      </c>
      <c r="T1014" s="5">
        <v>38</v>
      </c>
      <c r="U1014" s="5" t="s">
        <v>2482</v>
      </c>
      <c r="V1014" s="5" t="s">
        <v>777</v>
      </c>
      <c r="AB1014"/>
      <c r="AC1014"/>
      <c r="AD1014"/>
    </row>
    <row r="1015" spans="1:30" x14ac:dyDescent="0.25">
      <c r="A1015" t="s">
        <v>5497</v>
      </c>
      <c r="B1015" t="s">
        <v>5498</v>
      </c>
      <c r="C1015" s="9" t="s">
        <v>5499</v>
      </c>
      <c r="D1015" s="9" t="s">
        <v>5500</v>
      </c>
      <c r="E1015" s="5" t="s">
        <v>3003</v>
      </c>
      <c r="F1015" s="1" t="s">
        <v>3004</v>
      </c>
      <c r="G1015" s="25">
        <v>44302</v>
      </c>
      <c r="H1015" s="1" t="s">
        <v>3628</v>
      </c>
      <c r="I1015" s="14" t="s">
        <v>1415</v>
      </c>
      <c r="J1015" s="1" t="s">
        <v>3006</v>
      </c>
      <c r="K1015" s="14" t="s">
        <v>3007</v>
      </c>
      <c r="L1015" s="1" t="s">
        <v>3008</v>
      </c>
      <c r="M1015" s="1" t="s">
        <v>3009</v>
      </c>
      <c r="N1015" s="1">
        <v>326</v>
      </c>
      <c r="O1015" s="1" t="s">
        <v>976</v>
      </c>
      <c r="P1015" s="5">
        <v>390</v>
      </c>
      <c r="Q1015" s="5">
        <v>0</v>
      </c>
      <c r="R1015" s="5">
        <v>390</v>
      </c>
      <c r="S1015" s="5">
        <v>0</v>
      </c>
      <c r="T1015" s="5" t="s">
        <v>23</v>
      </c>
      <c r="U1015" s="5" t="s">
        <v>2495</v>
      </c>
      <c r="V1015" s="5" t="s">
        <v>843</v>
      </c>
      <c r="AB1015"/>
      <c r="AC1015"/>
      <c r="AD1015"/>
    </row>
    <row r="1016" spans="1:30" x14ac:dyDescent="0.25">
      <c r="A1016" t="s">
        <v>5497</v>
      </c>
      <c r="B1016" t="s">
        <v>5498</v>
      </c>
      <c r="C1016" s="9" t="s">
        <v>5499</v>
      </c>
      <c r="D1016" s="9" t="s">
        <v>5500</v>
      </c>
      <c r="E1016" s="5" t="s">
        <v>3003</v>
      </c>
      <c r="F1016" s="1" t="s">
        <v>3004</v>
      </c>
      <c r="G1016" s="25">
        <v>44504</v>
      </c>
      <c r="H1016" s="1" t="s">
        <v>4307</v>
      </c>
      <c r="I1016" s="14" t="s">
        <v>2930</v>
      </c>
      <c r="J1016" s="1" t="s">
        <v>3006</v>
      </c>
      <c r="K1016" s="14" t="s">
        <v>3007</v>
      </c>
      <c r="L1016" s="1" t="s">
        <v>3008</v>
      </c>
      <c r="M1016" s="1" t="s">
        <v>3009</v>
      </c>
      <c r="N1016" s="1">
        <v>1161</v>
      </c>
      <c r="O1016" s="1" t="s">
        <v>976</v>
      </c>
      <c r="P1016" s="5">
        <v>575</v>
      </c>
      <c r="Q1016" s="5">
        <v>0</v>
      </c>
      <c r="R1016" s="5">
        <v>575</v>
      </c>
      <c r="S1016" s="5">
        <v>0</v>
      </c>
      <c r="T1016" s="5" t="s">
        <v>23</v>
      </c>
      <c r="U1016" s="5" t="s">
        <v>2433</v>
      </c>
      <c r="V1016" s="5" t="s">
        <v>921</v>
      </c>
      <c r="AB1016"/>
      <c r="AC1016"/>
      <c r="AD1016"/>
    </row>
    <row r="1017" spans="1:30" x14ac:dyDescent="0.25">
      <c r="A1017" t="s">
        <v>5502</v>
      </c>
      <c r="B1017" t="s">
        <v>5503</v>
      </c>
      <c r="C1017" s="9" t="s">
        <v>5504</v>
      </c>
      <c r="D1017" s="9" t="s">
        <v>5505</v>
      </c>
      <c r="E1017" s="5" t="s">
        <v>3003</v>
      </c>
      <c r="F1017" s="1" t="s">
        <v>3004</v>
      </c>
      <c r="G1017" s="25">
        <v>44416</v>
      </c>
      <c r="H1017" s="1" t="s">
        <v>3027</v>
      </c>
      <c r="I1017" s="14" t="s">
        <v>254</v>
      </c>
      <c r="J1017" s="1" t="s">
        <v>3006</v>
      </c>
      <c r="K1017" s="14" t="s">
        <v>3007</v>
      </c>
      <c r="L1017" s="1" t="s">
        <v>3008</v>
      </c>
      <c r="M1017" s="1" t="s">
        <v>3009</v>
      </c>
      <c r="N1017" s="1">
        <v>751</v>
      </c>
      <c r="O1017" s="1" t="s">
        <v>976</v>
      </c>
      <c r="P1017" s="5">
        <v>1197</v>
      </c>
      <c r="Q1017" s="5">
        <v>133</v>
      </c>
      <c r="R1017" s="5">
        <v>1330</v>
      </c>
      <c r="S1017" s="5">
        <v>0</v>
      </c>
      <c r="T1017" s="5" t="s">
        <v>22</v>
      </c>
      <c r="V1017" s="5" t="s">
        <v>254</v>
      </c>
      <c r="AB1017"/>
      <c r="AC1017"/>
      <c r="AD1017"/>
    </row>
    <row r="1018" spans="1:30" x14ac:dyDescent="0.25">
      <c r="A1018" t="s">
        <v>5506</v>
      </c>
      <c r="B1018" t="s">
        <v>5507</v>
      </c>
      <c r="C1018" s="9" t="s">
        <v>5508</v>
      </c>
      <c r="D1018" s="9" t="s">
        <v>5509</v>
      </c>
      <c r="E1018" s="5" t="s">
        <v>3003</v>
      </c>
      <c r="F1018" s="1" t="s">
        <v>3004</v>
      </c>
      <c r="G1018" s="25">
        <v>44432</v>
      </c>
      <c r="H1018" s="1" t="s">
        <v>5510</v>
      </c>
      <c r="I1018" s="14" t="s">
        <v>2826</v>
      </c>
      <c r="J1018" s="1" t="s">
        <v>3006</v>
      </c>
      <c r="K1018" s="14" t="s">
        <v>3007</v>
      </c>
      <c r="L1018" s="1" t="s">
        <v>3008</v>
      </c>
      <c r="M1018" s="1" t="s">
        <v>3009</v>
      </c>
      <c r="N1018" s="1">
        <v>808</v>
      </c>
      <c r="O1018" s="1" t="s">
        <v>976</v>
      </c>
      <c r="P1018" s="5">
        <v>340</v>
      </c>
      <c r="Q1018" s="5">
        <v>0</v>
      </c>
      <c r="R1018" s="5">
        <v>340</v>
      </c>
      <c r="S1018" s="5">
        <v>0</v>
      </c>
      <c r="T1018" s="5" t="s">
        <v>23</v>
      </c>
      <c r="U1018" s="5" t="s">
        <v>2508</v>
      </c>
      <c r="V1018" s="5" t="s">
        <v>808</v>
      </c>
      <c r="AB1018"/>
      <c r="AC1018"/>
      <c r="AD1018"/>
    </row>
    <row r="1019" spans="1:30" x14ac:dyDescent="0.25">
      <c r="A1019" t="s">
        <v>5506</v>
      </c>
      <c r="B1019" t="s">
        <v>5507</v>
      </c>
      <c r="C1019" s="9" t="s">
        <v>5508</v>
      </c>
      <c r="D1019" s="9" t="s">
        <v>5509</v>
      </c>
      <c r="E1019" s="5" t="s">
        <v>3003</v>
      </c>
      <c r="F1019" s="1" t="s">
        <v>3004</v>
      </c>
      <c r="G1019" s="25">
        <v>44432</v>
      </c>
      <c r="H1019" s="1" t="s">
        <v>3479</v>
      </c>
      <c r="I1019" s="14" t="s">
        <v>2888</v>
      </c>
      <c r="J1019" s="1" t="s">
        <v>3006</v>
      </c>
      <c r="K1019" s="14" t="s">
        <v>3007</v>
      </c>
      <c r="L1019" s="1" t="s">
        <v>3008</v>
      </c>
      <c r="M1019" s="1" t="s">
        <v>3009</v>
      </c>
      <c r="N1019" s="1">
        <v>808</v>
      </c>
      <c r="O1019" s="1" t="s">
        <v>976</v>
      </c>
      <c r="P1019" s="5">
        <v>230</v>
      </c>
      <c r="Q1019" s="5">
        <v>0</v>
      </c>
      <c r="R1019" s="5">
        <v>230</v>
      </c>
      <c r="S1019" s="5">
        <v>0</v>
      </c>
      <c r="T1019" s="5" t="s">
        <v>23</v>
      </c>
      <c r="U1019" s="5" t="s">
        <v>2579</v>
      </c>
      <c r="V1019" s="5" t="s">
        <v>896</v>
      </c>
      <c r="AB1019"/>
      <c r="AC1019"/>
      <c r="AD1019"/>
    </row>
    <row r="1020" spans="1:30" x14ac:dyDescent="0.25">
      <c r="A1020" t="s">
        <v>5506</v>
      </c>
      <c r="B1020" t="s">
        <v>5507</v>
      </c>
      <c r="C1020" s="9" t="s">
        <v>5508</v>
      </c>
      <c r="D1020" s="9" t="s">
        <v>5509</v>
      </c>
      <c r="E1020" s="5" t="s">
        <v>3003</v>
      </c>
      <c r="F1020" s="1" t="s">
        <v>3004</v>
      </c>
      <c r="G1020" s="25">
        <v>44432</v>
      </c>
      <c r="H1020" s="1" t="s">
        <v>5511</v>
      </c>
      <c r="I1020" s="14" t="s">
        <v>2889</v>
      </c>
      <c r="J1020" s="1" t="s">
        <v>3006</v>
      </c>
      <c r="K1020" s="14" t="s">
        <v>3007</v>
      </c>
      <c r="L1020" s="1" t="s">
        <v>3008</v>
      </c>
      <c r="M1020" s="1" t="s">
        <v>3009</v>
      </c>
      <c r="N1020" s="1">
        <v>808</v>
      </c>
      <c r="O1020" s="1" t="s">
        <v>976</v>
      </c>
      <c r="P1020" s="5">
        <v>630</v>
      </c>
      <c r="Q1020" s="5">
        <v>0</v>
      </c>
      <c r="R1020" s="5">
        <v>630</v>
      </c>
      <c r="S1020" s="5">
        <v>0</v>
      </c>
      <c r="T1020" s="5" t="s">
        <v>23</v>
      </c>
      <c r="U1020" s="5" t="s">
        <v>2443</v>
      </c>
      <c r="V1020" s="5" t="s">
        <v>898</v>
      </c>
      <c r="AB1020"/>
      <c r="AC1020"/>
      <c r="AD1020"/>
    </row>
    <row r="1021" spans="1:30" x14ac:dyDescent="0.25">
      <c r="A1021" t="s">
        <v>5506</v>
      </c>
      <c r="B1021" t="s">
        <v>5507</v>
      </c>
      <c r="C1021" s="9" t="s">
        <v>5508</v>
      </c>
      <c r="D1021" s="9" t="s">
        <v>5509</v>
      </c>
      <c r="E1021" s="5" t="s">
        <v>3003</v>
      </c>
      <c r="F1021" s="1" t="s">
        <v>3004</v>
      </c>
      <c r="G1021" s="25">
        <v>44514</v>
      </c>
      <c r="H1021" s="1" t="s">
        <v>3160</v>
      </c>
      <c r="I1021" s="14" t="s">
        <v>488</v>
      </c>
      <c r="J1021" s="1" t="s">
        <v>3006</v>
      </c>
      <c r="K1021" s="14" t="s">
        <v>3007</v>
      </c>
      <c r="L1021" s="1" t="s">
        <v>3008</v>
      </c>
      <c r="M1021" s="1" t="s">
        <v>3016</v>
      </c>
      <c r="N1021" s="1">
        <v>1209</v>
      </c>
      <c r="O1021" s="1" t="s">
        <v>976</v>
      </c>
      <c r="P1021" s="5">
        <v>283.5</v>
      </c>
      <c r="Q1021" s="5">
        <v>31.5</v>
      </c>
      <c r="R1021" s="5">
        <v>315</v>
      </c>
      <c r="S1021" s="5">
        <v>0</v>
      </c>
      <c r="T1021" s="5" t="s">
        <v>22</v>
      </c>
      <c r="V1021" s="5" t="s">
        <v>488</v>
      </c>
      <c r="AB1021"/>
      <c r="AC1021"/>
      <c r="AD1021"/>
    </row>
    <row r="1022" spans="1:30" x14ac:dyDescent="0.25">
      <c r="A1022" t="s">
        <v>5506</v>
      </c>
      <c r="B1022" t="s">
        <v>5507</v>
      </c>
      <c r="C1022" s="9" t="s">
        <v>5508</v>
      </c>
      <c r="D1022" s="9" t="s">
        <v>5509</v>
      </c>
      <c r="E1022" s="5" t="s">
        <v>3003</v>
      </c>
      <c r="F1022" s="1" t="s">
        <v>3004</v>
      </c>
      <c r="G1022" s="25">
        <v>44525</v>
      </c>
      <c r="H1022" s="1" t="s">
        <v>3334</v>
      </c>
      <c r="I1022" s="14" t="s">
        <v>493</v>
      </c>
      <c r="J1022" s="1" t="s">
        <v>3006</v>
      </c>
      <c r="K1022" s="14" t="s">
        <v>3007</v>
      </c>
      <c r="L1022" s="1" t="s">
        <v>3008</v>
      </c>
      <c r="M1022" s="1" t="s">
        <v>3016</v>
      </c>
      <c r="N1022" s="1">
        <v>1287</v>
      </c>
      <c r="O1022" s="1" t="s">
        <v>976</v>
      </c>
      <c r="P1022" s="5">
        <v>0</v>
      </c>
      <c r="Q1022" s="5">
        <v>0</v>
      </c>
      <c r="R1022" s="5">
        <v>315</v>
      </c>
      <c r="S1022" s="5">
        <v>0</v>
      </c>
      <c r="T1022" s="5" t="s">
        <v>23</v>
      </c>
      <c r="V1022" s="5" t="s">
        <v>493</v>
      </c>
      <c r="AB1022"/>
      <c r="AC1022"/>
      <c r="AD1022"/>
    </row>
    <row r="1023" spans="1:30" x14ac:dyDescent="0.25">
      <c r="A1023" t="s">
        <v>5506</v>
      </c>
      <c r="B1023" t="s">
        <v>5507</v>
      </c>
      <c r="C1023" s="9" t="s">
        <v>5508</v>
      </c>
      <c r="D1023" s="9" t="s">
        <v>5509</v>
      </c>
      <c r="E1023" s="5" t="s">
        <v>3003</v>
      </c>
      <c r="F1023" s="1" t="s">
        <v>3004</v>
      </c>
      <c r="G1023" s="25">
        <v>44525</v>
      </c>
      <c r="H1023" s="1" t="s">
        <v>3335</v>
      </c>
      <c r="I1023" s="14" t="s">
        <v>499</v>
      </c>
      <c r="J1023" s="1" t="s">
        <v>3006</v>
      </c>
      <c r="K1023" s="14" t="s">
        <v>3007</v>
      </c>
      <c r="L1023" s="1" t="s">
        <v>3008</v>
      </c>
      <c r="M1023" s="1" t="s">
        <v>3016</v>
      </c>
      <c r="N1023" s="1">
        <v>1287</v>
      </c>
      <c r="O1023" s="1" t="s">
        <v>976</v>
      </c>
      <c r="P1023" s="5">
        <v>0.01</v>
      </c>
      <c r="Q1023" s="5">
        <v>314.99</v>
      </c>
      <c r="R1023" s="5">
        <v>315</v>
      </c>
      <c r="S1023" s="5">
        <v>0</v>
      </c>
      <c r="T1023" s="5" t="s">
        <v>23</v>
      </c>
      <c r="V1023" s="5" t="s">
        <v>499</v>
      </c>
      <c r="AB1023"/>
      <c r="AC1023"/>
      <c r="AD1023"/>
    </row>
    <row r="1024" spans="1:30" x14ac:dyDescent="0.25">
      <c r="A1024" t="s">
        <v>5512</v>
      </c>
      <c r="B1024" t="s">
        <v>5513</v>
      </c>
      <c r="C1024" s="9" t="s">
        <v>5514</v>
      </c>
      <c r="D1024" s="9">
        <v>956372151</v>
      </c>
      <c r="E1024" s="5" t="s">
        <v>3003</v>
      </c>
      <c r="F1024" s="1" t="s">
        <v>4305</v>
      </c>
      <c r="G1024" s="25">
        <v>44509</v>
      </c>
      <c r="H1024" s="1" t="s">
        <v>3027</v>
      </c>
      <c r="I1024" s="14" t="s">
        <v>254</v>
      </c>
      <c r="J1024" s="1" t="s">
        <v>3006</v>
      </c>
      <c r="K1024" s="14" t="s">
        <v>3007</v>
      </c>
      <c r="L1024" s="1" t="s">
        <v>3008</v>
      </c>
      <c r="M1024" s="1" t="s">
        <v>3009</v>
      </c>
      <c r="N1024" s="1">
        <v>1180</v>
      </c>
      <c r="O1024" s="1" t="s">
        <v>976</v>
      </c>
      <c r="P1024" s="5">
        <v>1264.6199999999999</v>
      </c>
      <c r="Q1024" s="5">
        <v>138</v>
      </c>
      <c r="R1024" s="5">
        <v>1380</v>
      </c>
      <c r="S1024" s="5">
        <v>22.62</v>
      </c>
      <c r="T1024" s="5" t="s">
        <v>22</v>
      </c>
      <c r="V1024" s="5" t="s">
        <v>254</v>
      </c>
      <c r="AB1024"/>
      <c r="AC1024"/>
      <c r="AD1024"/>
    </row>
    <row r="1025" spans="1:30" x14ac:dyDescent="0.25">
      <c r="A1025" t="s">
        <v>5515</v>
      </c>
      <c r="B1025" t="s">
        <v>5516</v>
      </c>
      <c r="C1025" s="9" t="s">
        <v>5517</v>
      </c>
      <c r="D1025" s="9">
        <v>981510501</v>
      </c>
      <c r="E1025" s="5" t="s">
        <v>3187</v>
      </c>
      <c r="F1025" s="1" t="s">
        <v>3188</v>
      </c>
      <c r="G1025" s="25">
        <v>44544</v>
      </c>
      <c r="H1025" s="1" t="s">
        <v>3170</v>
      </c>
      <c r="I1025" s="14" t="s">
        <v>2822</v>
      </c>
      <c r="J1025" s="1" t="s">
        <v>3006</v>
      </c>
      <c r="K1025" s="14" t="s">
        <v>3007</v>
      </c>
      <c r="L1025" s="1" t="s">
        <v>3008</v>
      </c>
      <c r="M1025" s="1" t="s">
        <v>3016</v>
      </c>
      <c r="N1025" s="1">
        <v>1452</v>
      </c>
      <c r="O1025" s="1" t="s">
        <v>976</v>
      </c>
      <c r="P1025" s="5">
        <v>281.27</v>
      </c>
      <c r="Q1025" s="5">
        <v>0</v>
      </c>
      <c r="R1025" s="5">
        <v>245</v>
      </c>
      <c r="S1025" s="5">
        <v>36.270000000000003</v>
      </c>
      <c r="T1025" s="5" t="s">
        <v>23</v>
      </c>
      <c r="U1025" s="5" t="s">
        <v>2508</v>
      </c>
      <c r="V1025" s="5" t="s">
        <v>801</v>
      </c>
      <c r="AB1025"/>
      <c r="AC1025"/>
      <c r="AD1025"/>
    </row>
    <row r="1026" spans="1:30" x14ac:dyDescent="0.25">
      <c r="A1026" t="s">
        <v>5518</v>
      </c>
      <c r="B1026" t="s">
        <v>5519</v>
      </c>
      <c r="C1026" s="9" t="s">
        <v>5520</v>
      </c>
      <c r="D1026" s="9">
        <v>999873679</v>
      </c>
      <c r="E1026" s="5" t="s">
        <v>3644</v>
      </c>
      <c r="F1026" s="1" t="s">
        <v>3645</v>
      </c>
      <c r="G1026" s="25">
        <v>44417</v>
      </c>
      <c r="H1026" s="1" t="s">
        <v>3153</v>
      </c>
      <c r="I1026" s="14" t="s">
        <v>2841</v>
      </c>
      <c r="J1026" s="1" t="s">
        <v>3006</v>
      </c>
      <c r="K1026" s="14" t="s">
        <v>3007</v>
      </c>
      <c r="L1026" s="1" t="s">
        <v>3008</v>
      </c>
      <c r="M1026" s="1" t="s">
        <v>3016</v>
      </c>
      <c r="N1026" s="1">
        <v>754</v>
      </c>
      <c r="O1026" s="1" t="s">
        <v>976</v>
      </c>
      <c r="P1026" s="5">
        <v>100.19</v>
      </c>
      <c r="Q1026" s="5">
        <v>0</v>
      </c>
      <c r="R1026" s="5">
        <v>59.9</v>
      </c>
      <c r="S1026" s="5">
        <v>40.29</v>
      </c>
      <c r="T1026" s="5">
        <v>39</v>
      </c>
      <c r="U1026" s="5" t="s">
        <v>2482</v>
      </c>
      <c r="V1026" s="5" t="s">
        <v>827</v>
      </c>
      <c r="AB1026"/>
      <c r="AC1026"/>
      <c r="AD1026"/>
    </row>
    <row r="1027" spans="1:30" x14ac:dyDescent="0.25">
      <c r="A1027" t="s">
        <v>5521</v>
      </c>
      <c r="B1027" t="s">
        <v>5522</v>
      </c>
      <c r="C1027" s="9" t="s">
        <v>5523</v>
      </c>
      <c r="D1027" s="9">
        <v>984851983</v>
      </c>
      <c r="E1027" s="5" t="s">
        <v>3187</v>
      </c>
      <c r="F1027" s="1" t="s">
        <v>3188</v>
      </c>
      <c r="G1027" s="25">
        <v>44417</v>
      </c>
      <c r="H1027" s="1" t="s">
        <v>4372</v>
      </c>
      <c r="I1027" s="14" t="s">
        <v>382</v>
      </c>
      <c r="J1027" s="1" t="s">
        <v>3006</v>
      </c>
      <c r="K1027" s="14" t="s">
        <v>3007</v>
      </c>
      <c r="L1027" s="1" t="s">
        <v>3008</v>
      </c>
      <c r="M1027" s="1" t="s">
        <v>3016</v>
      </c>
      <c r="N1027" s="1">
        <v>755</v>
      </c>
      <c r="O1027" s="1" t="s">
        <v>976</v>
      </c>
      <c r="P1027" s="5">
        <v>195.37</v>
      </c>
      <c r="Q1027" s="5">
        <v>0</v>
      </c>
      <c r="R1027" s="5">
        <v>165</v>
      </c>
      <c r="S1027" s="5">
        <v>30.37</v>
      </c>
      <c r="T1027" s="5">
        <v>250</v>
      </c>
      <c r="V1027" s="5" t="s">
        <v>382</v>
      </c>
      <c r="AB1027"/>
      <c r="AC1027"/>
      <c r="AD1027"/>
    </row>
    <row r="1028" spans="1:30" x14ac:dyDescent="0.25">
      <c r="A1028" t="s">
        <v>5524</v>
      </c>
      <c r="B1028" t="s">
        <v>5525</v>
      </c>
      <c r="C1028" s="9" t="s">
        <v>5526</v>
      </c>
      <c r="D1028" s="9" t="s">
        <v>5527</v>
      </c>
      <c r="E1028" s="5" t="s">
        <v>3003</v>
      </c>
      <c r="F1028" s="1" t="s">
        <v>3004</v>
      </c>
      <c r="G1028" s="25">
        <v>44460</v>
      </c>
      <c r="H1028" s="1" t="s">
        <v>3175</v>
      </c>
      <c r="I1028" s="14" t="s">
        <v>583</v>
      </c>
      <c r="J1028" s="1" t="s">
        <v>3006</v>
      </c>
      <c r="K1028" s="14" t="s">
        <v>3007</v>
      </c>
      <c r="L1028" s="1" t="s">
        <v>3008</v>
      </c>
      <c r="M1028" s="1" t="s">
        <v>3016</v>
      </c>
      <c r="N1028" s="1">
        <v>951</v>
      </c>
      <c r="O1028" s="1" t="s">
        <v>976</v>
      </c>
      <c r="P1028" s="5">
        <v>476</v>
      </c>
      <c r="Q1028" s="5">
        <v>49</v>
      </c>
      <c r="R1028" s="5">
        <v>490</v>
      </c>
      <c r="S1028" s="5">
        <v>35</v>
      </c>
      <c r="T1028" s="5" t="s">
        <v>23</v>
      </c>
      <c r="V1028" s="5" t="s">
        <v>583</v>
      </c>
      <c r="AB1028"/>
      <c r="AC1028"/>
      <c r="AD1028"/>
    </row>
    <row r="1029" spans="1:30" x14ac:dyDescent="0.25">
      <c r="A1029" t="s">
        <v>5528</v>
      </c>
      <c r="B1029" t="s">
        <v>5529</v>
      </c>
      <c r="C1029" s="9" t="s">
        <v>5530</v>
      </c>
      <c r="D1029" s="9" t="s">
        <v>5531</v>
      </c>
      <c r="E1029" s="5" t="s">
        <v>3013</v>
      </c>
      <c r="F1029" s="1" t="s">
        <v>3509</v>
      </c>
      <c r="G1029" s="25">
        <v>44126</v>
      </c>
      <c r="H1029" s="1" t="s">
        <v>4552</v>
      </c>
      <c r="I1029" s="14" t="s">
        <v>507</v>
      </c>
      <c r="J1029" s="1" t="s">
        <v>3006</v>
      </c>
      <c r="K1029" s="14" t="s">
        <v>3007</v>
      </c>
      <c r="L1029" s="1" t="s">
        <v>3614</v>
      </c>
      <c r="M1029" s="1" t="s">
        <v>3016</v>
      </c>
      <c r="N1029" s="1">
        <v>38</v>
      </c>
      <c r="O1029" s="1" t="s">
        <v>976</v>
      </c>
      <c r="P1029" s="5">
        <v>165</v>
      </c>
      <c r="Q1029" s="5">
        <v>0</v>
      </c>
      <c r="R1029" s="5">
        <v>165</v>
      </c>
      <c r="S1029" s="5">
        <v>0</v>
      </c>
      <c r="T1029" s="5" t="s">
        <v>24</v>
      </c>
      <c r="V1029" s="5" t="s">
        <v>507</v>
      </c>
      <c r="AB1029"/>
      <c r="AC1029"/>
      <c r="AD1029"/>
    </row>
    <row r="1030" spans="1:30" x14ac:dyDescent="0.25">
      <c r="A1030" t="s">
        <v>5528</v>
      </c>
      <c r="B1030" t="s">
        <v>5529</v>
      </c>
      <c r="C1030" s="9" t="s">
        <v>5530</v>
      </c>
      <c r="D1030" s="9" t="s">
        <v>5531</v>
      </c>
      <c r="E1030" s="5" t="s">
        <v>3013</v>
      </c>
      <c r="F1030" s="1" t="s">
        <v>3509</v>
      </c>
      <c r="G1030" s="25">
        <v>44126</v>
      </c>
      <c r="H1030" s="1" t="s">
        <v>4553</v>
      </c>
      <c r="I1030" s="14" t="s">
        <v>510</v>
      </c>
      <c r="J1030" s="1" t="s">
        <v>3006</v>
      </c>
      <c r="K1030" s="14" t="s">
        <v>3007</v>
      </c>
      <c r="L1030" s="1" t="s">
        <v>3614</v>
      </c>
      <c r="M1030" s="1" t="s">
        <v>3016</v>
      </c>
      <c r="N1030" s="1">
        <v>38</v>
      </c>
      <c r="O1030" s="1" t="s">
        <v>976</v>
      </c>
      <c r="P1030" s="5">
        <v>165</v>
      </c>
      <c r="Q1030" s="5">
        <v>0</v>
      </c>
      <c r="R1030" s="5">
        <v>165</v>
      </c>
      <c r="S1030" s="5">
        <v>0</v>
      </c>
      <c r="T1030" s="5" t="s">
        <v>24</v>
      </c>
      <c r="V1030" s="5" t="s">
        <v>510</v>
      </c>
      <c r="AB1030"/>
      <c r="AC1030"/>
      <c r="AD1030"/>
    </row>
    <row r="1031" spans="1:30" x14ac:dyDescent="0.25">
      <c r="A1031" t="s">
        <v>5532</v>
      </c>
      <c r="B1031" t="s">
        <v>5533</v>
      </c>
      <c r="C1031" s="9" t="s">
        <v>5534</v>
      </c>
      <c r="D1031" s="9">
        <v>981108799</v>
      </c>
      <c r="E1031" s="5" t="s">
        <v>3003</v>
      </c>
      <c r="F1031" s="1" t="s">
        <v>5535</v>
      </c>
      <c r="G1031" s="25">
        <v>44499</v>
      </c>
      <c r="H1031" s="1" t="s">
        <v>3075</v>
      </c>
      <c r="I1031" s="14" t="s">
        <v>2791</v>
      </c>
      <c r="J1031" s="1" t="s">
        <v>3006</v>
      </c>
      <c r="K1031" s="14" t="s">
        <v>3007</v>
      </c>
      <c r="L1031" s="1" t="s">
        <v>3008</v>
      </c>
      <c r="M1031" s="1" t="s">
        <v>3009</v>
      </c>
      <c r="N1031" s="1">
        <v>1135</v>
      </c>
      <c r="O1031" s="1" t="s">
        <v>976</v>
      </c>
      <c r="P1031" s="5">
        <v>1268.32</v>
      </c>
      <c r="Q1031" s="5">
        <v>138</v>
      </c>
      <c r="R1031" s="5">
        <v>1380</v>
      </c>
      <c r="S1031" s="5">
        <v>26.32</v>
      </c>
      <c r="T1031" s="5" t="s">
        <v>22</v>
      </c>
      <c r="U1031" s="5" t="s">
        <v>2443</v>
      </c>
      <c r="V1031" s="5" t="s">
        <v>763</v>
      </c>
      <c r="AB1031"/>
      <c r="AC1031"/>
      <c r="AD1031"/>
    </row>
    <row r="1032" spans="1:30" x14ac:dyDescent="0.25">
      <c r="A1032" t="s">
        <v>5536</v>
      </c>
      <c r="B1032" t="s">
        <v>5537</v>
      </c>
      <c r="C1032" s="9" t="s">
        <v>5538</v>
      </c>
      <c r="D1032" s="9" t="s">
        <v>5539</v>
      </c>
      <c r="E1032" s="5" t="s">
        <v>3003</v>
      </c>
      <c r="F1032" s="1" t="s">
        <v>5540</v>
      </c>
      <c r="G1032" s="25">
        <v>44222</v>
      </c>
      <c r="H1032" s="1" t="s">
        <v>5541</v>
      </c>
      <c r="I1032" s="14" t="s">
        <v>430</v>
      </c>
      <c r="J1032" s="1" t="s">
        <v>3006</v>
      </c>
      <c r="K1032" s="14" t="s">
        <v>3007</v>
      </c>
      <c r="L1032" s="1" t="s">
        <v>3008</v>
      </c>
      <c r="M1032" s="1" t="s">
        <v>3009</v>
      </c>
      <c r="N1032" s="1">
        <v>176</v>
      </c>
      <c r="O1032" s="1" t="s">
        <v>976</v>
      </c>
      <c r="P1032" s="5">
        <v>1129.79</v>
      </c>
      <c r="Q1032" s="5">
        <v>195</v>
      </c>
      <c r="R1032" s="5">
        <v>1300</v>
      </c>
      <c r="S1032" s="5">
        <v>24.79</v>
      </c>
      <c r="T1032" s="5">
        <v>42</v>
      </c>
      <c r="V1032" s="5" t="s">
        <v>430</v>
      </c>
      <c r="AB1032"/>
      <c r="AC1032"/>
      <c r="AD1032"/>
    </row>
    <row r="1033" spans="1:30" x14ac:dyDescent="0.25">
      <c r="A1033" t="s">
        <v>5536</v>
      </c>
      <c r="B1033" t="s">
        <v>5537</v>
      </c>
      <c r="C1033" s="9" t="s">
        <v>5538</v>
      </c>
      <c r="D1033" s="9" t="s">
        <v>5539</v>
      </c>
      <c r="E1033" s="5" t="s">
        <v>3003</v>
      </c>
      <c r="F1033" s="1" t="s">
        <v>5540</v>
      </c>
      <c r="G1033" s="25">
        <v>44239</v>
      </c>
      <c r="H1033" s="1" t="s">
        <v>5542</v>
      </c>
      <c r="I1033" s="14" t="s">
        <v>2806</v>
      </c>
      <c r="J1033" s="1" t="s">
        <v>3006</v>
      </c>
      <c r="K1033" s="14" t="s">
        <v>3007</v>
      </c>
      <c r="L1033" s="1" t="s">
        <v>3008</v>
      </c>
      <c r="M1033" s="1" t="s">
        <v>3009</v>
      </c>
      <c r="N1033" s="1">
        <v>213</v>
      </c>
      <c r="O1033" s="1" t="s">
        <v>976</v>
      </c>
      <c r="P1033" s="5">
        <v>470</v>
      </c>
      <c r="Q1033" s="5">
        <v>0</v>
      </c>
      <c r="R1033" s="5">
        <v>470</v>
      </c>
      <c r="S1033" s="5">
        <v>0</v>
      </c>
      <c r="T1033" s="5">
        <v>42</v>
      </c>
      <c r="U1033" s="5" t="s">
        <v>2482</v>
      </c>
      <c r="V1033" s="5" t="s">
        <v>777</v>
      </c>
      <c r="AB1033"/>
      <c r="AC1033"/>
      <c r="AD1033"/>
    </row>
    <row r="1034" spans="1:30" x14ac:dyDescent="0.25">
      <c r="A1034" t="s">
        <v>5536</v>
      </c>
      <c r="B1034" t="s">
        <v>5537</v>
      </c>
      <c r="C1034" s="9" t="s">
        <v>5538</v>
      </c>
      <c r="D1034" s="9" t="s">
        <v>5539</v>
      </c>
      <c r="E1034" s="5" t="s">
        <v>3003</v>
      </c>
      <c r="F1034" s="1" t="s">
        <v>5540</v>
      </c>
      <c r="G1034" s="25">
        <v>44276</v>
      </c>
      <c r="H1034" s="1" t="s">
        <v>3882</v>
      </c>
      <c r="I1034" s="14" t="s">
        <v>2867</v>
      </c>
      <c r="J1034" s="1" t="s">
        <v>3006</v>
      </c>
      <c r="K1034" s="14" t="s">
        <v>3007</v>
      </c>
      <c r="L1034" s="1" t="s">
        <v>3008</v>
      </c>
      <c r="M1034" s="1" t="s">
        <v>3009</v>
      </c>
      <c r="N1034" s="1">
        <v>284</v>
      </c>
      <c r="O1034" s="1" t="s">
        <v>976</v>
      </c>
      <c r="P1034" s="5">
        <v>470</v>
      </c>
      <c r="Q1034" s="5">
        <v>0</v>
      </c>
      <c r="R1034" s="5">
        <v>470</v>
      </c>
      <c r="S1034" s="5">
        <v>0</v>
      </c>
      <c r="T1034" s="5" t="s">
        <v>23</v>
      </c>
      <c r="U1034" s="5" t="s">
        <v>2482</v>
      </c>
      <c r="V1034" s="5" t="s">
        <v>869</v>
      </c>
      <c r="AB1034"/>
      <c r="AC1034"/>
      <c r="AD1034"/>
    </row>
    <row r="1035" spans="1:30" x14ac:dyDescent="0.25">
      <c r="A1035" t="s">
        <v>5536</v>
      </c>
      <c r="B1035" t="s">
        <v>5537</v>
      </c>
      <c r="C1035" s="9" t="s">
        <v>5538</v>
      </c>
      <c r="D1035" s="9" t="s">
        <v>5539</v>
      </c>
      <c r="E1035" s="5" t="s">
        <v>3003</v>
      </c>
      <c r="F1035" s="1" t="s">
        <v>5540</v>
      </c>
      <c r="G1035" s="25">
        <v>44287</v>
      </c>
      <c r="H1035" s="1" t="s">
        <v>3848</v>
      </c>
      <c r="I1035" s="14" t="s">
        <v>428</v>
      </c>
      <c r="J1035" s="1" t="s">
        <v>3006</v>
      </c>
      <c r="K1035" s="14" t="s">
        <v>3007</v>
      </c>
      <c r="L1035" s="1" t="s">
        <v>3008</v>
      </c>
      <c r="M1035" s="1" t="s">
        <v>3016</v>
      </c>
      <c r="N1035" s="1">
        <v>303</v>
      </c>
      <c r="O1035" s="1" t="s">
        <v>976</v>
      </c>
      <c r="P1035" s="5">
        <v>1300</v>
      </c>
      <c r="Q1035" s="5">
        <v>0</v>
      </c>
      <c r="R1035" s="5">
        <v>1300</v>
      </c>
      <c r="S1035" s="5">
        <v>0</v>
      </c>
      <c r="T1035" s="5">
        <v>40</v>
      </c>
      <c r="V1035" s="5" t="s">
        <v>428</v>
      </c>
      <c r="AB1035"/>
      <c r="AC1035"/>
      <c r="AD1035"/>
    </row>
    <row r="1036" spans="1:30" x14ac:dyDescent="0.25">
      <c r="A1036" t="s">
        <v>5536</v>
      </c>
      <c r="B1036" t="s">
        <v>5537</v>
      </c>
      <c r="C1036" s="9" t="s">
        <v>5538</v>
      </c>
      <c r="D1036" s="9" t="s">
        <v>5539</v>
      </c>
      <c r="E1036" s="5" t="s">
        <v>3003</v>
      </c>
      <c r="F1036" s="1" t="s">
        <v>5540</v>
      </c>
      <c r="G1036" s="25">
        <v>44362</v>
      </c>
      <c r="H1036" s="1" t="s">
        <v>5283</v>
      </c>
      <c r="I1036" s="14" t="s">
        <v>486</v>
      </c>
      <c r="J1036" s="1" t="s">
        <v>3006</v>
      </c>
      <c r="K1036" s="14" t="s">
        <v>3007</v>
      </c>
      <c r="L1036" s="1" t="s">
        <v>3008</v>
      </c>
      <c r="M1036" s="1" t="s">
        <v>3009</v>
      </c>
      <c r="N1036" s="1">
        <v>515</v>
      </c>
      <c r="O1036" s="1" t="s">
        <v>976</v>
      </c>
      <c r="P1036" s="5">
        <v>290</v>
      </c>
      <c r="Q1036" s="5">
        <v>0</v>
      </c>
      <c r="R1036" s="5">
        <v>290</v>
      </c>
      <c r="S1036" s="5">
        <v>0</v>
      </c>
      <c r="T1036" s="5" t="s">
        <v>25</v>
      </c>
      <c r="V1036" s="5" t="s">
        <v>486</v>
      </c>
      <c r="AB1036"/>
      <c r="AC1036"/>
      <c r="AD1036"/>
    </row>
    <row r="1037" spans="1:30" x14ac:dyDescent="0.25">
      <c r="A1037" t="s">
        <v>5536</v>
      </c>
      <c r="B1037" t="s">
        <v>5537</v>
      </c>
      <c r="C1037" s="9" t="s">
        <v>5538</v>
      </c>
      <c r="D1037" s="9" t="s">
        <v>5539</v>
      </c>
      <c r="E1037" s="5" t="s">
        <v>3003</v>
      </c>
      <c r="F1037" s="1" t="s">
        <v>5540</v>
      </c>
      <c r="G1037" s="25">
        <v>44362</v>
      </c>
      <c r="H1037" s="1" t="s">
        <v>5543</v>
      </c>
      <c r="I1037" s="14" t="s">
        <v>492</v>
      </c>
      <c r="J1037" s="1" t="s">
        <v>3006</v>
      </c>
      <c r="K1037" s="14" t="s">
        <v>3007</v>
      </c>
      <c r="L1037" s="1" t="s">
        <v>3008</v>
      </c>
      <c r="M1037" s="1" t="s">
        <v>3009</v>
      </c>
      <c r="N1037" s="1">
        <v>515</v>
      </c>
      <c r="O1037" s="1" t="s">
        <v>976</v>
      </c>
      <c r="P1037" s="5">
        <v>290</v>
      </c>
      <c r="Q1037" s="5">
        <v>0</v>
      </c>
      <c r="R1037" s="5">
        <v>290</v>
      </c>
      <c r="S1037" s="5">
        <v>0</v>
      </c>
      <c r="T1037" s="5" t="s">
        <v>25</v>
      </c>
      <c r="V1037" s="5" t="s">
        <v>492</v>
      </c>
      <c r="AB1037"/>
      <c r="AC1037"/>
      <c r="AD1037"/>
    </row>
    <row r="1038" spans="1:30" x14ac:dyDescent="0.25">
      <c r="A1038" t="s">
        <v>5536</v>
      </c>
      <c r="B1038" t="s">
        <v>5537</v>
      </c>
      <c r="C1038" s="9" t="s">
        <v>5538</v>
      </c>
      <c r="D1038" s="9" t="s">
        <v>5539</v>
      </c>
      <c r="E1038" s="5" t="s">
        <v>3003</v>
      </c>
      <c r="F1038" s="1" t="s">
        <v>5540</v>
      </c>
      <c r="G1038" s="25">
        <v>44374</v>
      </c>
      <c r="H1038" s="1" t="s">
        <v>5544</v>
      </c>
      <c r="I1038" s="14" t="s">
        <v>2963</v>
      </c>
      <c r="J1038" s="1" t="s">
        <v>3006</v>
      </c>
      <c r="K1038" s="14" t="s">
        <v>3007</v>
      </c>
      <c r="L1038" s="1" t="s">
        <v>3008</v>
      </c>
      <c r="M1038" s="1" t="s">
        <v>3009</v>
      </c>
      <c r="N1038" s="1">
        <v>551</v>
      </c>
      <c r="O1038" s="1" t="s">
        <v>976</v>
      </c>
      <c r="P1038" s="5">
        <v>770</v>
      </c>
      <c r="Q1038" s="5">
        <v>0</v>
      </c>
      <c r="R1038" s="5">
        <v>770</v>
      </c>
      <c r="S1038" s="5">
        <v>0</v>
      </c>
      <c r="T1038" s="5">
        <v>43</v>
      </c>
      <c r="U1038" s="5" t="s">
        <v>2443</v>
      </c>
      <c r="V1038" s="5" t="s">
        <v>934</v>
      </c>
      <c r="AB1038"/>
      <c r="AC1038"/>
      <c r="AD1038"/>
    </row>
    <row r="1039" spans="1:30" x14ac:dyDescent="0.25">
      <c r="A1039" t="s">
        <v>5536</v>
      </c>
      <c r="B1039" t="s">
        <v>5537</v>
      </c>
      <c r="C1039" s="9" t="s">
        <v>5538</v>
      </c>
      <c r="D1039" s="9" t="s">
        <v>5539</v>
      </c>
      <c r="E1039" s="5" t="s">
        <v>3003</v>
      </c>
      <c r="F1039" s="1" t="s">
        <v>5540</v>
      </c>
      <c r="G1039" s="25">
        <v>44378</v>
      </c>
      <c r="H1039" s="1" t="s">
        <v>3782</v>
      </c>
      <c r="I1039" s="14" t="s">
        <v>2913</v>
      </c>
      <c r="J1039" s="1" t="s">
        <v>3006</v>
      </c>
      <c r="K1039" s="14" t="s">
        <v>3007</v>
      </c>
      <c r="L1039" s="1" t="s">
        <v>3008</v>
      </c>
      <c r="M1039" s="1" t="s">
        <v>3009</v>
      </c>
      <c r="N1039" s="1">
        <v>569</v>
      </c>
      <c r="O1039" s="1" t="s">
        <v>976</v>
      </c>
      <c r="P1039" s="5">
        <v>1055</v>
      </c>
      <c r="Q1039" s="5">
        <v>0</v>
      </c>
      <c r="R1039" s="5">
        <v>1055</v>
      </c>
      <c r="S1039" s="5">
        <v>0</v>
      </c>
      <c r="T1039" s="5" t="s">
        <v>23</v>
      </c>
      <c r="U1039" s="5" t="s">
        <v>2482</v>
      </c>
      <c r="V1039" s="5" t="s">
        <v>909</v>
      </c>
      <c r="AB1039"/>
      <c r="AC1039"/>
      <c r="AD1039"/>
    </row>
    <row r="1040" spans="1:30" x14ac:dyDescent="0.25">
      <c r="A1040" t="s">
        <v>5536</v>
      </c>
      <c r="B1040" t="s">
        <v>5537</v>
      </c>
      <c r="C1040" s="9" t="s">
        <v>5538</v>
      </c>
      <c r="D1040" s="9" t="s">
        <v>5539</v>
      </c>
      <c r="E1040" s="5" t="s">
        <v>3003</v>
      </c>
      <c r="F1040" s="1" t="s">
        <v>5540</v>
      </c>
      <c r="G1040" s="25">
        <v>44525</v>
      </c>
      <c r="H1040" s="1" t="s">
        <v>3697</v>
      </c>
      <c r="I1040" s="14" t="s">
        <v>565</v>
      </c>
      <c r="J1040" s="1" t="s">
        <v>3006</v>
      </c>
      <c r="K1040" s="14" t="s">
        <v>3007</v>
      </c>
      <c r="L1040" s="1" t="s">
        <v>3008</v>
      </c>
      <c r="M1040" s="1" t="s">
        <v>3009</v>
      </c>
      <c r="N1040" s="1">
        <v>1278</v>
      </c>
      <c r="O1040" s="1" t="s">
        <v>976</v>
      </c>
      <c r="P1040" s="5">
        <v>602.62</v>
      </c>
      <c r="Q1040" s="5">
        <v>0</v>
      </c>
      <c r="R1040" s="5">
        <v>580</v>
      </c>
      <c r="S1040" s="5">
        <v>22.62</v>
      </c>
      <c r="T1040" s="5">
        <v>40</v>
      </c>
      <c r="V1040" s="5" t="s">
        <v>565</v>
      </c>
      <c r="AB1040"/>
      <c r="AC1040"/>
      <c r="AD1040"/>
    </row>
    <row r="1041" spans="1:30" x14ac:dyDescent="0.25">
      <c r="A1041" t="s">
        <v>5545</v>
      </c>
      <c r="B1041" t="s">
        <v>5546</v>
      </c>
      <c r="C1041" s="9" t="s">
        <v>5547</v>
      </c>
      <c r="D1041" s="9">
        <v>957638684</v>
      </c>
      <c r="E1041" s="5" t="s">
        <v>3003</v>
      </c>
      <c r="F1041" s="1" t="s">
        <v>3004</v>
      </c>
      <c r="G1041" s="25">
        <v>44255</v>
      </c>
      <c r="H1041" s="1" t="s">
        <v>3628</v>
      </c>
      <c r="I1041" s="14" t="s">
        <v>1415</v>
      </c>
      <c r="J1041" s="1" t="s">
        <v>3006</v>
      </c>
      <c r="K1041" s="14" t="s">
        <v>3007</v>
      </c>
      <c r="L1041" s="1" t="s">
        <v>3008</v>
      </c>
      <c r="M1041" s="1" t="s">
        <v>3009</v>
      </c>
      <c r="N1041" s="1">
        <v>251</v>
      </c>
      <c r="O1041" s="1" t="s">
        <v>976</v>
      </c>
      <c r="P1041" s="5">
        <v>390</v>
      </c>
      <c r="Q1041" s="5">
        <v>0</v>
      </c>
      <c r="R1041" s="5">
        <v>390</v>
      </c>
      <c r="S1041" s="5">
        <v>0</v>
      </c>
      <c r="T1041" s="5" t="s">
        <v>23</v>
      </c>
      <c r="U1041" s="5" t="s">
        <v>2495</v>
      </c>
      <c r="V1041" s="5" t="s">
        <v>843</v>
      </c>
      <c r="AB1041"/>
      <c r="AC1041"/>
      <c r="AD1041"/>
    </row>
    <row r="1042" spans="1:30" x14ac:dyDescent="0.25">
      <c r="A1042" t="s">
        <v>5545</v>
      </c>
      <c r="B1042" t="s">
        <v>5546</v>
      </c>
      <c r="C1042" s="9" t="s">
        <v>5547</v>
      </c>
      <c r="D1042" s="9">
        <v>957638684</v>
      </c>
      <c r="E1042" s="5" t="s">
        <v>3003</v>
      </c>
      <c r="F1042" s="1" t="s">
        <v>3004</v>
      </c>
      <c r="G1042" s="25">
        <v>44255</v>
      </c>
      <c r="H1042" s="1" t="s">
        <v>3629</v>
      </c>
      <c r="I1042" s="14" t="s">
        <v>2870</v>
      </c>
      <c r="J1042" s="1" t="s">
        <v>3006</v>
      </c>
      <c r="K1042" s="14" t="s">
        <v>3007</v>
      </c>
      <c r="L1042" s="1" t="s">
        <v>3008</v>
      </c>
      <c r="M1042" s="1" t="s">
        <v>3009</v>
      </c>
      <c r="N1042" s="1">
        <v>251</v>
      </c>
      <c r="O1042" s="1" t="s">
        <v>976</v>
      </c>
      <c r="P1042" s="5">
        <v>390</v>
      </c>
      <c r="Q1042" s="5">
        <v>0</v>
      </c>
      <c r="R1042" s="5">
        <v>390</v>
      </c>
      <c r="S1042" s="5">
        <v>0</v>
      </c>
      <c r="T1042" s="5" t="s">
        <v>23</v>
      </c>
      <c r="U1042" s="5" t="s">
        <v>2528</v>
      </c>
      <c r="V1042" s="5" t="s">
        <v>874</v>
      </c>
      <c r="AB1042"/>
      <c r="AC1042"/>
      <c r="AD1042"/>
    </row>
    <row r="1043" spans="1:30" x14ac:dyDescent="0.25">
      <c r="A1043" t="s">
        <v>5545</v>
      </c>
      <c r="B1043" t="s">
        <v>5546</v>
      </c>
      <c r="C1043" s="9" t="s">
        <v>5547</v>
      </c>
      <c r="D1043" s="9">
        <v>957638684</v>
      </c>
      <c r="E1043" s="5" t="s">
        <v>3003</v>
      </c>
      <c r="F1043" s="1" t="s">
        <v>3004</v>
      </c>
      <c r="G1043" s="25">
        <v>44255</v>
      </c>
      <c r="H1043" s="1" t="s">
        <v>5548</v>
      </c>
      <c r="I1043" s="14" t="s">
        <v>2884</v>
      </c>
      <c r="J1043" s="1" t="s">
        <v>3006</v>
      </c>
      <c r="K1043" s="14" t="s">
        <v>3007</v>
      </c>
      <c r="L1043" s="1" t="s">
        <v>3008</v>
      </c>
      <c r="M1043" s="1" t="s">
        <v>3009</v>
      </c>
      <c r="N1043" s="1">
        <v>251</v>
      </c>
      <c r="O1043" s="1" t="s">
        <v>976</v>
      </c>
      <c r="P1043" s="5">
        <v>640</v>
      </c>
      <c r="Q1043" s="5">
        <v>0</v>
      </c>
      <c r="R1043" s="5">
        <v>640</v>
      </c>
      <c r="S1043" s="5">
        <v>0</v>
      </c>
      <c r="T1043" s="5" t="s">
        <v>23</v>
      </c>
      <c r="U1043" s="5" t="s">
        <v>2508</v>
      </c>
      <c r="V1043" s="5" t="s">
        <v>892</v>
      </c>
      <c r="AB1043"/>
      <c r="AC1043"/>
      <c r="AD1043"/>
    </row>
    <row r="1044" spans="1:30" x14ac:dyDescent="0.25">
      <c r="A1044" t="s">
        <v>5549</v>
      </c>
      <c r="B1044" t="s">
        <v>5550</v>
      </c>
      <c r="C1044" s="9" t="s">
        <v>5551</v>
      </c>
      <c r="D1044" s="9">
        <v>993536441</v>
      </c>
      <c r="E1044" s="5" t="s">
        <v>3041</v>
      </c>
      <c r="F1044" s="1" t="s">
        <v>3042</v>
      </c>
      <c r="G1044" s="25">
        <v>44552</v>
      </c>
      <c r="H1044" s="1" t="s">
        <v>5552</v>
      </c>
      <c r="I1044" s="14" t="s">
        <v>451</v>
      </c>
      <c r="J1044" s="1" t="s">
        <v>3006</v>
      </c>
      <c r="K1044" s="14" t="s">
        <v>3007</v>
      </c>
      <c r="L1044" s="1" t="s">
        <v>3008</v>
      </c>
      <c r="M1044" s="1" t="s">
        <v>3016</v>
      </c>
      <c r="N1044" s="1">
        <v>1529</v>
      </c>
      <c r="O1044" s="1" t="s">
        <v>976</v>
      </c>
      <c r="P1044" s="5">
        <v>221.21</v>
      </c>
      <c r="Q1044" s="5">
        <v>22</v>
      </c>
      <c r="R1044" s="5">
        <v>220</v>
      </c>
      <c r="S1044" s="5">
        <v>23.21</v>
      </c>
      <c r="T1044" s="5" t="s">
        <v>24</v>
      </c>
      <c r="V1044" s="5" t="s">
        <v>451</v>
      </c>
      <c r="AB1044"/>
      <c r="AC1044"/>
      <c r="AD1044"/>
    </row>
    <row r="1045" spans="1:30" x14ac:dyDescent="0.25">
      <c r="A1045" t="s">
        <v>5553</v>
      </c>
      <c r="B1045" t="s">
        <v>5554</v>
      </c>
      <c r="C1045" s="9" t="s">
        <v>5555</v>
      </c>
      <c r="D1045" s="9" t="s">
        <v>5556</v>
      </c>
      <c r="E1045" s="5" t="s">
        <v>3003</v>
      </c>
      <c r="F1045" s="1" t="s">
        <v>5557</v>
      </c>
      <c r="G1045" s="25">
        <v>44333</v>
      </c>
      <c r="H1045" s="1" t="s">
        <v>3015</v>
      </c>
      <c r="I1045" s="14" t="s">
        <v>252</v>
      </c>
      <c r="J1045" s="1" t="s">
        <v>3006</v>
      </c>
      <c r="K1045" s="14" t="s">
        <v>3007</v>
      </c>
      <c r="L1045" s="1" t="s">
        <v>3008</v>
      </c>
      <c r="M1045" s="1" t="s">
        <v>3016</v>
      </c>
      <c r="N1045" s="1">
        <v>430</v>
      </c>
      <c r="O1045" s="1" t="s">
        <v>976</v>
      </c>
      <c r="P1045" s="5">
        <v>1200</v>
      </c>
      <c r="Q1045" s="5">
        <v>0</v>
      </c>
      <c r="R1045" s="5">
        <v>1200</v>
      </c>
      <c r="S1045" s="5">
        <v>0</v>
      </c>
      <c r="T1045" s="5" t="s">
        <v>22</v>
      </c>
      <c r="V1045" s="5" t="s">
        <v>252</v>
      </c>
      <c r="AB1045"/>
      <c r="AC1045"/>
      <c r="AD1045"/>
    </row>
    <row r="1046" spans="1:30" x14ac:dyDescent="0.25">
      <c r="A1046" t="s">
        <v>5553</v>
      </c>
      <c r="B1046" t="s">
        <v>5554</v>
      </c>
      <c r="C1046" s="9" t="s">
        <v>5555</v>
      </c>
      <c r="D1046" s="9" t="s">
        <v>5556</v>
      </c>
      <c r="E1046" s="5" t="s">
        <v>3003</v>
      </c>
      <c r="F1046" s="1" t="s">
        <v>5557</v>
      </c>
      <c r="G1046" s="25">
        <v>44333</v>
      </c>
      <c r="H1046" s="1" t="s">
        <v>3220</v>
      </c>
      <c r="I1046" s="14" t="s">
        <v>259</v>
      </c>
      <c r="J1046" s="1" t="s">
        <v>3006</v>
      </c>
      <c r="K1046" s="14" t="s">
        <v>3007</v>
      </c>
      <c r="L1046" s="1" t="s">
        <v>3008</v>
      </c>
      <c r="M1046" s="1" t="s">
        <v>3016</v>
      </c>
      <c r="N1046" s="1">
        <v>430</v>
      </c>
      <c r="O1046" s="1" t="s">
        <v>976</v>
      </c>
      <c r="P1046" s="5">
        <v>210</v>
      </c>
      <c r="Q1046" s="5">
        <v>0</v>
      </c>
      <c r="R1046" s="5">
        <v>210</v>
      </c>
      <c r="S1046" s="5">
        <v>0</v>
      </c>
      <c r="T1046" s="5" t="s">
        <v>23</v>
      </c>
      <c r="V1046" s="5" t="s">
        <v>259</v>
      </c>
      <c r="AB1046"/>
      <c r="AC1046"/>
      <c r="AD1046"/>
    </row>
    <row r="1047" spans="1:30" x14ac:dyDescent="0.25">
      <c r="A1047" t="s">
        <v>5553</v>
      </c>
      <c r="B1047" t="s">
        <v>5554</v>
      </c>
      <c r="C1047" s="9" t="s">
        <v>5555</v>
      </c>
      <c r="D1047" s="9" t="s">
        <v>5556</v>
      </c>
      <c r="E1047" s="5" t="s">
        <v>3003</v>
      </c>
      <c r="F1047" s="1" t="s">
        <v>5557</v>
      </c>
      <c r="G1047" s="25">
        <v>44453</v>
      </c>
      <c r="H1047" s="1" t="s">
        <v>3089</v>
      </c>
      <c r="I1047" s="14" t="s">
        <v>303</v>
      </c>
      <c r="J1047" s="1" t="s">
        <v>3006</v>
      </c>
      <c r="K1047" s="14" t="s">
        <v>3007</v>
      </c>
      <c r="L1047" s="1" t="s">
        <v>3008</v>
      </c>
      <c r="M1047" s="1" t="s">
        <v>3016</v>
      </c>
      <c r="N1047" s="1">
        <v>913</v>
      </c>
      <c r="O1047" s="1" t="s">
        <v>976</v>
      </c>
      <c r="P1047" s="5">
        <v>731.76</v>
      </c>
      <c r="Q1047" s="5">
        <v>79</v>
      </c>
      <c r="R1047" s="5">
        <v>790</v>
      </c>
      <c r="S1047" s="5">
        <v>20.76</v>
      </c>
      <c r="T1047" s="5" t="s">
        <v>22</v>
      </c>
      <c r="V1047" s="5" t="s">
        <v>303</v>
      </c>
      <c r="AB1047"/>
      <c r="AC1047"/>
      <c r="AD1047"/>
    </row>
    <row r="1048" spans="1:30" x14ac:dyDescent="0.25">
      <c r="A1048" t="s">
        <v>5553</v>
      </c>
      <c r="B1048" t="s">
        <v>5554</v>
      </c>
      <c r="C1048" s="9" t="s">
        <v>5555</v>
      </c>
      <c r="D1048" s="9" t="s">
        <v>5556</v>
      </c>
      <c r="E1048" s="5" t="s">
        <v>3003</v>
      </c>
      <c r="F1048" s="1" t="s">
        <v>5557</v>
      </c>
      <c r="G1048" s="25">
        <v>44600</v>
      </c>
      <c r="H1048" s="1" t="s">
        <v>4709</v>
      </c>
      <c r="I1048" s="14" t="s">
        <v>2818</v>
      </c>
      <c r="J1048" s="1" t="s">
        <v>3006</v>
      </c>
      <c r="K1048" s="14" t="s">
        <v>3007</v>
      </c>
      <c r="L1048" s="1" t="s">
        <v>3008</v>
      </c>
      <c r="M1048" s="1" t="s">
        <v>3016</v>
      </c>
      <c r="N1048" s="1">
        <v>1772</v>
      </c>
      <c r="O1048" s="1" t="s">
        <v>976</v>
      </c>
      <c r="P1048" s="5">
        <v>1037</v>
      </c>
      <c r="Q1048" s="5">
        <v>183</v>
      </c>
      <c r="R1048" s="5">
        <v>1220</v>
      </c>
      <c r="S1048" s="5">
        <v>0</v>
      </c>
      <c r="T1048" s="5">
        <v>38</v>
      </c>
      <c r="U1048" s="5" t="s">
        <v>2472</v>
      </c>
      <c r="V1048" s="5" t="s">
        <v>797</v>
      </c>
      <c r="AB1048"/>
      <c r="AC1048"/>
      <c r="AD1048"/>
    </row>
    <row r="1049" spans="1:30" x14ac:dyDescent="0.25">
      <c r="A1049" t="s">
        <v>5558</v>
      </c>
      <c r="B1049" t="s">
        <v>5559</v>
      </c>
      <c r="C1049" s="9" t="s">
        <v>5560</v>
      </c>
      <c r="D1049" s="9" t="s">
        <v>5561</v>
      </c>
      <c r="E1049" s="5" t="s">
        <v>3003</v>
      </c>
      <c r="F1049" s="1" t="s">
        <v>3004</v>
      </c>
      <c r="G1049" s="25">
        <v>44298</v>
      </c>
      <c r="H1049" s="1" t="s">
        <v>3183</v>
      </c>
      <c r="I1049" s="14" t="s">
        <v>2803</v>
      </c>
      <c r="J1049" s="1" t="s">
        <v>3006</v>
      </c>
      <c r="K1049" s="14" t="s">
        <v>3007</v>
      </c>
      <c r="L1049" s="1" t="s">
        <v>3008</v>
      </c>
      <c r="M1049" s="1" t="s">
        <v>3009</v>
      </c>
      <c r="N1049" s="1">
        <v>320</v>
      </c>
      <c r="O1049" s="1" t="s">
        <v>976</v>
      </c>
      <c r="P1049" s="5">
        <v>770</v>
      </c>
      <c r="Q1049" s="5">
        <v>0</v>
      </c>
      <c r="R1049" s="5">
        <v>770</v>
      </c>
      <c r="S1049" s="5">
        <v>0</v>
      </c>
      <c r="T1049" s="5" t="s">
        <v>23</v>
      </c>
      <c r="U1049" s="5" t="s">
        <v>2463</v>
      </c>
      <c r="V1049" s="5" t="s">
        <v>771</v>
      </c>
      <c r="AB1049"/>
      <c r="AC1049"/>
      <c r="AD1049"/>
    </row>
    <row r="1050" spans="1:30" x14ac:dyDescent="0.25">
      <c r="A1050" t="s">
        <v>5558</v>
      </c>
      <c r="B1050" t="s">
        <v>5559</v>
      </c>
      <c r="C1050" s="9" t="s">
        <v>5560</v>
      </c>
      <c r="D1050" s="9" t="s">
        <v>5561</v>
      </c>
      <c r="E1050" s="5" t="s">
        <v>3003</v>
      </c>
      <c r="F1050" s="1" t="s">
        <v>3004</v>
      </c>
      <c r="G1050" s="25">
        <v>44298</v>
      </c>
      <c r="H1050" s="1" t="s">
        <v>3681</v>
      </c>
      <c r="I1050" s="14" t="s">
        <v>517</v>
      </c>
      <c r="J1050" s="1" t="s">
        <v>3006</v>
      </c>
      <c r="K1050" s="14" t="s">
        <v>3007</v>
      </c>
      <c r="L1050" s="1" t="s">
        <v>3008</v>
      </c>
      <c r="M1050" s="1" t="s">
        <v>3009</v>
      </c>
      <c r="N1050" s="1">
        <v>320</v>
      </c>
      <c r="O1050" s="1" t="s">
        <v>976</v>
      </c>
      <c r="P1050" s="5">
        <v>185</v>
      </c>
      <c r="Q1050" s="5">
        <v>0</v>
      </c>
      <c r="R1050" s="5">
        <v>185</v>
      </c>
      <c r="S1050" s="5">
        <v>0</v>
      </c>
      <c r="T1050" s="5" t="s">
        <v>25</v>
      </c>
      <c r="V1050" s="5" t="s">
        <v>517</v>
      </c>
      <c r="AB1050"/>
      <c r="AC1050"/>
      <c r="AD1050"/>
    </row>
    <row r="1051" spans="1:30" x14ac:dyDescent="0.25">
      <c r="A1051" t="s">
        <v>5558</v>
      </c>
      <c r="B1051" t="s">
        <v>5559</v>
      </c>
      <c r="C1051" s="9" t="s">
        <v>5560</v>
      </c>
      <c r="D1051" s="9" t="s">
        <v>5561</v>
      </c>
      <c r="E1051" s="5" t="s">
        <v>3003</v>
      </c>
      <c r="F1051" s="1" t="s">
        <v>3004</v>
      </c>
      <c r="G1051" s="25">
        <v>44321</v>
      </c>
      <c r="H1051" s="1" t="s">
        <v>3075</v>
      </c>
      <c r="I1051" s="14" t="s">
        <v>2791</v>
      </c>
      <c r="J1051" s="1" t="s">
        <v>3006</v>
      </c>
      <c r="K1051" s="14" t="s">
        <v>3007</v>
      </c>
      <c r="L1051" s="1" t="s">
        <v>3008</v>
      </c>
      <c r="M1051" s="1" t="s">
        <v>3009</v>
      </c>
      <c r="N1051" s="1">
        <v>386</v>
      </c>
      <c r="O1051" s="1" t="s">
        <v>976</v>
      </c>
      <c r="P1051" s="5">
        <v>1100</v>
      </c>
      <c r="Q1051" s="5">
        <v>100</v>
      </c>
      <c r="R1051" s="5">
        <v>1200</v>
      </c>
      <c r="S1051" s="5">
        <v>0</v>
      </c>
      <c r="T1051" s="5" t="s">
        <v>22</v>
      </c>
      <c r="U1051" s="5" t="s">
        <v>2443</v>
      </c>
      <c r="V1051" s="5" t="s">
        <v>763</v>
      </c>
      <c r="AB1051"/>
      <c r="AC1051"/>
      <c r="AD1051"/>
    </row>
    <row r="1052" spans="1:30" x14ac:dyDescent="0.25">
      <c r="A1052" t="s">
        <v>5562</v>
      </c>
      <c r="B1052" t="s">
        <v>5563</v>
      </c>
      <c r="C1052" s="9" t="s">
        <v>5564</v>
      </c>
      <c r="D1052" s="9" t="s">
        <v>5565</v>
      </c>
      <c r="E1052" s="5" t="s">
        <v>3003</v>
      </c>
      <c r="F1052" s="1" t="s">
        <v>3004</v>
      </c>
      <c r="G1052" s="25">
        <v>44525</v>
      </c>
      <c r="H1052" s="1" t="s">
        <v>5566</v>
      </c>
      <c r="I1052" s="14" t="s">
        <v>494</v>
      </c>
      <c r="J1052" s="1" t="s">
        <v>3006</v>
      </c>
      <c r="K1052" s="14" t="s">
        <v>3007</v>
      </c>
      <c r="L1052" s="1" t="s">
        <v>3008</v>
      </c>
      <c r="M1052" s="1" t="s">
        <v>3016</v>
      </c>
      <c r="N1052" s="1">
        <v>1280</v>
      </c>
      <c r="O1052" s="1" t="s">
        <v>976</v>
      </c>
      <c r="P1052" s="5">
        <v>0</v>
      </c>
      <c r="Q1052" s="5">
        <v>315</v>
      </c>
      <c r="R1052" s="5">
        <v>315</v>
      </c>
      <c r="S1052" s="5">
        <v>0</v>
      </c>
      <c r="T1052" s="5" t="s">
        <v>22</v>
      </c>
      <c r="V1052" s="5" t="s">
        <v>494</v>
      </c>
      <c r="AB1052"/>
      <c r="AC1052"/>
      <c r="AD1052"/>
    </row>
    <row r="1053" spans="1:30" x14ac:dyDescent="0.25">
      <c r="A1053" t="s">
        <v>5562</v>
      </c>
      <c r="B1053" t="s">
        <v>5563</v>
      </c>
      <c r="C1053" s="9" t="s">
        <v>5564</v>
      </c>
      <c r="D1053" s="9" t="s">
        <v>5565</v>
      </c>
      <c r="E1053" s="5" t="s">
        <v>3003</v>
      </c>
      <c r="F1053" s="1" t="s">
        <v>3004</v>
      </c>
      <c r="G1053" s="25">
        <v>44525</v>
      </c>
      <c r="H1053" s="1" t="s">
        <v>3265</v>
      </c>
      <c r="I1053" s="14" t="s">
        <v>2930</v>
      </c>
      <c r="J1053" s="1" t="s">
        <v>3006</v>
      </c>
      <c r="K1053" s="14" t="s">
        <v>3007</v>
      </c>
      <c r="L1053" s="1" t="s">
        <v>3008</v>
      </c>
      <c r="M1053" s="1" t="s">
        <v>3016</v>
      </c>
      <c r="N1053" s="1">
        <v>1280</v>
      </c>
      <c r="O1053" s="1" t="s">
        <v>976</v>
      </c>
      <c r="P1053" s="5">
        <v>0.01</v>
      </c>
      <c r="Q1053" s="5">
        <v>574.99</v>
      </c>
      <c r="R1053" s="5">
        <v>575</v>
      </c>
      <c r="S1053" s="5">
        <v>0</v>
      </c>
      <c r="T1053" s="5" t="s">
        <v>22</v>
      </c>
      <c r="U1053" s="5" t="s">
        <v>2443</v>
      </c>
      <c r="V1053" s="5" t="s">
        <v>920</v>
      </c>
      <c r="AB1053"/>
      <c r="AC1053"/>
      <c r="AD1053"/>
    </row>
    <row r="1054" spans="1:30" x14ac:dyDescent="0.25">
      <c r="A1054" t="s">
        <v>5567</v>
      </c>
      <c r="B1054" t="s">
        <v>5568</v>
      </c>
      <c r="C1054" s="9" t="s">
        <v>5569</v>
      </c>
      <c r="D1054" s="9">
        <v>999883585</v>
      </c>
      <c r="E1054" s="5" t="s">
        <v>3003</v>
      </c>
      <c r="F1054" s="1" t="s">
        <v>3004</v>
      </c>
      <c r="G1054" s="25">
        <v>44433</v>
      </c>
      <c r="H1054" s="1" t="s">
        <v>3335</v>
      </c>
      <c r="I1054" s="14" t="s">
        <v>499</v>
      </c>
      <c r="J1054" s="1" t="s">
        <v>3006</v>
      </c>
      <c r="K1054" s="14" t="s">
        <v>3007</v>
      </c>
      <c r="L1054" s="1" t="s">
        <v>3008</v>
      </c>
      <c r="M1054" s="1" t="s">
        <v>3009</v>
      </c>
      <c r="N1054" s="1">
        <v>815</v>
      </c>
      <c r="O1054" s="1" t="s">
        <v>976</v>
      </c>
      <c r="P1054" s="5">
        <v>261</v>
      </c>
      <c r="Q1054" s="5">
        <v>29</v>
      </c>
      <c r="R1054" s="5">
        <v>290</v>
      </c>
      <c r="S1054" s="5">
        <v>0</v>
      </c>
      <c r="T1054" s="5" t="s">
        <v>23</v>
      </c>
      <c r="V1054" s="5" t="s">
        <v>499</v>
      </c>
      <c r="AB1054"/>
      <c r="AC1054"/>
      <c r="AD1054"/>
    </row>
    <row r="1055" spans="1:30" x14ac:dyDescent="0.25">
      <c r="A1055" t="s">
        <v>5570</v>
      </c>
      <c r="B1055" t="s">
        <v>5571</v>
      </c>
      <c r="C1055" s="9" t="s">
        <v>5572</v>
      </c>
      <c r="D1055" s="9" t="s">
        <v>5573</v>
      </c>
      <c r="E1055" s="5" t="s">
        <v>3003</v>
      </c>
      <c r="F1055" s="1" t="s">
        <v>3004</v>
      </c>
      <c r="G1055" s="25">
        <v>44441</v>
      </c>
      <c r="H1055" s="1" t="s">
        <v>4301</v>
      </c>
      <c r="I1055" s="14" t="s">
        <v>2856</v>
      </c>
      <c r="J1055" s="1" t="s">
        <v>3006</v>
      </c>
      <c r="K1055" s="14" t="s">
        <v>3007</v>
      </c>
      <c r="L1055" s="1" t="s">
        <v>3008</v>
      </c>
      <c r="M1055" s="1" t="s">
        <v>3016</v>
      </c>
      <c r="N1055" s="1">
        <v>854</v>
      </c>
      <c r="O1055" s="1" t="s">
        <v>976</v>
      </c>
      <c r="P1055" s="5">
        <v>105</v>
      </c>
      <c r="Q1055" s="5">
        <v>575</v>
      </c>
      <c r="R1055" s="5">
        <v>680</v>
      </c>
      <c r="S1055" s="5">
        <v>0</v>
      </c>
      <c r="T1055" s="5" t="s">
        <v>23</v>
      </c>
      <c r="U1055" s="5" t="s">
        <v>2447</v>
      </c>
      <c r="V1055" s="5" t="s">
        <v>851</v>
      </c>
      <c r="AB1055"/>
      <c r="AC1055"/>
      <c r="AD1055"/>
    </row>
    <row r="1056" spans="1:30" x14ac:dyDescent="0.25">
      <c r="A1056" t="s">
        <v>5570</v>
      </c>
      <c r="B1056" t="s">
        <v>5571</v>
      </c>
      <c r="C1056" s="9" t="s">
        <v>5572</v>
      </c>
      <c r="D1056" s="9" t="s">
        <v>5573</v>
      </c>
      <c r="E1056" s="5" t="s">
        <v>3003</v>
      </c>
      <c r="F1056" s="1" t="s">
        <v>3004</v>
      </c>
      <c r="G1056" s="25">
        <v>44543</v>
      </c>
      <c r="H1056" s="1" t="s">
        <v>4361</v>
      </c>
      <c r="I1056" s="14" t="s">
        <v>394</v>
      </c>
      <c r="J1056" s="1" t="s">
        <v>3006</v>
      </c>
      <c r="K1056" s="14" t="s">
        <v>3007</v>
      </c>
      <c r="L1056" s="1" t="s">
        <v>3008</v>
      </c>
      <c r="M1056" s="1" t="s">
        <v>3016</v>
      </c>
      <c r="N1056" s="1">
        <v>1440</v>
      </c>
      <c r="O1056" s="1" t="s">
        <v>976</v>
      </c>
      <c r="P1056" s="5">
        <v>739.5</v>
      </c>
      <c r="Q1056" s="5">
        <v>130.5</v>
      </c>
      <c r="R1056" s="5">
        <v>870</v>
      </c>
      <c r="S1056" s="5">
        <v>0</v>
      </c>
      <c r="T1056" s="5">
        <v>38</v>
      </c>
      <c r="V1056" s="5" t="s">
        <v>394</v>
      </c>
      <c r="AB1056"/>
      <c r="AC1056"/>
      <c r="AD1056"/>
    </row>
  </sheetData>
  <autoFilter ref="D5:O5" xr:uid="{39C73C6C-5EAB-4E38-985D-8B83E9948881}"/>
  <mergeCells count="1">
    <mergeCell ref="C2:C3"/>
  </mergeCells>
  <phoneticPr fontId="6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17D71-C088-4E6D-847B-AE9E06E9E0C8}">
  <sheetPr codeName="Planilha5"/>
  <dimension ref="A2:GL5"/>
  <sheetViews>
    <sheetView zoomScaleNormal="100" workbookViewId="0">
      <selection activeCell="C2" sqref="C2:C3"/>
    </sheetView>
  </sheetViews>
  <sheetFormatPr defaultRowHeight="15" customHeight="1" outlineLevelCol="1" x14ac:dyDescent="0.25"/>
  <cols>
    <col min="1" max="1" width="25.7109375" style="30" customWidth="1"/>
    <col min="2" max="2" width="25.7109375" style="3" customWidth="1"/>
    <col min="3" max="5" width="25.7109375" customWidth="1"/>
    <col min="6" max="6" width="25.7109375" style="1" customWidth="1"/>
    <col min="7" max="7" width="25.7109375" customWidth="1"/>
    <col min="8" max="8" width="25.7109375" style="1" customWidth="1"/>
    <col min="9" max="9" width="18" style="27" bestFit="1" customWidth="1"/>
    <col min="10" max="10" width="18" style="27" customWidth="1"/>
    <col min="11" max="16" width="6.7109375" style="27" hidden="1" customWidth="1" outlineLevel="1"/>
    <col min="17" max="17" width="7.7109375" style="27" hidden="1" customWidth="1" outlineLevel="1"/>
    <col min="18" max="28" width="6.7109375" style="27" hidden="1" customWidth="1" outlineLevel="1"/>
    <col min="29" max="29" width="13.140625" style="27" customWidth="1" collapsed="1"/>
    <col min="30" max="35" width="6.7109375" style="27" hidden="1" customWidth="1" outlineLevel="1"/>
    <col min="36" max="36" width="7.7109375" style="27" hidden="1" customWidth="1" outlineLevel="1"/>
    <col min="37" max="47" width="6.7109375" style="27" hidden="1" customWidth="1" outlineLevel="1"/>
    <col min="48" max="48" width="14.140625" style="27" bestFit="1" customWidth="1" collapsed="1"/>
    <col min="49" max="54" width="6.7109375" style="27" hidden="1" customWidth="1" outlineLevel="1"/>
    <col min="55" max="55" width="7.7109375" style="27" hidden="1" customWidth="1" outlineLevel="1"/>
    <col min="56" max="66" width="6.7109375" style="27" hidden="1" customWidth="1" outlineLevel="1"/>
    <col min="67" max="67" width="14.140625" style="27" bestFit="1" customWidth="1" collapsed="1"/>
    <col min="68" max="68" width="6.7109375" style="27" hidden="1" customWidth="1" outlineLevel="1"/>
    <col min="69" max="73" width="6.5703125" style="27" hidden="1" customWidth="1" outlineLevel="1"/>
    <col min="74" max="74" width="7.7109375" style="27" hidden="1" customWidth="1" outlineLevel="1"/>
    <col min="75" max="85" width="6.5703125" style="27" hidden="1" customWidth="1" outlineLevel="1"/>
    <col min="86" max="86" width="14.140625" style="27" bestFit="1" customWidth="1" collapsed="1"/>
    <col min="87" max="92" width="6.7109375" style="27" hidden="1" customWidth="1" outlineLevel="1"/>
    <col min="93" max="93" width="7.7109375" style="27" hidden="1" customWidth="1" outlineLevel="1"/>
    <col min="94" max="104" width="6.7109375" style="27" hidden="1" customWidth="1" outlineLevel="1"/>
    <col min="105" max="105" width="14.140625" style="27" bestFit="1" customWidth="1" collapsed="1"/>
    <col min="106" max="111" width="6.7109375" style="27" hidden="1" customWidth="1" outlineLevel="1"/>
    <col min="112" max="112" width="7.7109375" style="27" hidden="1" customWidth="1" outlineLevel="1"/>
    <col min="113" max="123" width="6.7109375" style="27" hidden="1" customWidth="1" outlineLevel="1"/>
    <col min="124" max="124" width="14.140625" style="27" bestFit="1" customWidth="1" collapsed="1"/>
    <col min="125" max="130" width="6.7109375" style="27" hidden="1" customWidth="1" outlineLevel="1"/>
    <col min="131" max="131" width="7.7109375" style="27" hidden="1" customWidth="1" outlineLevel="1"/>
    <col min="132" max="142" width="6.7109375" style="27" hidden="1" customWidth="1" outlineLevel="1"/>
    <col min="143" max="143" width="14.140625" style="27" bestFit="1" customWidth="1" collapsed="1"/>
    <col min="144" max="149" width="6.7109375" style="27" hidden="1" customWidth="1" outlineLevel="1"/>
    <col min="150" max="150" width="7.7109375" style="27" hidden="1" customWidth="1" outlineLevel="1"/>
    <col min="151" max="161" width="6.7109375" style="27" hidden="1" customWidth="1" outlineLevel="1"/>
    <col min="162" max="162" width="14.140625" style="27" bestFit="1" customWidth="1" collapsed="1"/>
    <col min="163" max="168" width="6.7109375" style="34" hidden="1" customWidth="1" outlineLevel="1"/>
    <col min="169" max="169" width="7.7109375" style="34" hidden="1" customWidth="1" outlineLevel="1"/>
    <col min="170" max="180" width="6.7109375" style="34" hidden="1" customWidth="1" outlineLevel="1"/>
    <col min="181" max="181" width="14.140625" style="34" bestFit="1" customWidth="1" collapsed="1"/>
    <col min="182" max="190" width="12.7109375" style="37" bestFit="1" customWidth="1"/>
    <col min="191" max="191" width="16" style="28" bestFit="1" customWidth="1"/>
    <col min="192" max="192" width="14.85546875" style="29" bestFit="1" customWidth="1"/>
    <col min="193" max="193" width="13.140625" style="29" bestFit="1" customWidth="1"/>
    <col min="194" max="194" width="17.85546875" style="28" bestFit="1" customWidth="1"/>
    <col min="195" max="16384" width="9.140625" style="28"/>
  </cols>
  <sheetData>
    <row r="2" spans="1:194" ht="15" customHeight="1" x14ac:dyDescent="0.25">
      <c r="C2" s="43" t="s">
        <v>180</v>
      </c>
      <c r="D2" s="1"/>
      <c r="E2" s="15"/>
      <c r="G2" s="27"/>
      <c r="H2" s="27"/>
      <c r="FE2" s="31"/>
      <c r="FF2" s="31"/>
    </row>
    <row r="3" spans="1:194" ht="15" customHeight="1" x14ac:dyDescent="0.25">
      <c r="C3" s="43"/>
      <c r="D3" s="1"/>
      <c r="E3" s="15"/>
      <c r="G3" s="27"/>
      <c r="H3" s="27"/>
      <c r="FE3" s="31"/>
      <c r="FF3" s="31"/>
    </row>
    <row r="5" spans="1:194" ht="15" customHeight="1" x14ac:dyDescent="0.25">
      <c r="A5" s="24" t="s">
        <v>75</v>
      </c>
      <c r="B5" s="16" t="s">
        <v>114</v>
      </c>
      <c r="C5" s="16" t="s">
        <v>46</v>
      </c>
      <c r="D5" s="16" t="s">
        <v>18</v>
      </c>
      <c r="E5" s="16" t="s">
        <v>12</v>
      </c>
      <c r="F5" s="19" t="s">
        <v>76</v>
      </c>
      <c r="G5" s="16" t="s">
        <v>77</v>
      </c>
      <c r="H5" s="19" t="s">
        <v>127</v>
      </c>
      <c r="I5" s="26" t="s">
        <v>115</v>
      </c>
      <c r="J5" s="26" t="s">
        <v>128</v>
      </c>
      <c r="K5" s="26" t="s">
        <v>21</v>
      </c>
      <c r="L5" s="26" t="s">
        <v>22</v>
      </c>
      <c r="M5" s="26" t="s">
        <v>23</v>
      </c>
      <c r="N5" s="26" t="s">
        <v>24</v>
      </c>
      <c r="O5" s="26" t="s">
        <v>25</v>
      </c>
      <c r="P5" s="26" t="s">
        <v>26</v>
      </c>
      <c r="Q5" s="26" t="s">
        <v>112</v>
      </c>
      <c r="R5" s="26">
        <v>34</v>
      </c>
      <c r="S5" s="26">
        <v>35</v>
      </c>
      <c r="T5" s="26">
        <v>36</v>
      </c>
      <c r="U5" s="26">
        <v>37</v>
      </c>
      <c r="V5" s="26">
        <v>38</v>
      </c>
      <c r="W5" s="26">
        <v>39</v>
      </c>
      <c r="X5" s="26">
        <v>40</v>
      </c>
      <c r="Y5" s="26">
        <v>42</v>
      </c>
      <c r="Z5" s="26">
        <v>44</v>
      </c>
      <c r="AA5" s="26">
        <v>46</v>
      </c>
      <c r="AB5" s="26" t="s">
        <v>120</v>
      </c>
      <c r="AC5" s="26" t="s">
        <v>129</v>
      </c>
      <c r="AD5" s="26" t="s">
        <v>21</v>
      </c>
      <c r="AE5" s="26" t="s">
        <v>22</v>
      </c>
      <c r="AF5" s="26" t="s">
        <v>23</v>
      </c>
      <c r="AG5" s="26" t="s">
        <v>24</v>
      </c>
      <c r="AH5" s="26" t="s">
        <v>25</v>
      </c>
      <c r="AI5" s="26" t="s">
        <v>26</v>
      </c>
      <c r="AJ5" s="26" t="s">
        <v>112</v>
      </c>
      <c r="AK5" s="26">
        <v>34</v>
      </c>
      <c r="AL5" s="26">
        <v>35</v>
      </c>
      <c r="AM5" s="26">
        <v>36</v>
      </c>
      <c r="AN5" s="26">
        <v>37</v>
      </c>
      <c r="AO5" s="26">
        <v>38</v>
      </c>
      <c r="AP5" s="26">
        <v>39</v>
      </c>
      <c r="AQ5" s="26">
        <v>40</v>
      </c>
      <c r="AR5" s="26">
        <v>42</v>
      </c>
      <c r="AS5" s="26">
        <v>44</v>
      </c>
      <c r="AT5" s="26">
        <v>46</v>
      </c>
      <c r="AU5" s="26" t="s">
        <v>120</v>
      </c>
      <c r="AV5" s="26" t="s">
        <v>116</v>
      </c>
      <c r="AW5" s="26" t="s">
        <v>21</v>
      </c>
      <c r="AX5" s="26" t="s">
        <v>22</v>
      </c>
      <c r="AY5" s="26" t="s">
        <v>23</v>
      </c>
      <c r="AZ5" s="26" t="s">
        <v>24</v>
      </c>
      <c r="BA5" s="26" t="s">
        <v>25</v>
      </c>
      <c r="BB5" s="26" t="s">
        <v>26</v>
      </c>
      <c r="BC5" s="26" t="s">
        <v>112</v>
      </c>
      <c r="BD5" s="26">
        <v>34</v>
      </c>
      <c r="BE5" s="26">
        <v>35</v>
      </c>
      <c r="BF5" s="26">
        <v>36</v>
      </c>
      <c r="BG5" s="26">
        <v>37</v>
      </c>
      <c r="BH5" s="26">
        <v>38</v>
      </c>
      <c r="BI5" s="26">
        <v>39</v>
      </c>
      <c r="BJ5" s="26">
        <v>40</v>
      </c>
      <c r="BK5" s="26">
        <v>42</v>
      </c>
      <c r="BL5" s="26">
        <v>44</v>
      </c>
      <c r="BM5" s="26">
        <v>46</v>
      </c>
      <c r="BN5" s="26" t="s">
        <v>120</v>
      </c>
      <c r="BO5" s="26" t="s">
        <v>117</v>
      </c>
      <c r="BP5" s="26" t="s">
        <v>21</v>
      </c>
      <c r="BQ5" s="26" t="s">
        <v>22</v>
      </c>
      <c r="BR5" s="26" t="s">
        <v>23</v>
      </c>
      <c r="BS5" s="26" t="s">
        <v>24</v>
      </c>
      <c r="BT5" s="26" t="s">
        <v>25</v>
      </c>
      <c r="BU5" s="26" t="s">
        <v>26</v>
      </c>
      <c r="BV5" s="26" t="s">
        <v>112</v>
      </c>
      <c r="BW5" s="26">
        <v>34</v>
      </c>
      <c r="BX5" s="26">
        <v>35</v>
      </c>
      <c r="BY5" s="26">
        <v>36</v>
      </c>
      <c r="BZ5" s="26">
        <v>37</v>
      </c>
      <c r="CA5" s="26">
        <v>38</v>
      </c>
      <c r="CB5" s="26">
        <v>39</v>
      </c>
      <c r="CC5" s="26">
        <v>40</v>
      </c>
      <c r="CD5" s="26">
        <v>42</v>
      </c>
      <c r="CE5" s="26">
        <v>44</v>
      </c>
      <c r="CF5" s="26">
        <v>46</v>
      </c>
      <c r="CG5" s="26" t="s">
        <v>120</v>
      </c>
      <c r="CH5" s="26" t="s">
        <v>130</v>
      </c>
      <c r="CI5" s="26" t="s">
        <v>21</v>
      </c>
      <c r="CJ5" s="26" t="s">
        <v>22</v>
      </c>
      <c r="CK5" s="26" t="s">
        <v>23</v>
      </c>
      <c r="CL5" s="26" t="s">
        <v>24</v>
      </c>
      <c r="CM5" s="26" t="s">
        <v>25</v>
      </c>
      <c r="CN5" s="26" t="s">
        <v>26</v>
      </c>
      <c r="CO5" s="26" t="s">
        <v>112</v>
      </c>
      <c r="CP5" s="26">
        <v>34</v>
      </c>
      <c r="CQ5" s="26">
        <v>35</v>
      </c>
      <c r="CR5" s="26">
        <v>36</v>
      </c>
      <c r="CS5" s="26">
        <v>37</v>
      </c>
      <c r="CT5" s="26">
        <v>38</v>
      </c>
      <c r="CU5" s="26">
        <v>39</v>
      </c>
      <c r="CV5" s="26">
        <v>40</v>
      </c>
      <c r="CW5" s="26">
        <v>42</v>
      </c>
      <c r="CX5" s="26">
        <v>44</v>
      </c>
      <c r="CY5" s="26">
        <v>46</v>
      </c>
      <c r="CZ5" s="26" t="s">
        <v>120</v>
      </c>
      <c r="DA5" s="26" t="s">
        <v>118</v>
      </c>
      <c r="DB5" s="26" t="s">
        <v>21</v>
      </c>
      <c r="DC5" s="26" t="s">
        <v>22</v>
      </c>
      <c r="DD5" s="26" t="s">
        <v>23</v>
      </c>
      <c r="DE5" s="26" t="s">
        <v>24</v>
      </c>
      <c r="DF5" s="26" t="s">
        <v>25</v>
      </c>
      <c r="DG5" s="26" t="s">
        <v>26</v>
      </c>
      <c r="DH5" s="26" t="s">
        <v>112</v>
      </c>
      <c r="DI5" s="26">
        <v>34</v>
      </c>
      <c r="DJ5" s="26">
        <v>35</v>
      </c>
      <c r="DK5" s="26">
        <v>36</v>
      </c>
      <c r="DL5" s="26">
        <v>37</v>
      </c>
      <c r="DM5" s="26">
        <v>38</v>
      </c>
      <c r="DN5" s="26">
        <v>39</v>
      </c>
      <c r="DO5" s="26">
        <v>40</v>
      </c>
      <c r="DP5" s="26">
        <v>42</v>
      </c>
      <c r="DQ5" s="26">
        <v>44</v>
      </c>
      <c r="DR5" s="26">
        <v>46</v>
      </c>
      <c r="DS5" s="26" t="s">
        <v>120</v>
      </c>
      <c r="DT5" s="26" t="s">
        <v>131</v>
      </c>
      <c r="DU5" s="26" t="s">
        <v>21</v>
      </c>
      <c r="DV5" s="26" t="s">
        <v>22</v>
      </c>
      <c r="DW5" s="26" t="s">
        <v>23</v>
      </c>
      <c r="DX5" s="26" t="s">
        <v>24</v>
      </c>
      <c r="DY5" s="26" t="s">
        <v>25</v>
      </c>
      <c r="DZ5" s="26" t="s">
        <v>26</v>
      </c>
      <c r="EA5" s="26" t="s">
        <v>112</v>
      </c>
      <c r="EB5" s="26">
        <v>34</v>
      </c>
      <c r="EC5" s="26">
        <v>35</v>
      </c>
      <c r="ED5" s="26">
        <v>36</v>
      </c>
      <c r="EE5" s="26">
        <v>37</v>
      </c>
      <c r="EF5" s="26">
        <v>38</v>
      </c>
      <c r="EG5" s="26">
        <v>39</v>
      </c>
      <c r="EH5" s="26">
        <v>40</v>
      </c>
      <c r="EI5" s="26">
        <v>42</v>
      </c>
      <c r="EJ5" s="26">
        <v>44</v>
      </c>
      <c r="EK5" s="26">
        <v>46</v>
      </c>
      <c r="EL5" s="26" t="s">
        <v>120</v>
      </c>
      <c r="EM5" s="26" t="s">
        <v>132</v>
      </c>
      <c r="EN5" s="26" t="s">
        <v>21</v>
      </c>
      <c r="EO5" s="26" t="s">
        <v>22</v>
      </c>
      <c r="EP5" s="26" t="s">
        <v>23</v>
      </c>
      <c r="EQ5" s="26" t="s">
        <v>24</v>
      </c>
      <c r="ER5" s="26" t="s">
        <v>25</v>
      </c>
      <c r="ES5" s="26" t="s">
        <v>26</v>
      </c>
      <c r="ET5" s="26" t="s">
        <v>112</v>
      </c>
      <c r="EU5" s="26">
        <v>34</v>
      </c>
      <c r="EV5" s="26">
        <v>35</v>
      </c>
      <c r="EW5" s="26">
        <v>36</v>
      </c>
      <c r="EX5" s="26">
        <v>37</v>
      </c>
      <c r="EY5" s="26">
        <v>38</v>
      </c>
      <c r="EZ5" s="26">
        <v>39</v>
      </c>
      <c r="FA5" s="26">
        <v>40</v>
      </c>
      <c r="FB5" s="26">
        <v>42</v>
      </c>
      <c r="FC5" s="26">
        <v>44</v>
      </c>
      <c r="FD5" s="26">
        <v>46</v>
      </c>
      <c r="FE5" s="26" t="s">
        <v>120</v>
      </c>
      <c r="FF5" s="26" t="s">
        <v>119</v>
      </c>
      <c r="FG5" s="35" t="s">
        <v>21</v>
      </c>
      <c r="FH5" s="35" t="s">
        <v>22</v>
      </c>
      <c r="FI5" s="35" t="s">
        <v>23</v>
      </c>
      <c r="FJ5" s="35" t="s">
        <v>24</v>
      </c>
      <c r="FK5" s="35" t="s">
        <v>25</v>
      </c>
      <c r="FL5" s="35" t="s">
        <v>26</v>
      </c>
      <c r="FM5" s="35" t="s">
        <v>112</v>
      </c>
      <c r="FN5" s="35">
        <v>34</v>
      </c>
      <c r="FO5" s="35">
        <v>35</v>
      </c>
      <c r="FP5" s="35">
        <v>36</v>
      </c>
      <c r="FQ5" s="35">
        <v>37</v>
      </c>
      <c r="FR5" s="35">
        <v>38</v>
      </c>
      <c r="FS5" s="35">
        <v>39</v>
      </c>
      <c r="FT5" s="35">
        <v>40</v>
      </c>
      <c r="FU5" s="35">
        <v>42</v>
      </c>
      <c r="FV5" s="35">
        <v>44</v>
      </c>
      <c r="FW5" s="35">
        <v>46</v>
      </c>
      <c r="FX5" s="35" t="s">
        <v>120</v>
      </c>
      <c r="FY5" s="35" t="s">
        <v>137</v>
      </c>
      <c r="FZ5" s="38" t="s">
        <v>133</v>
      </c>
      <c r="GA5" s="38" t="s">
        <v>123</v>
      </c>
      <c r="GB5" s="38" t="s">
        <v>124</v>
      </c>
      <c r="GC5" s="38" t="s">
        <v>134</v>
      </c>
      <c r="GD5" s="38" t="s">
        <v>125</v>
      </c>
      <c r="GE5" s="38" t="s">
        <v>135</v>
      </c>
      <c r="GF5" s="38" t="s">
        <v>136</v>
      </c>
      <c r="GG5" s="38" t="s">
        <v>126</v>
      </c>
      <c r="GH5" s="38" t="s">
        <v>138</v>
      </c>
      <c r="GI5" s="35" t="s">
        <v>139</v>
      </c>
      <c r="GJ5" s="36" t="s">
        <v>121</v>
      </c>
      <c r="GK5" s="36" t="s">
        <v>122</v>
      </c>
      <c r="GL5" s="35" t="s">
        <v>140</v>
      </c>
    </row>
  </sheetData>
  <autoFilter ref="A5:J5" xr:uid="{B9417D71-C088-4E6D-847B-AE9E06E9E0C8}"/>
  <mergeCells count="1">
    <mergeCell ref="C2:C3"/>
  </mergeCells>
  <phoneticPr fontId="6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895A6-6A6C-4369-A065-D04B36B97306}">
  <sheetPr codeName="Planilha3"/>
  <dimension ref="A1"/>
  <sheetViews>
    <sheetView zoomScaleNormal="100" workbookViewId="0"/>
  </sheetViews>
  <sheetFormatPr defaultColWidth="12.7109375" defaultRowHeight="15" x14ac:dyDescent="0.25"/>
  <sheetData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BASE_PRODUTOS</vt:lpstr>
      <vt:lpstr>BASE_APOIO</vt:lpstr>
      <vt:lpstr>BASE_VENDAS</vt:lpstr>
      <vt:lpstr>BASE_GIRO</vt:lpstr>
      <vt:lpstr>BASE_RESUMO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Hardoim</dc:creator>
  <cp:lastModifiedBy>Gabriel Hardoim</cp:lastModifiedBy>
  <dcterms:created xsi:type="dcterms:W3CDTF">2021-10-26T22:34:38Z</dcterms:created>
  <dcterms:modified xsi:type="dcterms:W3CDTF">2022-02-09T02:16:59Z</dcterms:modified>
</cp:coreProperties>
</file>